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7140" windowWidth="29040" windowHeight="15720" tabRatio="600" firstSheet="0" activeTab="0" autoFilterDateGrouping="1"/>
  </bookViews>
  <sheets>
    <sheet name="Porra_Grupos" sheetId="1" state="visible" r:id="rId1"/>
    <sheet name="Llave_Final" sheetId="2" state="visible" r:id="rId2"/>
    <sheet name="Calculos_Internos" sheetId="3" state="visible" r:id="rId3"/>
    <sheet name="Datos_Raw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FF1A202C"/>
      <sz val="10"/>
    </font>
    <font>
      <name val="Arial"/>
      <sz val="10"/>
    </font>
    <font>
      <name val="Arial"/>
      <b val="1"/>
      <color rgb="FFFFFFFF"/>
      <sz val="10"/>
    </font>
    <font>
      <name val="Segoe UI"/>
      <b val="1"/>
      <color rgb="FFFFFFFF"/>
      <sz val="10"/>
    </font>
    <font>
      <name val="Segoe UI"/>
      <b val="1"/>
      <color rgb="FFFF3B30"/>
      <sz val="10"/>
    </font>
    <font>
      <name val="Segoe UI"/>
      <sz val="10"/>
    </font>
    <font>
      <name val="Segoe UI"/>
      <b val="1"/>
      <color rgb="FF1A365D"/>
      <sz val="18"/>
    </font>
    <font>
      <name val="Segoe UI"/>
      <i val="1"/>
      <color rgb="FF4A5568"/>
      <sz val="10"/>
    </font>
    <font>
      <name val="Segoe UI"/>
      <b val="1"/>
      <color rgb="FFFFFFFF"/>
      <sz val="11"/>
    </font>
    <font>
      <name val="Segoe UI"/>
      <b val="1"/>
      <sz val="10"/>
    </font>
    <font>
      <name val="Segoe UI"/>
      <b val="1"/>
      <color rgb="FF4A5568"/>
      <sz val="10"/>
    </font>
    <font>
      <name val="Segoe UI"/>
      <color rgb="FF718096"/>
      <sz val="9"/>
    </font>
    <font>
      <name val="Segoe UI"/>
      <b val="1"/>
      <color rgb="FF000000"/>
      <sz val="10"/>
    </font>
    <font>
      <name val="Segoe UI"/>
      <b val="1"/>
      <color rgb="00FFFFFF"/>
      <sz val="10"/>
    </font>
    <font>
      <name val="Segoe UI"/>
      <b val="1"/>
      <color rgb="004A5568"/>
      <sz val="9"/>
    </font>
  </fonts>
  <fills count="16">
    <fill>
      <patternFill/>
    </fill>
    <fill>
      <patternFill patternType="gray125"/>
    </fill>
    <fill>
      <patternFill patternType="solid">
        <fgColor rgb="FFFFFDF0"/>
        <bgColor rgb="FFFFFDF0"/>
      </patternFill>
    </fill>
    <fill>
      <patternFill patternType="solid">
        <fgColor rgb="FFFEFCBF"/>
        <bgColor rgb="FFFEFCBF"/>
      </patternFill>
    </fill>
    <fill>
      <patternFill patternType="solid">
        <fgColor rgb="FF1A365D"/>
        <bgColor rgb="FF1A365D"/>
      </patternFill>
    </fill>
    <fill>
      <patternFill patternType="solid">
        <fgColor rgb="FF2B6CB0"/>
        <bgColor rgb="FF2B6CB0"/>
      </patternFill>
    </fill>
    <fill>
      <patternFill patternType="solid">
        <fgColor rgb="FFF7FAFC"/>
        <bgColor rgb="FFF7FAFC"/>
      </patternFill>
    </fill>
    <fill>
      <patternFill patternType="solid">
        <fgColor rgb="FFEBF8FF"/>
        <bgColor rgb="FFEBF8FF"/>
      </patternFill>
    </fill>
    <fill>
      <patternFill patternType="solid">
        <fgColor rgb="FFEDF2F7"/>
        <bgColor rgb="FFEDF2F7"/>
      </patternFill>
    </fill>
    <fill>
      <patternFill patternType="solid">
        <fgColor rgb="FFFFFDE7"/>
        <bgColor rgb="FFFFFDE7"/>
      </patternFill>
    </fill>
    <fill>
      <patternFill patternType="solid">
        <fgColor rgb="FFFAFAFA"/>
        <bgColor rgb="FFFAFAFA"/>
      </patternFill>
    </fill>
    <fill>
      <patternFill patternType="solid">
        <fgColor rgb="FFE6F4EA"/>
        <bgColor rgb="FFE6F4EA"/>
      </patternFill>
    </fill>
    <fill>
      <patternFill patternType="solid">
        <fgColor rgb="FFFCE8E6"/>
        <bgColor rgb="FFFCE8E6"/>
      </patternFill>
    </fill>
    <fill>
      <patternFill patternType="solid">
        <fgColor rgb="FFF8FAFC"/>
        <bgColor rgb="FFF8FAFC"/>
      </patternFill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</fills>
  <borders count="8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/>
      <bottom style="thin">
        <color rgb="FFCBD5E0"/>
      </bottom>
      <diagonal/>
    </border>
    <border>
      <left/>
      <right/>
      <top style="thin">
        <color rgb="FFCBD5E0"/>
      </top>
      <bottom/>
      <diagonal/>
    </border>
    <border>
      <left/>
      <right style="thin">
        <color rgb="FFCBD5E0"/>
      </right>
      <top style="thin">
        <color rgb="FFCBD5E0"/>
      </top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0" fontId="12" fillId="8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9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10" fillId="5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2" borderId="1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3" borderId="1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0" fillId="4" borderId="4" applyAlignment="1" pivotButton="0" quotePrefix="0" xfId="0">
      <alignment horizontal="center" vertical="center"/>
    </xf>
    <xf numFmtId="0" fontId="0" fillId="0" borderId="4" pivotButton="0" quotePrefix="0" xfId="0"/>
    <xf numFmtId="0" fontId="16" fillId="15" borderId="7" applyAlignment="1" pivotButton="0" quotePrefix="0" xfId="0">
      <alignment horizontal="center" vertical="center"/>
    </xf>
    <xf numFmtId="0" fontId="15" fillId="14" borderId="0" applyAlignment="1" pivotButton="0" quotePrefix="0" xfId="0">
      <alignment horizontal="center" vertical="center"/>
    </xf>
    <xf numFmtId="0" fontId="7" fillId="0" borderId="7" pivotButton="0" quotePrefix="0" xfId="0"/>
  </cellXfs>
  <cellStyles count="1">
    <cellStyle name="Normal" xfId="0" builtinId="0"/>
  </cellStyles>
  <dxfs count="1">
    <dxf>
      <fill>
        <patternFill patternType="solid">
          <fgColor rgb="00FFFDE7"/>
          <bgColor rgb="00FFFD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182CE"/>
    <outlinePr summaryBelow="1" summaryRight="1"/>
    <pageSetUpPr/>
  </sheetPr>
  <dimension ref="B2:U119"/>
  <sheetViews>
    <sheetView tabSelected="1" topLeftCell="A14" workbookViewId="0">
      <selection activeCell="N26" sqref="N26"/>
    </sheetView>
  </sheetViews>
  <sheetFormatPr baseColWidth="10" defaultColWidth="8.7265625" defaultRowHeight="14.5"/>
  <cols>
    <col width="10" customWidth="1" style="47" min="1" max="1"/>
    <col width="8" customWidth="1" style="47" min="2" max="2"/>
    <col width="22" customWidth="1" style="47" min="3" max="3"/>
    <col width="10" customWidth="1" style="47" min="4" max="4"/>
    <col width="4" customWidth="1" style="47" min="5" max="5"/>
    <col width="10" customWidth="1" style="47" min="6" max="6"/>
    <col width="22" customWidth="1" style="47" min="7" max="7"/>
    <col width="4" customWidth="1" style="47" min="8" max="8"/>
    <col width="6" customWidth="1" style="47" min="9" max="9"/>
    <col width="22" customWidth="1" style="47" min="10" max="10"/>
    <col width="17" customWidth="1" style="47" min="11" max="11"/>
    <col width="10" customWidth="1" style="47" min="12" max="16"/>
    <col width="39" customWidth="1" style="47" min="17" max="17"/>
    <col width="10" customWidth="1" style="47" min="18" max="18"/>
    <col width="12" customWidth="1" style="47" min="19" max="19"/>
    <col width="10" customWidth="1" style="47" min="20" max="21"/>
  </cols>
  <sheetData>
    <row r="2" ht="26" customHeight="1" s="47">
      <c r="B2" s="13" t="inlineStr">
        <is>
          <t>⚽ PORRA MUNDIAL 2026 - FASE DE GRUPOS</t>
        </is>
      </c>
      <c r="J2" s="1" t="inlineStr">
        <is>
          <t>PARTICIPANTE:</t>
        </is>
      </c>
      <c r="K2" s="52" t="inlineStr">
        <is>
          <t>Tu Nombre Aqui</t>
        </is>
      </c>
      <c r="L2" s="53" t="n"/>
      <c r="M2" s="45" t="n"/>
    </row>
    <row r="3" ht="16" customHeight="1" s="47">
      <c r="B3" s="14" t="inlineStr">
        <is>
          <t>Rellena los goles (celdas crema). Los partidos no jugados NO suman puntos ni goles automáticamente.</t>
        </is>
      </c>
    </row>
    <row r="5" ht="24" customHeight="1" s="47">
      <c r="B5" s="56" t="inlineStr">
        <is>
          <t>🏆 PREMIOS ESPECIALES DEL MUNDIAL</t>
        </is>
      </c>
      <c r="C5" s="57" t="n"/>
      <c r="D5" s="57" t="n"/>
      <c r="E5" s="57" t="n"/>
      <c r="Q5" s="49" t="inlineStr">
        <is>
          <t>📊 TOP 3º PUESTOS (MEJORES TERCEROS)</t>
        </is>
      </c>
    </row>
    <row r="6" ht="20" customHeight="1" s="47">
      <c r="B6" s="15" t="inlineStr">
        <is>
          <t>Balon de Oro (Mejor Jugador)</t>
        </is>
      </c>
      <c r="C6" s="15" t="n"/>
      <c r="D6" s="48" t="inlineStr">
        <is>
          <t>Escribe Jugador</t>
        </is>
      </c>
      <c r="E6" s="45" t="n"/>
      <c r="Q6" s="16" t="inlineStr">
        <is>
          <t>Pos</t>
        </is>
      </c>
      <c r="R6" s="16" t="inlineStr">
        <is>
          <t>Equipo</t>
        </is>
      </c>
      <c r="S6" s="16" t="inlineStr">
        <is>
          <t>Pts</t>
        </is>
      </c>
      <c r="T6" s="16" t="inlineStr">
        <is>
          <t>GF</t>
        </is>
      </c>
      <c r="U6" s="16" t="inlineStr">
        <is>
          <t>DG</t>
        </is>
      </c>
    </row>
    <row r="7" ht="20" customHeight="1" s="47">
      <c r="B7" s="15" t="inlineStr">
        <is>
          <t>Balon de Plata</t>
        </is>
      </c>
      <c r="C7" s="15" t="n"/>
      <c r="D7" s="48" t="inlineStr">
        <is>
          <t>Escribe Jugador</t>
        </is>
      </c>
      <c r="E7" s="45" t="n"/>
      <c r="Q7" s="17" t="n">
        <v>1</v>
      </c>
      <c r="R7" s="18">
        <f>Calculos_Internos!H160</f>
        <v/>
      </c>
      <c r="S7" s="17">
        <f>SUMIFS(Calculos_Internos!$C$160:$C$171, Calculos_Internos!$B$160:$B$171, R7)</f>
        <v/>
      </c>
      <c r="T7" s="17">
        <f>SUMIFS(Calculos_Internos!$D$160:$D$171, Calculos_Internos!$B$160:$B$171, R7)</f>
        <v/>
      </c>
      <c r="U7" s="17">
        <f>SUMIFS(Calculos_Internos!$E$160:$E$171, Calculos_Internos!$B$160:$B$171, R7)</f>
        <v/>
      </c>
    </row>
    <row r="8" ht="20" customHeight="1" s="47">
      <c r="B8" s="15" t="inlineStr">
        <is>
          <t>Balon de Bronce</t>
        </is>
      </c>
      <c r="C8" s="15" t="n"/>
      <c r="D8" s="48" t="inlineStr">
        <is>
          <t>Escribe Jugador</t>
        </is>
      </c>
      <c r="E8" s="45" t="n"/>
      <c r="Q8" s="17" t="n">
        <v>2</v>
      </c>
      <c r="R8" s="18">
        <f>Calculos_Internos!H161</f>
        <v/>
      </c>
      <c r="S8" s="17">
        <f>SUMIFS(Calculos_Internos!$C$160:$C$171, Calculos_Internos!$B$160:$B$171, R8)</f>
        <v/>
      </c>
      <c r="T8" s="17">
        <f>SUMIFS(Calculos_Internos!$D$160:$D$171, Calculos_Internos!$B$160:$B$171, R8)</f>
        <v/>
      </c>
      <c r="U8" s="17">
        <f>SUMIFS(Calculos_Internos!$E$160:$E$171, Calculos_Internos!$B$160:$B$171, R8)</f>
        <v/>
      </c>
    </row>
    <row r="9" ht="20" customHeight="1" s="47">
      <c r="B9" s="15" t="inlineStr">
        <is>
          <t>Maximo Goleador (Bota de Oro)</t>
        </is>
      </c>
      <c r="C9" s="15" t="n"/>
      <c r="D9" s="48" t="inlineStr">
        <is>
          <t>Escribe Jugador</t>
        </is>
      </c>
      <c r="E9" s="45" t="n"/>
      <c r="Q9" s="17" t="n">
        <v>3</v>
      </c>
      <c r="R9" s="18">
        <f>Calculos_Internos!H162</f>
        <v/>
      </c>
      <c r="S9" s="17">
        <f>SUMIFS(Calculos_Internos!$C$160:$C$171, Calculos_Internos!$B$160:$B$171, R9)</f>
        <v/>
      </c>
      <c r="T9" s="17">
        <f>SUMIFS(Calculos_Internos!$D$160:$D$171, Calculos_Internos!$B$160:$B$171, R9)</f>
        <v/>
      </c>
      <c r="U9" s="17">
        <f>SUMIFS(Calculos_Internos!$E$160:$E$171, Calculos_Internos!$B$160:$B$171, R9)</f>
        <v/>
      </c>
    </row>
    <row r="10" ht="20" customHeight="1" s="47">
      <c r="B10" s="15" t="inlineStr">
        <is>
          <t>Maximo Goleador (Plata)</t>
        </is>
      </c>
      <c r="C10" s="15" t="n"/>
      <c r="D10" s="48" t="inlineStr">
        <is>
          <t>Escribe Jugador</t>
        </is>
      </c>
      <c r="E10" s="45" t="n"/>
      <c r="Q10" s="17" t="n">
        <v>4</v>
      </c>
      <c r="R10" s="18">
        <f>Calculos_Internos!H163</f>
        <v/>
      </c>
      <c r="S10" s="17">
        <f>SUMIFS(Calculos_Internos!$C$160:$C$171, Calculos_Internos!$B$160:$B$171, R10)</f>
        <v/>
      </c>
      <c r="T10" s="17">
        <f>SUMIFS(Calculos_Internos!$D$160:$D$171, Calculos_Internos!$B$160:$B$171, R10)</f>
        <v/>
      </c>
      <c r="U10" s="17">
        <f>SUMIFS(Calculos_Internos!$E$160:$E$171, Calculos_Internos!$B$160:$B$171, R10)</f>
        <v/>
      </c>
    </row>
    <row r="11" ht="20" customHeight="1" s="47">
      <c r="B11" s="15" t="inlineStr">
        <is>
          <t>Maximo Goleador (Bronce)</t>
        </is>
      </c>
      <c r="C11" s="15" t="n"/>
      <c r="D11" s="48" t="inlineStr">
        <is>
          <t>Escribe Jugador</t>
        </is>
      </c>
      <c r="E11" s="45" t="n"/>
      <c r="Q11" s="17" t="n">
        <v>5</v>
      </c>
      <c r="R11" s="18">
        <f>Calculos_Internos!H164</f>
        <v/>
      </c>
      <c r="S11" s="17">
        <f>SUMIFS(Calculos_Internos!$C$160:$C$171, Calculos_Internos!$B$160:$B$171, R11)</f>
        <v/>
      </c>
      <c r="T11" s="17">
        <f>SUMIFS(Calculos_Internos!$D$160:$D$171, Calculos_Internos!$B$160:$B$171, R11)</f>
        <v/>
      </c>
      <c r="U11" s="17">
        <f>SUMIFS(Calculos_Internos!$E$160:$E$171, Calculos_Internos!$B$160:$B$171, R11)</f>
        <v/>
      </c>
    </row>
    <row r="12" ht="20" customHeight="1" s="47">
      <c r="Q12" s="17" t="n">
        <v>6</v>
      </c>
      <c r="R12" s="18">
        <f>Calculos_Internos!H165</f>
        <v/>
      </c>
      <c r="S12" s="17">
        <f>SUMIFS(Calculos_Internos!$C$160:$C$171, Calculos_Internos!$B$160:$B$171, R12)</f>
        <v/>
      </c>
      <c r="T12" s="17">
        <f>SUMIFS(Calculos_Internos!$D$160:$D$171, Calculos_Internos!$B$160:$B$171, R12)</f>
        <v/>
      </c>
      <c r="U12" s="17">
        <f>SUMIFS(Calculos_Internos!$E$160:$E$171, Calculos_Internos!$B$160:$B$171, R12)</f>
        <v/>
      </c>
    </row>
    <row r="13" ht="20" customHeight="1" s="47">
      <c r="Q13" s="17" t="n">
        <v>7</v>
      </c>
      <c r="R13" s="18">
        <f>Calculos_Internos!H166</f>
        <v/>
      </c>
      <c r="S13" s="17">
        <f>SUMIFS(Calculos_Internos!$C$160:$C$171, Calculos_Internos!$B$160:$B$171, R13)</f>
        <v/>
      </c>
      <c r="T13" s="17">
        <f>SUMIFS(Calculos_Internos!$D$160:$D$171, Calculos_Internos!$B$160:$B$171, R13)</f>
        <v/>
      </c>
      <c r="U13" s="17">
        <f>SUMIFS(Calculos_Internos!$E$160:$E$171, Calculos_Internos!$B$160:$B$171, R13)</f>
        <v/>
      </c>
    </row>
    <row r="14" ht="20" customHeight="1" s="47">
      <c r="B14" s="49" t="inlineStr">
        <is>
          <t>📅 PARTIDOS GRUPO A</t>
        </is>
      </c>
      <c r="I14" s="46" t="inlineStr">
        <is>
          <t>📊 CLASIFICACION GRUPO A</t>
        </is>
      </c>
      <c r="Q14" s="17" t="n">
        <v>8</v>
      </c>
      <c r="R14" s="18">
        <f>Calculos_Internos!H167</f>
        <v/>
      </c>
      <c r="S14" s="17">
        <f>SUMIFS(Calculos_Internos!$C$160:$C$171, Calculos_Internos!$B$160:$B$171, R14)</f>
        <v/>
      </c>
      <c r="T14" s="17">
        <f>SUMIFS(Calculos_Internos!$D$160:$D$171, Calculos_Internos!$B$160:$B$171, R14)</f>
        <v/>
      </c>
      <c r="U14" s="17">
        <f>SUMIFS(Calculos_Internos!$E$160:$E$171, Calculos_Internos!$B$160:$B$171, R14)</f>
        <v/>
      </c>
    </row>
    <row r="15" ht="20" customHeight="1" s="47">
      <c r="B15" s="19" t="inlineStr">
        <is>
          <t>M001</t>
        </is>
      </c>
      <c r="C15" s="20" t="inlineStr">
        <is>
          <t>Mexico</t>
        </is>
      </c>
      <c r="D15" s="21" t="n"/>
      <c r="E15" s="22" t="inlineStr">
        <is>
          <t>-</t>
        </is>
      </c>
      <c r="F15" s="21" t="n"/>
      <c r="G15" s="23" t="inlineStr">
        <is>
          <t>Sudafrica</t>
        </is>
      </c>
      <c r="I15" s="16" t="inlineStr">
        <is>
          <t>Pos</t>
        </is>
      </c>
      <c r="J15" s="16" t="inlineStr">
        <is>
          <t>Equipo</t>
        </is>
      </c>
      <c r="K15" s="16" t="inlineStr">
        <is>
          <t>Pts</t>
        </is>
      </c>
      <c r="L15" s="16" t="inlineStr">
        <is>
          <t>GF</t>
        </is>
      </c>
      <c r="M15" s="16" t="inlineStr">
        <is>
          <t>GC</t>
        </is>
      </c>
      <c r="N15" s="16" t="inlineStr">
        <is>
          <t>DG</t>
        </is>
      </c>
      <c r="Q15" s="24" t="n">
        <v>9</v>
      </c>
      <c r="R15" s="25">
        <f>Calculos_Internos!H168</f>
        <v/>
      </c>
      <c r="S15" s="24">
        <f>SUMIFS(Calculos_Internos!$C$160:$C$171, Calculos_Internos!$B$160:$B$171, R15)</f>
        <v/>
      </c>
      <c r="T15" s="24">
        <f>SUMIFS(Calculos_Internos!$D$160:$D$171, Calculos_Internos!$B$160:$B$171, R15)</f>
        <v/>
      </c>
      <c r="U15" s="24">
        <f>SUMIFS(Calculos_Internos!$E$160:$E$171, Calculos_Internos!$B$160:$B$171, R15)</f>
        <v/>
      </c>
    </row>
    <row r="16" ht="20" customHeight="1" s="47">
      <c r="B16" s="26" t="inlineStr">
        <is>
          <t>M002</t>
        </is>
      </c>
      <c r="C16" s="27" t="inlineStr">
        <is>
          <t>Corea del Sur</t>
        </is>
      </c>
      <c r="D16" s="21" t="n"/>
      <c r="E16" s="28" t="inlineStr">
        <is>
          <t>-</t>
        </is>
      </c>
      <c r="F16" s="21" t="n"/>
      <c r="G16" s="29" t="inlineStr">
        <is>
          <t>Rep. Checa</t>
        </is>
      </c>
      <c r="I16" s="30" t="n">
        <v>1</v>
      </c>
      <c r="J16" s="18">
        <f>Calculos_Internos!H81</f>
        <v/>
      </c>
      <c r="K16" s="30">
        <f>SUMIFS(Calculos_Internos!$B$81:$B$84, Calculos_Internos!$A$81:$A$84, J16)</f>
        <v/>
      </c>
      <c r="L16" s="30">
        <f>SUMIFS(Calculos_Internos!$C$81:$C$84, Calculos_Internos!$A$81:$A$84, J16)</f>
        <v/>
      </c>
      <c r="M16" s="30">
        <f>SUMIFS(Calculos_Internos!$D$81:$D$84, Calculos_Internos!$A$81:$A$84, J16)</f>
        <v/>
      </c>
      <c r="N16" s="30">
        <f>SUMIFS(Calculos_Internos!$E$81:$E$84, Calculos_Internos!$A$81:$A$84, J16)</f>
        <v/>
      </c>
      <c r="Q16" s="24" t="n">
        <v>10</v>
      </c>
      <c r="R16" s="25">
        <f>Calculos_Internos!H169</f>
        <v/>
      </c>
      <c r="S16" s="24">
        <f>SUMIFS(Calculos_Internos!$C$160:$C$171, Calculos_Internos!$B$160:$B$171, R16)</f>
        <v/>
      </c>
      <c r="T16" s="24">
        <f>SUMIFS(Calculos_Internos!$D$160:$D$171, Calculos_Internos!$B$160:$B$171, R16)</f>
        <v/>
      </c>
      <c r="U16" s="24">
        <f>SUMIFS(Calculos_Internos!$E$160:$E$171, Calculos_Internos!$B$160:$B$171, R16)</f>
        <v/>
      </c>
    </row>
    <row r="17" ht="20" customHeight="1" s="47">
      <c r="B17" s="19" t="inlineStr">
        <is>
          <t>M003</t>
        </is>
      </c>
      <c r="C17" s="20" t="inlineStr">
        <is>
          <t>Mexico</t>
        </is>
      </c>
      <c r="D17" s="21" t="n"/>
      <c r="E17" s="22" t="inlineStr">
        <is>
          <t>-</t>
        </is>
      </c>
      <c r="F17" s="21" t="n"/>
      <c r="G17" s="23" t="inlineStr">
        <is>
          <t>Corea del Sur</t>
        </is>
      </c>
      <c r="I17" s="17" t="n">
        <v>2</v>
      </c>
      <c r="J17" s="18">
        <f>Calculos_Internos!H82</f>
        <v/>
      </c>
      <c r="K17" s="17">
        <f>SUMIFS(Calculos_Internos!$B$81:$B$84, Calculos_Internos!$A$81:$A$84, J17)</f>
        <v/>
      </c>
      <c r="L17" s="17">
        <f>SUMIFS(Calculos_Internos!$C$81:$C$84, Calculos_Internos!$A$81:$A$84, J17)</f>
        <v/>
      </c>
      <c r="M17" s="17">
        <f>SUMIFS(Calculos_Internos!$D$81:$D$84, Calculos_Internos!$A$81:$A$84, J17)</f>
        <v/>
      </c>
      <c r="N17" s="17">
        <f>SUMIFS(Calculos_Internos!$E$81:$E$84, Calculos_Internos!$A$81:$A$84, J17)</f>
        <v/>
      </c>
      <c r="Q17" s="24" t="n">
        <v>11</v>
      </c>
      <c r="R17" s="25">
        <f>Calculos_Internos!H170</f>
        <v/>
      </c>
      <c r="S17" s="24">
        <f>SUMIFS(Calculos_Internos!$C$160:$C$171, Calculos_Internos!$B$160:$B$171, R17)</f>
        <v/>
      </c>
      <c r="T17" s="24">
        <f>SUMIFS(Calculos_Internos!$D$160:$D$171, Calculos_Internos!$B$160:$B$171, R17)</f>
        <v/>
      </c>
      <c r="U17" s="24">
        <f>SUMIFS(Calculos_Internos!$E$160:$E$171, Calculos_Internos!$B$160:$B$171, R17)</f>
        <v/>
      </c>
    </row>
    <row r="18" ht="20" customHeight="1" s="47">
      <c r="B18" s="26" t="inlineStr">
        <is>
          <t>M004</t>
        </is>
      </c>
      <c r="C18" s="27" t="inlineStr">
        <is>
          <t>Sudafrica</t>
        </is>
      </c>
      <c r="D18" s="21" t="n"/>
      <c r="E18" s="28" t="inlineStr">
        <is>
          <t>-</t>
        </is>
      </c>
      <c r="F18" s="21" t="n"/>
      <c r="G18" s="29" t="inlineStr">
        <is>
          <t>Rep. Checa</t>
        </is>
      </c>
      <c r="I18" s="31" t="n">
        <v>3</v>
      </c>
      <c r="J18" s="32">
        <f>Calculos_Internos!H83</f>
        <v/>
      </c>
      <c r="K18" s="31">
        <f>SUMIFS(Calculos_Internos!$B$81:$B$84, Calculos_Internos!$A$81:$A$84, J18)</f>
        <v/>
      </c>
      <c r="L18" s="31">
        <f>SUMIFS(Calculos_Internos!$C$81:$C$84, Calculos_Internos!$A$81:$A$84, J18)</f>
        <v/>
      </c>
      <c r="M18" s="31">
        <f>SUMIFS(Calculos_Internos!$D$81:$D$84, Calculos_Internos!$A$81:$A$84, J18)</f>
        <v/>
      </c>
      <c r="N18" s="31">
        <f>SUMIFS(Calculos_Internos!$E$81:$E$84, Calculos_Internos!$A$81:$A$84, J18)</f>
        <v/>
      </c>
      <c r="Q18" s="24" t="n">
        <v>12</v>
      </c>
      <c r="R18" s="25">
        <f>Calculos_Internos!H171</f>
        <v/>
      </c>
      <c r="S18" s="24">
        <f>SUMIFS(Calculos_Internos!$C$160:$C$171, Calculos_Internos!$B$160:$B$171, R18)</f>
        <v/>
      </c>
      <c r="T18" s="24">
        <f>SUMIFS(Calculos_Internos!$D$160:$D$171, Calculos_Internos!$B$160:$B$171, R18)</f>
        <v/>
      </c>
      <c r="U18" s="24">
        <f>SUMIFS(Calculos_Internos!$E$160:$E$171, Calculos_Internos!$B$160:$B$171, R18)</f>
        <v/>
      </c>
    </row>
    <row r="19" ht="20" customHeight="1" s="47">
      <c r="B19" s="19" t="inlineStr">
        <is>
          <t>M005</t>
        </is>
      </c>
      <c r="C19" s="20" t="inlineStr">
        <is>
          <t>Rep. Checa</t>
        </is>
      </c>
      <c r="D19" s="21" t="n"/>
      <c r="E19" s="22" t="inlineStr">
        <is>
          <t>-</t>
        </is>
      </c>
      <c r="F19" s="21" t="n"/>
      <c r="G19" s="23" t="inlineStr">
        <is>
          <t>Mexico</t>
        </is>
      </c>
      <c r="I19" s="24" t="n">
        <v>4</v>
      </c>
      <c r="J19" s="33">
        <f>Calculos_Internos!H84</f>
        <v/>
      </c>
      <c r="K19" s="24">
        <f>SUMIFS(Calculos_Internos!$B$81:$B$84, Calculos_Internos!$A$81:$A$84, J19)</f>
        <v/>
      </c>
      <c r="L19" s="24">
        <f>SUMIFS(Calculos_Internos!$C$81:$C$84, Calculos_Internos!$A$81:$A$84, J19)</f>
        <v/>
      </c>
      <c r="M19" s="24">
        <f>SUMIFS(Calculos_Internos!$D$81:$D$84, Calculos_Internos!$A$81:$A$84, J19)</f>
        <v/>
      </c>
      <c r="N19" s="24">
        <f>SUMIFS(Calculos_Internos!$E$81:$E$84, Calculos_Internos!$A$81:$A$84, J19)</f>
        <v/>
      </c>
    </row>
    <row r="20" ht="20" customHeight="1" s="47">
      <c r="B20" s="26" t="inlineStr">
        <is>
          <t>M006</t>
        </is>
      </c>
      <c r="C20" s="27" t="inlineStr">
        <is>
          <t>Sudafrica</t>
        </is>
      </c>
      <c r="D20" s="21" t="n"/>
      <c r="E20" s="28" t="inlineStr">
        <is>
          <t>-</t>
        </is>
      </c>
      <c r="F20" s="21" t="n"/>
      <c r="G20" s="29" t="inlineStr">
        <is>
          <t>Corea del Sur</t>
        </is>
      </c>
    </row>
    <row r="21">
      <c r="Q21" s="50" t="inlineStr">
        <is>
          <t>🔥 ESTADÍSTICAS MÁXIMAS (SELECCIONES)</t>
        </is>
      </c>
    </row>
    <row r="22">
      <c r="Q22" s="44" t="inlineStr">
        <is>
          <t>Categoría</t>
        </is>
      </c>
      <c r="R22" s="45" t="n"/>
      <c r="S22" s="44" t="inlineStr">
        <is>
          <t>Selección</t>
        </is>
      </c>
      <c r="T22" s="45" t="n"/>
      <c r="U22" s="44" t="inlineStr">
        <is>
          <t>Goles</t>
        </is>
      </c>
    </row>
    <row r="23" ht="26" customHeight="1" s="47">
      <c r="B23" s="49" t="inlineStr">
        <is>
          <t>📅 PARTIDOS GRUPO B</t>
        </is>
      </c>
      <c r="I23" s="46" t="inlineStr">
        <is>
          <t>📊 CLASIFICACION GRUPO B</t>
        </is>
      </c>
      <c r="Q23" s="51" t="inlineStr">
        <is>
          <t>Más Goleadora (GF)</t>
        </is>
      </c>
      <c r="R23" s="45" t="n"/>
      <c r="S23" s="54">
        <f>INDEX(Calculos_Internos!$A$81:$A$151, MATCH(MAX(Calculos_Internos!$L$81:$L$151), Calculos_Internos!$L$81:$L$151, 0))</f>
        <v/>
      </c>
      <c r="T23" s="45" t="n"/>
      <c r="U23" s="10">
        <f>MAX(Calculos_Internos!$L$81:$L$151)</f>
        <v/>
      </c>
    </row>
    <row r="24" ht="20" customHeight="1" s="47">
      <c r="B24" s="26" t="inlineStr">
        <is>
          <t>M007</t>
        </is>
      </c>
      <c r="C24" s="27" t="inlineStr">
        <is>
          <t>Canada</t>
        </is>
      </c>
      <c r="D24" s="21" t="n"/>
      <c r="E24" s="28" t="inlineStr">
        <is>
          <t>-</t>
        </is>
      </c>
      <c r="F24" s="21" t="n"/>
      <c r="G24" s="29" t="inlineStr">
        <is>
          <t>Bosnia y Herzegovina</t>
        </is>
      </c>
      <c r="I24" s="16" t="inlineStr">
        <is>
          <t>Pos</t>
        </is>
      </c>
      <c r="J24" s="16" t="inlineStr">
        <is>
          <t>Equipo</t>
        </is>
      </c>
      <c r="K24" s="16" t="inlineStr">
        <is>
          <t>Pts</t>
        </is>
      </c>
      <c r="L24" s="16" t="inlineStr">
        <is>
          <t>GF</t>
        </is>
      </c>
      <c r="M24" s="16" t="inlineStr">
        <is>
          <t>GC</t>
        </is>
      </c>
      <c r="N24" s="16" t="inlineStr">
        <is>
          <t>DG</t>
        </is>
      </c>
      <c r="Q24" s="51" t="inlineStr">
        <is>
          <t>Más Goleada (GC)</t>
        </is>
      </c>
      <c r="R24" s="45" t="n"/>
      <c r="S24" s="54">
        <f>INDEX(Calculos_Internos!$A$81:$A$151, MATCH(MAX(Calculos_Internos!$M$81:$M$151), Calculos_Internos!$M$81:$M$151, 0))</f>
        <v/>
      </c>
      <c r="T24" s="45" t="n"/>
      <c r="U24" s="10">
        <f>MAX(Calculos_Internos!$M$81:$M$151)</f>
        <v/>
      </c>
    </row>
    <row r="25" ht="20" customHeight="1" s="47">
      <c r="B25" s="19" t="inlineStr">
        <is>
          <t>M008</t>
        </is>
      </c>
      <c r="C25" s="20" t="inlineStr">
        <is>
          <t>Catar</t>
        </is>
      </c>
      <c r="D25" s="21" t="n"/>
      <c r="E25" s="22" t="inlineStr">
        <is>
          <t>-</t>
        </is>
      </c>
      <c r="F25" s="21" t="n"/>
      <c r="G25" s="23" t="inlineStr">
        <is>
          <t>Suiza</t>
        </is>
      </c>
      <c r="I25" s="30" t="n">
        <v>1</v>
      </c>
      <c r="J25" s="18">
        <f>Calculos_Internos!H87</f>
        <v/>
      </c>
      <c r="K25" s="30">
        <f>SUMIFS(Calculos_Internos!$B$87:$B$90, Calculos_Internos!$A$87:$A$90, J25)</f>
        <v/>
      </c>
      <c r="L25" s="30">
        <f>SUMIFS(Calculos_Internos!$C$87:$C$90, Calculos_Internos!$A$87:$A$90, J25)</f>
        <v/>
      </c>
      <c r="M25" s="30">
        <f>SUMIFS(Calculos_Internos!$D$87:$D$90, Calculos_Internos!$A$87:$A$90, J25)</f>
        <v/>
      </c>
      <c r="N25" s="30">
        <f>SUMIFS(Calculos_Internos!$E$87:$E$90, Calculos_Internos!$A$87:$A$90, J25)</f>
        <v/>
      </c>
    </row>
    <row r="26" ht="20" customHeight="1" s="47">
      <c r="B26" s="26" t="inlineStr">
        <is>
          <t>M009</t>
        </is>
      </c>
      <c r="C26" s="27" t="inlineStr">
        <is>
          <t>Canada</t>
        </is>
      </c>
      <c r="D26" s="21" t="n"/>
      <c r="E26" s="28" t="inlineStr">
        <is>
          <t>-</t>
        </is>
      </c>
      <c r="F26" s="21" t="n"/>
      <c r="G26" s="29" t="inlineStr">
        <is>
          <t>Catar</t>
        </is>
      </c>
      <c r="I26" s="17" t="n">
        <v>2</v>
      </c>
      <c r="J26" s="18">
        <f>Calculos_Internos!H88</f>
        <v/>
      </c>
      <c r="K26" s="17">
        <f>SUMIFS(Calculos_Internos!$B$87:$B$90, Calculos_Internos!$A$87:$A$90, J26)</f>
        <v/>
      </c>
      <c r="L26" s="17">
        <f>SUMIFS(Calculos_Internos!$C$87:$C$90, Calculos_Internos!$A$87:$A$90, J26)</f>
        <v/>
      </c>
      <c r="M26" s="17">
        <f>SUMIFS(Calculos_Internos!$D$87:$D$90, Calculos_Internos!$A$87:$A$90, J26)</f>
        <v/>
      </c>
      <c r="N26" s="17">
        <f>SUMIFS(Calculos_Internos!$E$87:$E$90, Calculos_Internos!$A$87:$A$90, J26)</f>
        <v/>
      </c>
    </row>
    <row r="27" ht="20" customHeight="1" s="47">
      <c r="B27" s="19" t="inlineStr">
        <is>
          <t>M010</t>
        </is>
      </c>
      <c r="C27" s="20" t="inlineStr">
        <is>
          <t>Bosnia y Herzegovina</t>
        </is>
      </c>
      <c r="D27" s="21" t="n"/>
      <c r="E27" s="22" t="inlineStr">
        <is>
          <t>-</t>
        </is>
      </c>
      <c r="F27" s="21" t="n"/>
      <c r="G27" s="23" t="inlineStr">
        <is>
          <t>Suiza</t>
        </is>
      </c>
      <c r="I27" s="31" t="n">
        <v>3</v>
      </c>
      <c r="J27" s="32">
        <f>Calculos_Internos!H89</f>
        <v/>
      </c>
      <c r="K27" s="31">
        <f>SUMIFS(Calculos_Internos!$B$87:$B$90, Calculos_Internos!$A$87:$A$90, J27)</f>
        <v/>
      </c>
      <c r="L27" s="31">
        <f>SUMIFS(Calculos_Internos!$C$87:$C$90, Calculos_Internos!$A$87:$A$90, J27)</f>
        <v/>
      </c>
      <c r="M27" s="31">
        <f>SUMIFS(Calculos_Internos!$D$87:$D$90, Calculos_Internos!$A$87:$A$90, J27)</f>
        <v/>
      </c>
      <c r="N27" s="31">
        <f>SUMIFS(Calculos_Internos!$E$87:$E$90, Calculos_Internos!$A$87:$A$90, J27)</f>
        <v/>
      </c>
    </row>
    <row r="28" ht="20" customHeight="1" s="47">
      <c r="B28" s="26" t="inlineStr">
        <is>
          <t>M011</t>
        </is>
      </c>
      <c r="C28" s="27" t="inlineStr">
        <is>
          <t>Suiza</t>
        </is>
      </c>
      <c r="D28" s="21" t="n"/>
      <c r="E28" s="28" t="inlineStr">
        <is>
          <t>-</t>
        </is>
      </c>
      <c r="F28" s="21" t="n"/>
      <c r="G28" s="29" t="inlineStr">
        <is>
          <t>Canada</t>
        </is>
      </c>
      <c r="I28" s="24" t="n">
        <v>4</v>
      </c>
      <c r="J28" s="33">
        <f>Calculos_Internos!H90</f>
        <v/>
      </c>
      <c r="K28" s="24">
        <f>SUMIFS(Calculos_Internos!$B$87:$B$90, Calculos_Internos!$A$87:$A$90, J28)</f>
        <v/>
      </c>
      <c r="L28" s="24">
        <f>SUMIFS(Calculos_Internos!$C$87:$C$90, Calculos_Internos!$A$87:$A$90, J28)</f>
        <v/>
      </c>
      <c r="M28" s="24">
        <f>SUMIFS(Calculos_Internos!$D$87:$D$90, Calculos_Internos!$A$87:$A$90, J28)</f>
        <v/>
      </c>
      <c r="N28" s="24">
        <f>SUMIFS(Calculos_Internos!$E$87:$E$90, Calculos_Internos!$A$87:$A$90, J28)</f>
        <v/>
      </c>
    </row>
    <row r="29" ht="20" customHeight="1" s="47">
      <c r="B29" s="19" t="inlineStr">
        <is>
          <t>M012</t>
        </is>
      </c>
      <c r="C29" s="20" t="inlineStr">
        <is>
          <t>Bosnia y Herzegovina</t>
        </is>
      </c>
      <c r="D29" s="21" t="n"/>
      <c r="E29" s="22" t="inlineStr">
        <is>
          <t>-</t>
        </is>
      </c>
      <c r="F29" s="21" t="n"/>
      <c r="G29" s="23" t="inlineStr">
        <is>
          <t>Catar</t>
        </is>
      </c>
    </row>
    <row r="32" ht="26" customHeight="1" s="47">
      <c r="B32" s="49" t="inlineStr">
        <is>
          <t>📅 PARTIDOS GRUPO C</t>
        </is>
      </c>
      <c r="I32" s="46" t="inlineStr">
        <is>
          <t>📊 CLASIFICACION GRUPO C</t>
        </is>
      </c>
    </row>
    <row r="33" ht="20" customHeight="1" s="47">
      <c r="B33" s="19" t="inlineStr">
        <is>
          <t>M013</t>
        </is>
      </c>
      <c r="C33" s="20" t="inlineStr">
        <is>
          <t>Brasil</t>
        </is>
      </c>
      <c r="D33" s="21" t="n"/>
      <c r="E33" s="22" t="inlineStr">
        <is>
          <t>-</t>
        </is>
      </c>
      <c r="F33" s="21" t="n"/>
      <c r="G33" s="23" t="inlineStr">
        <is>
          <t>Marruecos</t>
        </is>
      </c>
      <c r="I33" s="16" t="inlineStr">
        <is>
          <t>Pos</t>
        </is>
      </c>
      <c r="J33" s="16" t="inlineStr">
        <is>
          <t>Equipo</t>
        </is>
      </c>
      <c r="K33" s="16" t="inlineStr">
        <is>
          <t>Pts</t>
        </is>
      </c>
      <c r="L33" s="16" t="inlineStr">
        <is>
          <t>GF</t>
        </is>
      </c>
      <c r="M33" s="16" t="inlineStr">
        <is>
          <t>GC</t>
        </is>
      </c>
      <c r="N33" s="16" t="inlineStr">
        <is>
          <t>DG</t>
        </is>
      </c>
    </row>
    <row r="34" ht="20" customHeight="1" s="47">
      <c r="B34" s="26" t="inlineStr">
        <is>
          <t>M014</t>
        </is>
      </c>
      <c r="C34" s="27" t="inlineStr">
        <is>
          <t>Haiti</t>
        </is>
      </c>
      <c r="D34" s="21" t="n"/>
      <c r="E34" s="28" t="inlineStr">
        <is>
          <t>-</t>
        </is>
      </c>
      <c r="F34" s="21" t="n"/>
      <c r="G34" s="29" t="inlineStr">
        <is>
          <t>Escocia</t>
        </is>
      </c>
      <c r="I34" s="30" t="n">
        <v>1</v>
      </c>
      <c r="J34" s="18">
        <f>Calculos_Internos!H93</f>
        <v/>
      </c>
      <c r="K34" s="30">
        <f>SUMIFS(Calculos_Internos!$B$93:$B$96, Calculos_Internos!$A$93:$A$96, J34)</f>
        <v/>
      </c>
      <c r="L34" s="30">
        <f>SUMIFS(Calculos_Internos!$C$93:$C$96, Calculos_Internos!$A$93:$A$96, J34)</f>
        <v/>
      </c>
      <c r="M34" s="30">
        <f>SUMIFS(Calculos_Internos!$D$93:$D$96, Calculos_Internos!$A$93:$A$96, J34)</f>
        <v/>
      </c>
      <c r="N34" s="30">
        <f>SUMIFS(Calculos_Internos!$E$93:$E$96, Calculos_Internos!$A$93:$A$96, J34)</f>
        <v/>
      </c>
    </row>
    <row r="35" ht="20" customHeight="1" s="47">
      <c r="B35" s="19" t="inlineStr">
        <is>
          <t>M015</t>
        </is>
      </c>
      <c r="C35" s="20" t="inlineStr">
        <is>
          <t>Brasil</t>
        </is>
      </c>
      <c r="D35" s="21" t="n"/>
      <c r="E35" s="22" t="inlineStr">
        <is>
          <t>-</t>
        </is>
      </c>
      <c r="F35" s="21" t="n"/>
      <c r="G35" s="23" t="inlineStr">
        <is>
          <t>Haiti</t>
        </is>
      </c>
      <c r="I35" s="17" t="n">
        <v>2</v>
      </c>
      <c r="J35" s="18">
        <f>Calculos_Internos!H94</f>
        <v/>
      </c>
      <c r="K35" s="17">
        <f>SUMIFS(Calculos_Internos!$B$93:$B$96, Calculos_Internos!$A$93:$A$96, J35)</f>
        <v/>
      </c>
      <c r="L35" s="17">
        <f>SUMIFS(Calculos_Internos!$C$93:$C$96, Calculos_Internos!$A$93:$A$96, J35)</f>
        <v/>
      </c>
      <c r="M35" s="17">
        <f>SUMIFS(Calculos_Internos!$D$93:$D$96, Calculos_Internos!$A$93:$A$96, J35)</f>
        <v/>
      </c>
      <c r="N35" s="17">
        <f>SUMIFS(Calculos_Internos!$E$93:$E$96, Calculos_Internos!$A$93:$A$96, J35)</f>
        <v/>
      </c>
    </row>
    <row r="36" ht="20" customHeight="1" s="47">
      <c r="B36" s="26" t="inlineStr">
        <is>
          <t>M016</t>
        </is>
      </c>
      <c r="C36" s="27" t="inlineStr">
        <is>
          <t>Marruecos</t>
        </is>
      </c>
      <c r="D36" s="21" t="n"/>
      <c r="E36" s="28" t="inlineStr">
        <is>
          <t>-</t>
        </is>
      </c>
      <c r="F36" s="21" t="n"/>
      <c r="G36" s="29" t="inlineStr">
        <is>
          <t>Escocia</t>
        </is>
      </c>
      <c r="I36" s="31" t="n">
        <v>3</v>
      </c>
      <c r="J36" s="32">
        <f>Calculos_Internos!H95</f>
        <v/>
      </c>
      <c r="K36" s="31">
        <f>SUMIFS(Calculos_Internos!$B$93:$B$96, Calculos_Internos!$A$93:$A$96, J36)</f>
        <v/>
      </c>
      <c r="L36" s="31">
        <f>SUMIFS(Calculos_Internos!$C$93:$C$96, Calculos_Internos!$A$93:$A$96, J36)</f>
        <v/>
      </c>
      <c r="M36" s="31">
        <f>SUMIFS(Calculos_Internos!$D$93:$D$96, Calculos_Internos!$A$93:$A$96, J36)</f>
        <v/>
      </c>
      <c r="N36" s="31">
        <f>SUMIFS(Calculos_Internos!$E$93:$E$96, Calculos_Internos!$A$93:$A$96, J36)</f>
        <v/>
      </c>
    </row>
    <row r="37" ht="20" customHeight="1" s="47">
      <c r="B37" s="19" t="inlineStr">
        <is>
          <t>M017</t>
        </is>
      </c>
      <c r="C37" s="20" t="inlineStr">
        <is>
          <t>Escocia</t>
        </is>
      </c>
      <c r="D37" s="21" t="n"/>
      <c r="E37" s="22" t="inlineStr">
        <is>
          <t>-</t>
        </is>
      </c>
      <c r="F37" s="21" t="n"/>
      <c r="G37" s="23" t="inlineStr">
        <is>
          <t>Brasil</t>
        </is>
      </c>
      <c r="I37" s="24" t="n">
        <v>4</v>
      </c>
      <c r="J37" s="33">
        <f>Calculos_Internos!H96</f>
        <v/>
      </c>
      <c r="K37" s="24">
        <f>SUMIFS(Calculos_Internos!$B$93:$B$96, Calculos_Internos!$A$93:$A$96, J37)</f>
        <v/>
      </c>
      <c r="L37" s="24">
        <f>SUMIFS(Calculos_Internos!$C$93:$C$96, Calculos_Internos!$A$93:$A$96, J37)</f>
        <v/>
      </c>
      <c r="M37" s="24">
        <f>SUMIFS(Calculos_Internos!$D$93:$D$96, Calculos_Internos!$A$93:$A$96, J37)</f>
        <v/>
      </c>
      <c r="N37" s="24">
        <f>SUMIFS(Calculos_Internos!$E$93:$E$96, Calculos_Internos!$A$93:$A$96, J37)</f>
        <v/>
      </c>
    </row>
    <row r="38" ht="20" customHeight="1" s="47">
      <c r="B38" s="26" t="inlineStr">
        <is>
          <t>M018</t>
        </is>
      </c>
      <c r="C38" s="27" t="inlineStr">
        <is>
          <t>Marruecos</t>
        </is>
      </c>
      <c r="D38" s="21" t="n"/>
      <c r="E38" s="28" t="inlineStr">
        <is>
          <t>-</t>
        </is>
      </c>
      <c r="F38" s="21" t="n"/>
      <c r="G38" s="29" t="inlineStr">
        <is>
          <t>Haiti</t>
        </is>
      </c>
    </row>
    <row r="41" ht="26" customHeight="1" s="47">
      <c r="B41" s="49" t="inlineStr">
        <is>
          <t>📅 PARTIDOS GRUPO D</t>
        </is>
      </c>
      <c r="I41" s="46" t="inlineStr">
        <is>
          <t>📊 CLASIFICACION GRUPO D</t>
        </is>
      </c>
    </row>
    <row r="42" ht="20" customHeight="1" s="47">
      <c r="B42" s="26" t="inlineStr">
        <is>
          <t>M019</t>
        </is>
      </c>
      <c r="C42" s="27" t="inlineStr">
        <is>
          <t>Estados Unidos</t>
        </is>
      </c>
      <c r="D42" s="21" t="n"/>
      <c r="E42" s="28" t="inlineStr">
        <is>
          <t>-</t>
        </is>
      </c>
      <c r="F42" s="21" t="n"/>
      <c r="G42" s="29" t="inlineStr">
        <is>
          <t>Paraguay</t>
        </is>
      </c>
      <c r="I42" s="16" t="inlineStr">
        <is>
          <t>Pos</t>
        </is>
      </c>
      <c r="J42" s="16" t="inlineStr">
        <is>
          <t>Equipo</t>
        </is>
      </c>
      <c r="K42" s="16" t="inlineStr">
        <is>
          <t>Pts</t>
        </is>
      </c>
      <c r="L42" s="16" t="inlineStr">
        <is>
          <t>GF</t>
        </is>
      </c>
      <c r="M42" s="16" t="inlineStr">
        <is>
          <t>GC</t>
        </is>
      </c>
      <c r="N42" s="16" t="inlineStr">
        <is>
          <t>DG</t>
        </is>
      </c>
    </row>
    <row r="43" ht="20" customHeight="1" s="47">
      <c r="B43" s="19" t="inlineStr">
        <is>
          <t>M020</t>
        </is>
      </c>
      <c r="C43" s="20" t="inlineStr">
        <is>
          <t>Australia</t>
        </is>
      </c>
      <c r="D43" s="21" t="n"/>
      <c r="E43" s="22" t="inlineStr">
        <is>
          <t>-</t>
        </is>
      </c>
      <c r="F43" s="21" t="n"/>
      <c r="G43" s="23" t="inlineStr">
        <is>
          <t>Turquia</t>
        </is>
      </c>
      <c r="I43" s="30" t="n">
        <v>1</v>
      </c>
      <c r="J43" s="18">
        <f>Calculos_Internos!H99</f>
        <v/>
      </c>
      <c r="K43" s="30">
        <f>SUMIFS(Calculos_Internos!$B$99:$B$102, Calculos_Internos!$A$99:$A$102, J43)</f>
        <v/>
      </c>
      <c r="L43" s="30">
        <f>SUMIFS(Calculos_Internos!$C$99:$C$102, Calculos_Internos!$A$99:$A$102, J43)</f>
        <v/>
      </c>
      <c r="M43" s="30">
        <f>SUMIFS(Calculos_Internos!$D$99:$D$102, Calculos_Internos!$A$99:$A$102, J43)</f>
        <v/>
      </c>
      <c r="N43" s="30">
        <f>SUMIFS(Calculos_Internos!$E$99:$E$102, Calculos_Internos!$A$99:$A$102, J43)</f>
        <v/>
      </c>
    </row>
    <row r="44" ht="20" customHeight="1" s="47">
      <c r="B44" s="26" t="inlineStr">
        <is>
          <t>M021</t>
        </is>
      </c>
      <c r="C44" s="27" t="inlineStr">
        <is>
          <t>Estados Unidos</t>
        </is>
      </c>
      <c r="D44" s="21" t="n"/>
      <c r="E44" s="28" t="inlineStr">
        <is>
          <t>-</t>
        </is>
      </c>
      <c r="F44" s="21" t="n"/>
      <c r="G44" s="29" t="inlineStr">
        <is>
          <t>Australia</t>
        </is>
      </c>
      <c r="I44" s="17" t="n">
        <v>2</v>
      </c>
      <c r="J44" s="18">
        <f>Calculos_Internos!H100</f>
        <v/>
      </c>
      <c r="K44" s="17">
        <f>SUMIFS(Calculos_Internos!$B$99:$B$102, Calculos_Internos!$A$99:$A$102, J44)</f>
        <v/>
      </c>
      <c r="L44" s="17">
        <f>SUMIFS(Calculos_Internos!$C$99:$C$102, Calculos_Internos!$A$99:$A$102, J44)</f>
        <v/>
      </c>
      <c r="M44" s="17">
        <f>SUMIFS(Calculos_Internos!$D$99:$D$102, Calculos_Internos!$A$99:$A$102, J44)</f>
        <v/>
      </c>
      <c r="N44" s="17">
        <f>SUMIFS(Calculos_Internos!$E$99:$E$102, Calculos_Internos!$A$99:$A$102, J44)</f>
        <v/>
      </c>
    </row>
    <row r="45" ht="20" customHeight="1" s="47">
      <c r="B45" s="19" t="inlineStr">
        <is>
          <t>M022</t>
        </is>
      </c>
      <c r="C45" s="20" t="inlineStr">
        <is>
          <t>Paraguay</t>
        </is>
      </c>
      <c r="D45" s="21" t="n"/>
      <c r="E45" s="22" t="inlineStr">
        <is>
          <t>-</t>
        </is>
      </c>
      <c r="F45" s="21" t="n"/>
      <c r="G45" s="23" t="inlineStr">
        <is>
          <t>Turquia</t>
        </is>
      </c>
      <c r="I45" s="31" t="n">
        <v>3</v>
      </c>
      <c r="J45" s="32">
        <f>Calculos_Internos!H101</f>
        <v/>
      </c>
      <c r="K45" s="31">
        <f>SUMIFS(Calculos_Internos!$B$99:$B$102, Calculos_Internos!$A$99:$A$102, J45)</f>
        <v/>
      </c>
      <c r="L45" s="31">
        <f>SUMIFS(Calculos_Internos!$C$99:$C$102, Calculos_Internos!$A$99:$A$102, J45)</f>
        <v/>
      </c>
      <c r="M45" s="31">
        <f>SUMIFS(Calculos_Internos!$D$99:$D$102, Calculos_Internos!$A$99:$A$102, J45)</f>
        <v/>
      </c>
      <c r="N45" s="31">
        <f>SUMIFS(Calculos_Internos!$E$99:$E$102, Calculos_Internos!$A$99:$A$102, J45)</f>
        <v/>
      </c>
    </row>
    <row r="46" ht="20" customHeight="1" s="47">
      <c r="B46" s="26" t="inlineStr">
        <is>
          <t>M023</t>
        </is>
      </c>
      <c r="C46" s="27" t="inlineStr">
        <is>
          <t>Turquia</t>
        </is>
      </c>
      <c r="D46" s="21" t="n"/>
      <c r="E46" s="28" t="inlineStr">
        <is>
          <t>-</t>
        </is>
      </c>
      <c r="F46" s="21" t="n"/>
      <c r="G46" s="29" t="inlineStr">
        <is>
          <t>Estados Unidos</t>
        </is>
      </c>
      <c r="I46" s="24" t="n">
        <v>4</v>
      </c>
      <c r="J46" s="33">
        <f>Calculos_Internos!H102</f>
        <v/>
      </c>
      <c r="K46" s="24">
        <f>SUMIFS(Calculos_Internos!$B$99:$B$102, Calculos_Internos!$A$99:$A$102, J46)</f>
        <v/>
      </c>
      <c r="L46" s="24">
        <f>SUMIFS(Calculos_Internos!$C$99:$C$102, Calculos_Internos!$A$99:$A$102, J46)</f>
        <v/>
      </c>
      <c r="M46" s="24">
        <f>SUMIFS(Calculos_Internos!$D$99:$D$102, Calculos_Internos!$A$99:$A$102, J46)</f>
        <v/>
      </c>
      <c r="N46" s="24">
        <f>SUMIFS(Calculos_Internos!$E$99:$E$102, Calculos_Internos!$A$99:$A$102, J46)</f>
        <v/>
      </c>
    </row>
    <row r="47" ht="20" customHeight="1" s="47">
      <c r="B47" s="19" t="inlineStr">
        <is>
          <t>M024</t>
        </is>
      </c>
      <c r="C47" s="20" t="inlineStr">
        <is>
          <t>Paraguay</t>
        </is>
      </c>
      <c r="D47" s="21" t="n"/>
      <c r="E47" s="22" t="inlineStr">
        <is>
          <t>-</t>
        </is>
      </c>
      <c r="F47" s="21" t="n"/>
      <c r="G47" s="23" t="inlineStr">
        <is>
          <t>Australia</t>
        </is>
      </c>
    </row>
    <row r="50" ht="26" customHeight="1" s="47">
      <c r="B50" s="49" t="inlineStr">
        <is>
          <t>📅 PARTIDOS GRUPO E</t>
        </is>
      </c>
      <c r="I50" s="46" t="inlineStr">
        <is>
          <t>📊 CLASIFICACION GRUPO E</t>
        </is>
      </c>
    </row>
    <row r="51" ht="20" customHeight="1" s="47">
      <c r="B51" s="19" t="inlineStr">
        <is>
          <t>M025</t>
        </is>
      </c>
      <c r="C51" s="20" t="inlineStr">
        <is>
          <t>Alemania</t>
        </is>
      </c>
      <c r="D51" s="21" t="n"/>
      <c r="E51" s="22" t="inlineStr">
        <is>
          <t>-</t>
        </is>
      </c>
      <c r="F51" s="21" t="n"/>
      <c r="G51" s="23" t="inlineStr">
        <is>
          <t>Curazao</t>
        </is>
      </c>
      <c r="I51" s="16" t="inlineStr">
        <is>
          <t>Pos</t>
        </is>
      </c>
      <c r="J51" s="16" t="inlineStr">
        <is>
          <t>Equipo</t>
        </is>
      </c>
      <c r="K51" s="16" t="inlineStr">
        <is>
          <t>Pts</t>
        </is>
      </c>
      <c r="L51" s="16" t="inlineStr">
        <is>
          <t>GF</t>
        </is>
      </c>
      <c r="M51" s="16" t="inlineStr">
        <is>
          <t>GC</t>
        </is>
      </c>
      <c r="N51" s="16" t="inlineStr">
        <is>
          <t>DG</t>
        </is>
      </c>
    </row>
    <row r="52" ht="20" customHeight="1" s="47">
      <c r="B52" s="26" t="inlineStr">
        <is>
          <t>M026</t>
        </is>
      </c>
      <c r="C52" s="27" t="inlineStr">
        <is>
          <t>Costa de Marfil</t>
        </is>
      </c>
      <c r="D52" s="21" t="n"/>
      <c r="E52" s="28" t="inlineStr">
        <is>
          <t>-</t>
        </is>
      </c>
      <c r="F52" s="21" t="n"/>
      <c r="G52" s="29" t="inlineStr">
        <is>
          <t>Ecuador</t>
        </is>
      </c>
      <c r="I52" s="30" t="n">
        <v>1</v>
      </c>
      <c r="J52" s="18">
        <f>Calculos_Internos!H105</f>
        <v/>
      </c>
      <c r="K52" s="30">
        <f>SUMIFS(Calculos_Internos!$B$105:$B$108, Calculos_Internos!$A$105:$A$108, J52)</f>
        <v/>
      </c>
      <c r="L52" s="30">
        <f>SUMIFS(Calculos_Internos!$C$105:$C$108, Calculos_Internos!$A$105:$A$108, J52)</f>
        <v/>
      </c>
      <c r="M52" s="30">
        <f>SUMIFS(Calculos_Internos!$D$105:$D$108, Calculos_Internos!$A$105:$A$108, J52)</f>
        <v/>
      </c>
      <c r="N52" s="30">
        <f>SUMIFS(Calculos_Internos!$E$105:$E$108, Calculos_Internos!$A$105:$A$108, J52)</f>
        <v/>
      </c>
    </row>
    <row r="53" ht="20" customHeight="1" s="47">
      <c r="B53" s="19" t="inlineStr">
        <is>
          <t>M027</t>
        </is>
      </c>
      <c r="C53" s="20" t="inlineStr">
        <is>
          <t>Alemania</t>
        </is>
      </c>
      <c r="D53" s="21" t="n"/>
      <c r="E53" s="22" t="inlineStr">
        <is>
          <t>-</t>
        </is>
      </c>
      <c r="F53" s="21" t="n"/>
      <c r="G53" s="23" t="inlineStr">
        <is>
          <t>Costa de Marfil</t>
        </is>
      </c>
      <c r="I53" s="17" t="n">
        <v>2</v>
      </c>
      <c r="J53" s="18">
        <f>Calculos_Internos!H106</f>
        <v/>
      </c>
      <c r="K53" s="17">
        <f>SUMIFS(Calculos_Internos!$B$105:$B$108, Calculos_Internos!$A$105:$A$108, J53)</f>
        <v/>
      </c>
      <c r="L53" s="17">
        <f>SUMIFS(Calculos_Internos!$C$105:$C$108, Calculos_Internos!$A$105:$A$108, J53)</f>
        <v/>
      </c>
      <c r="M53" s="17">
        <f>SUMIFS(Calculos_Internos!$D$105:$D$108, Calculos_Internos!$A$105:$A$108, J53)</f>
        <v/>
      </c>
      <c r="N53" s="17">
        <f>SUMIFS(Calculos_Internos!$E$105:$E$108, Calculos_Internos!$A$105:$A$108, J53)</f>
        <v/>
      </c>
    </row>
    <row r="54" ht="20" customHeight="1" s="47">
      <c r="B54" s="26" t="inlineStr">
        <is>
          <t>M028</t>
        </is>
      </c>
      <c r="C54" s="27" t="inlineStr">
        <is>
          <t>Curazao</t>
        </is>
      </c>
      <c r="D54" s="21" t="n"/>
      <c r="E54" s="28" t="inlineStr">
        <is>
          <t>-</t>
        </is>
      </c>
      <c r="F54" s="21" t="n"/>
      <c r="G54" s="29" t="inlineStr">
        <is>
          <t>Ecuador</t>
        </is>
      </c>
      <c r="I54" s="31" t="n">
        <v>3</v>
      </c>
      <c r="J54" s="32">
        <f>Calculos_Internos!H107</f>
        <v/>
      </c>
      <c r="K54" s="31">
        <f>SUMIFS(Calculos_Internos!$B$105:$B$108, Calculos_Internos!$A$105:$A$108, J54)</f>
        <v/>
      </c>
      <c r="L54" s="31">
        <f>SUMIFS(Calculos_Internos!$C$105:$C$108, Calculos_Internos!$A$105:$A$108, J54)</f>
        <v/>
      </c>
      <c r="M54" s="31">
        <f>SUMIFS(Calculos_Internos!$D$105:$D$108, Calculos_Internos!$A$105:$A$108, J54)</f>
        <v/>
      </c>
      <c r="N54" s="31">
        <f>SUMIFS(Calculos_Internos!$E$105:$E$108, Calculos_Internos!$A$105:$A$108, J54)</f>
        <v/>
      </c>
    </row>
    <row r="55" ht="20" customHeight="1" s="47">
      <c r="B55" s="19" t="inlineStr">
        <is>
          <t>M029</t>
        </is>
      </c>
      <c r="C55" s="20" t="inlineStr">
        <is>
          <t>Ecuador</t>
        </is>
      </c>
      <c r="D55" s="21" t="n"/>
      <c r="E55" s="22" t="inlineStr">
        <is>
          <t>-</t>
        </is>
      </c>
      <c r="F55" s="21" t="n"/>
      <c r="G55" s="23" t="inlineStr">
        <is>
          <t>Alemania</t>
        </is>
      </c>
      <c r="I55" s="24" t="n">
        <v>4</v>
      </c>
      <c r="J55" s="33">
        <f>Calculos_Internos!H108</f>
        <v/>
      </c>
      <c r="K55" s="24">
        <f>SUMIFS(Calculos_Internos!$B$105:$B$108, Calculos_Internos!$A$105:$A$108, J55)</f>
        <v/>
      </c>
      <c r="L55" s="24">
        <f>SUMIFS(Calculos_Internos!$C$105:$C$108, Calculos_Internos!$A$105:$A$108, J55)</f>
        <v/>
      </c>
      <c r="M55" s="24">
        <f>SUMIFS(Calculos_Internos!$D$105:$D$108, Calculos_Internos!$A$105:$A$108, J55)</f>
        <v/>
      </c>
      <c r="N55" s="24">
        <f>SUMIFS(Calculos_Internos!$E$105:$E$108, Calculos_Internos!$A$105:$A$108, J55)</f>
        <v/>
      </c>
    </row>
    <row r="56" ht="20" customHeight="1" s="47">
      <c r="B56" s="26" t="inlineStr">
        <is>
          <t>M030</t>
        </is>
      </c>
      <c r="C56" s="27" t="inlineStr">
        <is>
          <t>Curazao</t>
        </is>
      </c>
      <c r="D56" s="21" t="n"/>
      <c r="E56" s="28" t="inlineStr">
        <is>
          <t>-</t>
        </is>
      </c>
      <c r="F56" s="21" t="n"/>
      <c r="G56" s="29" t="inlineStr">
        <is>
          <t>Costa de Marfil</t>
        </is>
      </c>
    </row>
    <row r="59" ht="26" customHeight="1" s="47">
      <c r="B59" s="49" t="inlineStr">
        <is>
          <t>📅 PARTIDOS GRUPO F</t>
        </is>
      </c>
      <c r="I59" s="46" t="inlineStr">
        <is>
          <t>📊 CLASIFICACION GRUPO F</t>
        </is>
      </c>
    </row>
    <row r="60" ht="20" customHeight="1" s="47">
      <c r="B60" s="26" t="inlineStr">
        <is>
          <t>M031</t>
        </is>
      </c>
      <c r="C60" s="27" t="inlineStr">
        <is>
          <t>Paises Bajos</t>
        </is>
      </c>
      <c r="D60" s="21" t="n"/>
      <c r="E60" s="28" t="inlineStr">
        <is>
          <t>-</t>
        </is>
      </c>
      <c r="F60" s="21" t="n"/>
      <c r="G60" s="29" t="inlineStr">
        <is>
          <t>Japon</t>
        </is>
      </c>
      <c r="I60" s="16" t="inlineStr">
        <is>
          <t>Pos</t>
        </is>
      </c>
      <c r="J60" s="16" t="inlineStr">
        <is>
          <t>Equipo</t>
        </is>
      </c>
      <c r="K60" s="16" t="inlineStr">
        <is>
          <t>Pts</t>
        </is>
      </c>
      <c r="L60" s="16" t="inlineStr">
        <is>
          <t>GF</t>
        </is>
      </c>
      <c r="M60" s="16" t="inlineStr">
        <is>
          <t>GC</t>
        </is>
      </c>
      <c r="N60" s="16" t="inlineStr">
        <is>
          <t>DG</t>
        </is>
      </c>
    </row>
    <row r="61" ht="20" customHeight="1" s="47">
      <c r="B61" s="19" t="inlineStr">
        <is>
          <t>M032</t>
        </is>
      </c>
      <c r="C61" s="20" t="inlineStr">
        <is>
          <t>Suecia</t>
        </is>
      </c>
      <c r="D61" s="21" t="n"/>
      <c r="E61" s="22" t="inlineStr">
        <is>
          <t>-</t>
        </is>
      </c>
      <c r="F61" s="21" t="n"/>
      <c r="G61" s="23" t="inlineStr">
        <is>
          <t>Tunez</t>
        </is>
      </c>
      <c r="I61" s="30" t="n">
        <v>1</v>
      </c>
      <c r="J61" s="18">
        <f>Calculos_Internos!H111</f>
        <v/>
      </c>
      <c r="K61" s="30">
        <f>SUMIFS(Calculos_Internos!$B$111:$B$114, Calculos_Internos!$A$111:$A$114, J61)</f>
        <v/>
      </c>
      <c r="L61" s="30">
        <f>SUMIFS(Calculos_Internos!$C$111:$C$114, Calculos_Internos!$A$111:$A$114, J61)</f>
        <v/>
      </c>
      <c r="M61" s="30">
        <f>SUMIFS(Calculos_Internos!$D$111:$D$114, Calculos_Internos!$A$111:$A$114, J61)</f>
        <v/>
      </c>
      <c r="N61" s="30">
        <f>SUMIFS(Calculos_Internos!$E$111:$E$114, Calculos_Internos!$A$111:$A$114, J61)</f>
        <v/>
      </c>
    </row>
    <row r="62" ht="20" customHeight="1" s="47">
      <c r="B62" s="26" t="inlineStr">
        <is>
          <t>M033</t>
        </is>
      </c>
      <c r="C62" s="27" t="inlineStr">
        <is>
          <t>Paises Bajos</t>
        </is>
      </c>
      <c r="D62" s="21" t="n"/>
      <c r="E62" s="28" t="inlineStr">
        <is>
          <t>-</t>
        </is>
      </c>
      <c r="F62" s="21" t="n"/>
      <c r="G62" s="29" t="inlineStr">
        <is>
          <t>Suecia</t>
        </is>
      </c>
      <c r="I62" s="17" t="n">
        <v>2</v>
      </c>
      <c r="J62" s="18">
        <f>Calculos_Internos!H112</f>
        <v/>
      </c>
      <c r="K62" s="17">
        <f>SUMIFS(Calculos_Internos!$B$111:$B$114, Calculos_Internos!$A$111:$A$114, J62)</f>
        <v/>
      </c>
      <c r="L62" s="17">
        <f>SUMIFS(Calculos_Internos!$C$111:$C$114, Calculos_Internos!$A$111:$A$114, J62)</f>
        <v/>
      </c>
      <c r="M62" s="17">
        <f>SUMIFS(Calculos_Internos!$D$111:$D$114, Calculos_Internos!$A$111:$A$114, J62)</f>
        <v/>
      </c>
      <c r="N62" s="17">
        <f>SUMIFS(Calculos_Internos!$E$111:$E$114, Calculos_Internos!$A$111:$A$114, J62)</f>
        <v/>
      </c>
    </row>
    <row r="63" ht="20" customHeight="1" s="47">
      <c r="B63" s="19" t="inlineStr">
        <is>
          <t>M034</t>
        </is>
      </c>
      <c r="C63" s="20" t="inlineStr">
        <is>
          <t>Japon</t>
        </is>
      </c>
      <c r="D63" s="21" t="n"/>
      <c r="E63" s="22" t="inlineStr">
        <is>
          <t>-</t>
        </is>
      </c>
      <c r="F63" s="21" t="n"/>
      <c r="G63" s="23" t="inlineStr">
        <is>
          <t>Tunez</t>
        </is>
      </c>
      <c r="I63" s="31" t="n">
        <v>3</v>
      </c>
      <c r="J63" s="32">
        <f>Calculos_Internos!H113</f>
        <v/>
      </c>
      <c r="K63" s="31">
        <f>SUMIFS(Calculos_Internos!$B$111:$B$114, Calculos_Internos!$A$111:$A$114, J63)</f>
        <v/>
      </c>
      <c r="L63" s="31">
        <f>SUMIFS(Calculos_Internos!$C$111:$C$114, Calculos_Internos!$A$111:$A$114, J63)</f>
        <v/>
      </c>
      <c r="M63" s="31">
        <f>SUMIFS(Calculos_Internos!$D$111:$D$114, Calculos_Internos!$A$111:$A$114, J63)</f>
        <v/>
      </c>
      <c r="N63" s="31">
        <f>SUMIFS(Calculos_Internos!$E$111:$E$114, Calculos_Internos!$A$111:$A$114, J63)</f>
        <v/>
      </c>
    </row>
    <row r="64" ht="20" customHeight="1" s="47">
      <c r="B64" s="26" t="inlineStr">
        <is>
          <t>M035</t>
        </is>
      </c>
      <c r="C64" s="27" t="inlineStr">
        <is>
          <t>Tunez</t>
        </is>
      </c>
      <c r="D64" s="21" t="n"/>
      <c r="E64" s="28" t="inlineStr">
        <is>
          <t>-</t>
        </is>
      </c>
      <c r="F64" s="21" t="n"/>
      <c r="G64" s="29" t="inlineStr">
        <is>
          <t>Paises Bajos</t>
        </is>
      </c>
      <c r="I64" s="24" t="n">
        <v>4</v>
      </c>
      <c r="J64" s="33">
        <f>Calculos_Internos!H114</f>
        <v/>
      </c>
      <c r="K64" s="24">
        <f>SUMIFS(Calculos_Internos!$B$111:$B$114, Calculos_Internos!$A$111:$A$114, J64)</f>
        <v/>
      </c>
      <c r="L64" s="24">
        <f>SUMIFS(Calculos_Internos!$C$111:$C$114, Calculos_Internos!$A$111:$A$114, J64)</f>
        <v/>
      </c>
      <c r="M64" s="24">
        <f>SUMIFS(Calculos_Internos!$D$111:$D$114, Calculos_Internos!$A$111:$A$114, J64)</f>
        <v/>
      </c>
      <c r="N64" s="24">
        <f>SUMIFS(Calculos_Internos!$E$111:$E$114, Calculos_Internos!$A$111:$A$114, J64)</f>
        <v/>
      </c>
    </row>
    <row r="65" ht="20" customHeight="1" s="47">
      <c r="B65" s="19" t="inlineStr">
        <is>
          <t>M036</t>
        </is>
      </c>
      <c r="C65" s="20" t="inlineStr">
        <is>
          <t>Japon</t>
        </is>
      </c>
      <c r="D65" s="21" t="n"/>
      <c r="E65" s="22" t="inlineStr">
        <is>
          <t>-</t>
        </is>
      </c>
      <c r="F65" s="21" t="n"/>
      <c r="G65" s="23" t="inlineStr">
        <is>
          <t>Suecia</t>
        </is>
      </c>
    </row>
    <row r="68" ht="26" customHeight="1" s="47">
      <c r="B68" s="49" t="inlineStr">
        <is>
          <t>📅 PARTIDOS GRUPO G</t>
        </is>
      </c>
      <c r="I68" s="46" t="inlineStr">
        <is>
          <t>📊 CLASIFICACION GRUPO G</t>
        </is>
      </c>
    </row>
    <row r="69" ht="20" customHeight="1" s="47">
      <c r="B69" s="19" t="inlineStr">
        <is>
          <t>M037</t>
        </is>
      </c>
      <c r="C69" s="20" t="inlineStr">
        <is>
          <t>Belgica</t>
        </is>
      </c>
      <c r="D69" s="21" t="n"/>
      <c r="E69" s="22" t="inlineStr">
        <is>
          <t>-</t>
        </is>
      </c>
      <c r="F69" s="21" t="n"/>
      <c r="G69" s="23" t="inlineStr">
        <is>
          <t>Egipto</t>
        </is>
      </c>
      <c r="I69" s="16" t="inlineStr">
        <is>
          <t>Pos</t>
        </is>
      </c>
      <c r="J69" s="16" t="inlineStr">
        <is>
          <t>Equipo</t>
        </is>
      </c>
      <c r="K69" s="16" t="inlineStr">
        <is>
          <t>Pts</t>
        </is>
      </c>
      <c r="L69" s="16" t="inlineStr">
        <is>
          <t>GF</t>
        </is>
      </c>
      <c r="M69" s="16" t="inlineStr">
        <is>
          <t>GC</t>
        </is>
      </c>
      <c r="N69" s="16" t="inlineStr">
        <is>
          <t>DG</t>
        </is>
      </c>
    </row>
    <row r="70" ht="20" customHeight="1" s="47">
      <c r="B70" s="26" t="inlineStr">
        <is>
          <t>M038</t>
        </is>
      </c>
      <c r="C70" s="27" t="inlineStr">
        <is>
          <t>Iran</t>
        </is>
      </c>
      <c r="D70" s="21" t="n"/>
      <c r="E70" s="28" t="inlineStr">
        <is>
          <t>-</t>
        </is>
      </c>
      <c r="F70" s="21" t="n"/>
      <c r="G70" s="29" t="inlineStr">
        <is>
          <t>Nueva Zelanda</t>
        </is>
      </c>
      <c r="I70" s="30" t="n">
        <v>1</v>
      </c>
      <c r="J70" s="18">
        <f>Calculos_Internos!H117</f>
        <v/>
      </c>
      <c r="K70" s="30">
        <f>SUMIFS(Calculos_Internos!$B$117:$B$120, Calculos_Internos!$A$117:$A$120, J70)</f>
        <v/>
      </c>
      <c r="L70" s="30">
        <f>SUMIFS(Calculos_Internos!$C$117:$C$120, Calculos_Internos!$A$117:$A$120, J70)</f>
        <v/>
      </c>
      <c r="M70" s="30">
        <f>SUMIFS(Calculos_Internos!$D$117:$D$120, Calculos_Internos!$A$117:$A$120, J70)</f>
        <v/>
      </c>
      <c r="N70" s="30">
        <f>SUMIFS(Calculos_Internos!$E$117:$E$120, Calculos_Internos!$A$117:$A$120, J70)</f>
        <v/>
      </c>
    </row>
    <row r="71" ht="20" customHeight="1" s="47">
      <c r="B71" s="19" t="inlineStr">
        <is>
          <t>M039</t>
        </is>
      </c>
      <c r="C71" s="20" t="inlineStr">
        <is>
          <t>Belgica</t>
        </is>
      </c>
      <c r="D71" s="21" t="n"/>
      <c r="E71" s="22" t="inlineStr">
        <is>
          <t>-</t>
        </is>
      </c>
      <c r="F71" s="21" t="n"/>
      <c r="G71" s="23" t="inlineStr">
        <is>
          <t>Iran</t>
        </is>
      </c>
      <c r="I71" s="17" t="n">
        <v>2</v>
      </c>
      <c r="J71" s="18">
        <f>Calculos_Internos!H118</f>
        <v/>
      </c>
      <c r="K71" s="17">
        <f>SUMIFS(Calculos_Internos!$B$117:$B$120, Calculos_Internos!$A$117:$A$120, J71)</f>
        <v/>
      </c>
      <c r="L71" s="17">
        <f>SUMIFS(Calculos_Internos!$C$117:$C$120, Calculos_Internos!$A$117:$A$120, J71)</f>
        <v/>
      </c>
      <c r="M71" s="17">
        <f>SUMIFS(Calculos_Internos!$D$117:$D$120, Calculos_Internos!$A$117:$A$120, J71)</f>
        <v/>
      </c>
      <c r="N71" s="17">
        <f>SUMIFS(Calculos_Internos!$E$117:$E$120, Calculos_Internos!$A$117:$A$120, J71)</f>
        <v/>
      </c>
    </row>
    <row r="72" ht="20" customHeight="1" s="47">
      <c r="B72" s="26" t="inlineStr">
        <is>
          <t>M040</t>
        </is>
      </c>
      <c r="C72" s="27" t="inlineStr">
        <is>
          <t>Egipto</t>
        </is>
      </c>
      <c r="D72" s="21" t="n"/>
      <c r="E72" s="28" t="inlineStr">
        <is>
          <t>-</t>
        </is>
      </c>
      <c r="F72" s="21" t="n"/>
      <c r="G72" s="29" t="inlineStr">
        <is>
          <t>Nueva Zelanda</t>
        </is>
      </c>
      <c r="I72" s="31" t="n">
        <v>3</v>
      </c>
      <c r="J72" s="32">
        <f>Calculos_Internos!H119</f>
        <v/>
      </c>
      <c r="K72" s="31">
        <f>SUMIFS(Calculos_Internos!$B$117:$B$120, Calculos_Internos!$A$117:$A$120, J72)</f>
        <v/>
      </c>
      <c r="L72" s="31">
        <f>SUMIFS(Calculos_Internos!$C$117:$C$120, Calculos_Internos!$A$117:$A$120, J72)</f>
        <v/>
      </c>
      <c r="M72" s="31">
        <f>SUMIFS(Calculos_Internos!$D$117:$D$120, Calculos_Internos!$A$117:$A$120, J72)</f>
        <v/>
      </c>
      <c r="N72" s="31">
        <f>SUMIFS(Calculos_Internos!$E$117:$E$120, Calculos_Internos!$A$117:$A$120, J72)</f>
        <v/>
      </c>
    </row>
    <row r="73" ht="20" customHeight="1" s="47">
      <c r="B73" s="19" t="inlineStr">
        <is>
          <t>M041</t>
        </is>
      </c>
      <c r="C73" s="20" t="inlineStr">
        <is>
          <t>Nueva Zelanda</t>
        </is>
      </c>
      <c r="D73" s="21" t="n"/>
      <c r="E73" s="22" t="inlineStr">
        <is>
          <t>-</t>
        </is>
      </c>
      <c r="F73" s="21" t="n"/>
      <c r="G73" s="23" t="inlineStr">
        <is>
          <t>Belgica</t>
        </is>
      </c>
      <c r="I73" s="24" t="n">
        <v>4</v>
      </c>
      <c r="J73" s="33">
        <f>Calculos_Internos!H120</f>
        <v/>
      </c>
      <c r="K73" s="24">
        <f>SUMIFS(Calculos_Internos!$B$117:$B$120, Calculos_Internos!$A$117:$A$120, J73)</f>
        <v/>
      </c>
      <c r="L73" s="24">
        <f>SUMIFS(Calculos_Internos!$C$117:$C$120, Calculos_Internos!$A$117:$A$120, J73)</f>
        <v/>
      </c>
      <c r="M73" s="24">
        <f>SUMIFS(Calculos_Internos!$D$117:$D$120, Calculos_Internos!$A$117:$A$120, J73)</f>
        <v/>
      </c>
      <c r="N73" s="24">
        <f>SUMIFS(Calculos_Internos!$E$117:$E$120, Calculos_Internos!$A$117:$A$120, J73)</f>
        <v/>
      </c>
    </row>
    <row r="74" ht="20" customHeight="1" s="47">
      <c r="B74" s="26" t="inlineStr">
        <is>
          <t>M042</t>
        </is>
      </c>
      <c r="C74" s="27" t="inlineStr">
        <is>
          <t>Egipto</t>
        </is>
      </c>
      <c r="D74" s="21" t="n"/>
      <c r="E74" s="28" t="inlineStr">
        <is>
          <t>-</t>
        </is>
      </c>
      <c r="F74" s="21" t="n"/>
      <c r="G74" s="29" t="inlineStr">
        <is>
          <t>Iran</t>
        </is>
      </c>
    </row>
    <row r="77" ht="26" customHeight="1" s="47">
      <c r="B77" s="49" t="inlineStr">
        <is>
          <t>📅 PARTIDOS GRUPO H</t>
        </is>
      </c>
      <c r="I77" s="46" t="inlineStr">
        <is>
          <t>📊 CLASIFICACION GRUPO H</t>
        </is>
      </c>
    </row>
    <row r="78" ht="20" customHeight="1" s="47">
      <c r="B78" s="26" t="inlineStr">
        <is>
          <t>M043</t>
        </is>
      </c>
      <c r="C78" s="27" t="inlineStr">
        <is>
          <t>Espana</t>
        </is>
      </c>
      <c r="D78" s="21" t="n"/>
      <c r="E78" s="28" t="inlineStr">
        <is>
          <t>-</t>
        </is>
      </c>
      <c r="F78" s="21" t="n"/>
      <c r="G78" s="29" t="inlineStr">
        <is>
          <t>Cabo Verde</t>
        </is>
      </c>
      <c r="I78" s="16" t="inlineStr">
        <is>
          <t>Pos</t>
        </is>
      </c>
      <c r="J78" s="16" t="inlineStr">
        <is>
          <t>Equipo</t>
        </is>
      </c>
      <c r="K78" s="16" t="inlineStr">
        <is>
          <t>Pts</t>
        </is>
      </c>
      <c r="L78" s="16" t="inlineStr">
        <is>
          <t>GF</t>
        </is>
      </c>
      <c r="M78" s="16" t="inlineStr">
        <is>
          <t>GC</t>
        </is>
      </c>
      <c r="N78" s="16" t="inlineStr">
        <is>
          <t>DG</t>
        </is>
      </c>
    </row>
    <row r="79" ht="20" customHeight="1" s="47">
      <c r="B79" s="19" t="inlineStr">
        <is>
          <t>M044</t>
        </is>
      </c>
      <c r="C79" s="20" t="inlineStr">
        <is>
          <t>Arabia Saudi</t>
        </is>
      </c>
      <c r="D79" s="21" t="n"/>
      <c r="E79" s="22" t="inlineStr">
        <is>
          <t>-</t>
        </is>
      </c>
      <c r="F79" s="21" t="n"/>
      <c r="G79" s="23" t="inlineStr">
        <is>
          <t>Uruguay</t>
        </is>
      </c>
      <c r="I79" s="30" t="n">
        <v>1</v>
      </c>
      <c r="J79" s="18">
        <f>Calculos_Internos!H123</f>
        <v/>
      </c>
      <c r="K79" s="30">
        <f>SUMIFS(Calculos_Internos!$B$123:$B$126, Calculos_Internos!$A$123:$A$126, J79)</f>
        <v/>
      </c>
      <c r="L79" s="30">
        <f>SUMIFS(Calculos_Internos!$C$123:$C$126, Calculos_Internos!$A$123:$A$126, J79)</f>
        <v/>
      </c>
      <c r="M79" s="30">
        <f>SUMIFS(Calculos_Internos!$D$123:$D$126, Calculos_Internos!$A$123:$A$126, J79)</f>
        <v/>
      </c>
      <c r="N79" s="30">
        <f>SUMIFS(Calculos_Internos!$E$123:$E$126, Calculos_Internos!$A$123:$A$126, J79)</f>
        <v/>
      </c>
    </row>
    <row r="80" ht="20" customHeight="1" s="47">
      <c r="B80" s="26" t="inlineStr">
        <is>
          <t>M045</t>
        </is>
      </c>
      <c r="C80" s="27" t="inlineStr">
        <is>
          <t>Espana</t>
        </is>
      </c>
      <c r="D80" s="21" t="n"/>
      <c r="E80" s="28" t="inlineStr">
        <is>
          <t>-</t>
        </is>
      </c>
      <c r="F80" s="21" t="n"/>
      <c r="G80" s="29" t="inlineStr">
        <is>
          <t>Arabia Saudi</t>
        </is>
      </c>
      <c r="I80" s="17" t="n">
        <v>2</v>
      </c>
      <c r="J80" s="18">
        <f>Calculos_Internos!H124</f>
        <v/>
      </c>
      <c r="K80" s="17">
        <f>SUMIFS(Calculos_Internos!$B$123:$B$126, Calculos_Internos!$A$123:$A$126, J80)</f>
        <v/>
      </c>
      <c r="L80" s="17">
        <f>SUMIFS(Calculos_Internos!$C$123:$C$126, Calculos_Internos!$A$123:$A$126, J80)</f>
        <v/>
      </c>
      <c r="M80" s="17">
        <f>SUMIFS(Calculos_Internos!$D$123:$D$126, Calculos_Internos!$A$123:$A$126, J80)</f>
        <v/>
      </c>
      <c r="N80" s="17">
        <f>SUMIFS(Calculos_Internos!$E$123:$E$126, Calculos_Internos!$A$123:$A$126, J80)</f>
        <v/>
      </c>
    </row>
    <row r="81" ht="20" customHeight="1" s="47">
      <c r="B81" s="19" t="inlineStr">
        <is>
          <t>M046</t>
        </is>
      </c>
      <c r="C81" s="20" t="inlineStr">
        <is>
          <t>Cabo Verde</t>
        </is>
      </c>
      <c r="D81" s="21" t="n"/>
      <c r="E81" s="22" t="inlineStr">
        <is>
          <t>-</t>
        </is>
      </c>
      <c r="F81" s="21" t="n"/>
      <c r="G81" s="23" t="inlineStr">
        <is>
          <t>Uruguay</t>
        </is>
      </c>
      <c r="I81" s="31" t="n">
        <v>3</v>
      </c>
      <c r="J81" s="32">
        <f>Calculos_Internos!H125</f>
        <v/>
      </c>
      <c r="K81" s="31">
        <f>SUMIFS(Calculos_Internos!$B$123:$B$126, Calculos_Internos!$A$123:$A$126, J81)</f>
        <v/>
      </c>
      <c r="L81" s="31">
        <f>SUMIFS(Calculos_Internos!$C$123:$C$126, Calculos_Internos!$A$123:$A$126, J81)</f>
        <v/>
      </c>
      <c r="M81" s="31">
        <f>SUMIFS(Calculos_Internos!$D$123:$D$126, Calculos_Internos!$A$123:$A$126, J81)</f>
        <v/>
      </c>
      <c r="N81" s="31">
        <f>SUMIFS(Calculos_Internos!$E$123:$E$126, Calculos_Internos!$A$123:$A$126, J81)</f>
        <v/>
      </c>
    </row>
    <row r="82" ht="20" customHeight="1" s="47">
      <c r="B82" s="26" t="inlineStr">
        <is>
          <t>M047</t>
        </is>
      </c>
      <c r="C82" s="27" t="inlineStr">
        <is>
          <t>Uruguay</t>
        </is>
      </c>
      <c r="D82" s="21" t="n"/>
      <c r="E82" s="28" t="inlineStr">
        <is>
          <t>-</t>
        </is>
      </c>
      <c r="F82" s="21" t="n"/>
      <c r="G82" s="29" t="inlineStr">
        <is>
          <t>Espana</t>
        </is>
      </c>
      <c r="I82" s="24" t="n">
        <v>4</v>
      </c>
      <c r="J82" s="33">
        <f>Calculos_Internos!H126</f>
        <v/>
      </c>
      <c r="K82" s="24">
        <f>SUMIFS(Calculos_Internos!$B$123:$B$126, Calculos_Internos!$A$123:$A$126, J82)</f>
        <v/>
      </c>
      <c r="L82" s="24">
        <f>SUMIFS(Calculos_Internos!$C$123:$C$126, Calculos_Internos!$A$123:$A$126, J82)</f>
        <v/>
      </c>
      <c r="M82" s="24">
        <f>SUMIFS(Calculos_Internos!$D$123:$D$126, Calculos_Internos!$A$123:$A$126, J82)</f>
        <v/>
      </c>
      <c r="N82" s="24">
        <f>SUMIFS(Calculos_Internos!$E$123:$E$126, Calculos_Internos!$A$123:$A$126, J82)</f>
        <v/>
      </c>
    </row>
    <row r="83" ht="20" customHeight="1" s="47">
      <c r="B83" s="19" t="inlineStr">
        <is>
          <t>M048</t>
        </is>
      </c>
      <c r="C83" s="20" t="inlineStr">
        <is>
          <t>Cabo Verde</t>
        </is>
      </c>
      <c r="D83" s="21" t="n"/>
      <c r="E83" s="22" t="inlineStr">
        <is>
          <t>-</t>
        </is>
      </c>
      <c r="F83" s="21" t="n"/>
      <c r="G83" s="23" t="inlineStr">
        <is>
          <t>Arabia Saudi</t>
        </is>
      </c>
    </row>
    <row r="86" ht="26" customHeight="1" s="47">
      <c r="B86" s="49" t="inlineStr">
        <is>
          <t>📅 PARTIDOS GRUPO I</t>
        </is>
      </c>
      <c r="I86" s="46" t="inlineStr">
        <is>
          <t>📊 CLASIFICACION GRUPO I</t>
        </is>
      </c>
    </row>
    <row r="87" ht="20" customHeight="1" s="47">
      <c r="B87" s="19" t="inlineStr">
        <is>
          <t>M049</t>
        </is>
      </c>
      <c r="C87" s="20" t="inlineStr">
        <is>
          <t>Francia</t>
        </is>
      </c>
      <c r="D87" s="21" t="n"/>
      <c r="E87" s="22" t="inlineStr">
        <is>
          <t>-</t>
        </is>
      </c>
      <c r="F87" s="21" t="n"/>
      <c r="G87" s="23" t="inlineStr">
        <is>
          <t>Senegal</t>
        </is>
      </c>
      <c r="I87" s="16" t="inlineStr">
        <is>
          <t>Pos</t>
        </is>
      </c>
      <c r="J87" s="16" t="inlineStr">
        <is>
          <t>Equipo</t>
        </is>
      </c>
      <c r="K87" s="16" t="inlineStr">
        <is>
          <t>Pts</t>
        </is>
      </c>
      <c r="L87" s="16" t="inlineStr">
        <is>
          <t>GF</t>
        </is>
      </c>
      <c r="M87" s="16" t="inlineStr">
        <is>
          <t>GC</t>
        </is>
      </c>
      <c r="N87" s="16" t="inlineStr">
        <is>
          <t>DG</t>
        </is>
      </c>
    </row>
    <row r="88" ht="20" customHeight="1" s="47">
      <c r="B88" s="26" t="inlineStr">
        <is>
          <t>M050</t>
        </is>
      </c>
      <c r="C88" s="27" t="inlineStr">
        <is>
          <t>Noruega</t>
        </is>
      </c>
      <c r="D88" s="21" t="n"/>
      <c r="E88" s="28" t="inlineStr">
        <is>
          <t>-</t>
        </is>
      </c>
      <c r="F88" s="21" t="n"/>
      <c r="G88" s="29" t="inlineStr">
        <is>
          <t>Irak</t>
        </is>
      </c>
      <c r="I88" s="30" t="n">
        <v>1</v>
      </c>
      <c r="J88" s="18">
        <f>Calculos_Internos!H129</f>
        <v/>
      </c>
      <c r="K88" s="30">
        <f>SUMIFS(Calculos_Internos!$B$129:$B$132, Calculos_Internos!$A$129:$A$132, J88)</f>
        <v/>
      </c>
      <c r="L88" s="30">
        <f>SUMIFS(Calculos_Internos!$C$129:$C$132, Calculos_Internos!$A$129:$A$132, J88)</f>
        <v/>
      </c>
      <c r="M88" s="30">
        <f>SUMIFS(Calculos_Internos!$D$129:$D$132, Calculos_Internos!$A$129:$A$132, J88)</f>
        <v/>
      </c>
      <c r="N88" s="30">
        <f>SUMIFS(Calculos_Internos!$E$129:$E$132, Calculos_Internos!$A$129:$A$132, J88)</f>
        <v/>
      </c>
    </row>
    <row r="89" ht="20" customHeight="1" s="47">
      <c r="B89" s="19" t="inlineStr">
        <is>
          <t>M051</t>
        </is>
      </c>
      <c r="C89" s="20" t="inlineStr">
        <is>
          <t>Francia</t>
        </is>
      </c>
      <c r="D89" s="21" t="n"/>
      <c r="E89" s="22" t="inlineStr">
        <is>
          <t>-</t>
        </is>
      </c>
      <c r="F89" s="21" t="n"/>
      <c r="G89" s="23" t="inlineStr">
        <is>
          <t>Noruega</t>
        </is>
      </c>
      <c r="I89" s="17" t="n">
        <v>2</v>
      </c>
      <c r="J89" s="18">
        <f>Calculos_Internos!H130</f>
        <v/>
      </c>
      <c r="K89" s="17">
        <f>SUMIFS(Calculos_Internos!$B$129:$B$132, Calculos_Internos!$A$129:$A$132, J89)</f>
        <v/>
      </c>
      <c r="L89" s="17">
        <f>SUMIFS(Calculos_Internos!$C$129:$C$132, Calculos_Internos!$A$129:$A$132, J89)</f>
        <v/>
      </c>
      <c r="M89" s="17">
        <f>SUMIFS(Calculos_Internos!$D$129:$D$132, Calculos_Internos!$A$129:$A$132, J89)</f>
        <v/>
      </c>
      <c r="N89" s="17">
        <f>SUMIFS(Calculos_Internos!$E$129:$E$132, Calculos_Internos!$A$129:$A$132, J89)</f>
        <v/>
      </c>
    </row>
    <row r="90" ht="20" customHeight="1" s="47">
      <c r="B90" s="26" t="inlineStr">
        <is>
          <t>M052</t>
        </is>
      </c>
      <c r="C90" s="27" t="inlineStr">
        <is>
          <t>Senegal</t>
        </is>
      </c>
      <c r="D90" s="21" t="n"/>
      <c r="E90" s="28" t="inlineStr">
        <is>
          <t>-</t>
        </is>
      </c>
      <c r="F90" s="21" t="n"/>
      <c r="G90" s="29" t="inlineStr">
        <is>
          <t>Irak</t>
        </is>
      </c>
      <c r="I90" s="31" t="n">
        <v>3</v>
      </c>
      <c r="J90" s="32">
        <f>Calculos_Internos!H131</f>
        <v/>
      </c>
      <c r="K90" s="31">
        <f>SUMIFS(Calculos_Internos!$B$129:$B$132, Calculos_Internos!$A$129:$A$132, J90)</f>
        <v/>
      </c>
      <c r="L90" s="31">
        <f>SUMIFS(Calculos_Internos!$C$129:$C$132, Calculos_Internos!$A$129:$A$132, J90)</f>
        <v/>
      </c>
      <c r="M90" s="31">
        <f>SUMIFS(Calculos_Internos!$D$129:$D$132, Calculos_Internos!$A$129:$A$132, J90)</f>
        <v/>
      </c>
      <c r="N90" s="31">
        <f>SUMIFS(Calculos_Internos!$E$129:$E$132, Calculos_Internos!$A$129:$A$132, J90)</f>
        <v/>
      </c>
    </row>
    <row r="91" ht="20" customHeight="1" s="47">
      <c r="B91" s="19" t="inlineStr">
        <is>
          <t>M053</t>
        </is>
      </c>
      <c r="C91" s="20" t="inlineStr">
        <is>
          <t>Irak</t>
        </is>
      </c>
      <c r="D91" s="21" t="n"/>
      <c r="E91" s="22" t="inlineStr">
        <is>
          <t>-</t>
        </is>
      </c>
      <c r="F91" s="21" t="n"/>
      <c r="G91" s="23" t="inlineStr">
        <is>
          <t>Francia</t>
        </is>
      </c>
      <c r="I91" s="24" t="n">
        <v>4</v>
      </c>
      <c r="J91" s="33">
        <f>Calculos_Internos!H132</f>
        <v/>
      </c>
      <c r="K91" s="24">
        <f>SUMIFS(Calculos_Internos!$B$129:$B$132, Calculos_Internos!$A$129:$A$132, J91)</f>
        <v/>
      </c>
      <c r="L91" s="24">
        <f>SUMIFS(Calculos_Internos!$C$129:$C$132, Calculos_Internos!$A$129:$A$132, J91)</f>
        <v/>
      </c>
      <c r="M91" s="24">
        <f>SUMIFS(Calculos_Internos!$D$129:$D$132, Calculos_Internos!$A$129:$A$132, J91)</f>
        <v/>
      </c>
      <c r="N91" s="24">
        <f>SUMIFS(Calculos_Internos!$E$129:$E$132, Calculos_Internos!$A$129:$A$132, J91)</f>
        <v/>
      </c>
    </row>
    <row r="92" ht="20" customHeight="1" s="47">
      <c r="B92" s="26" t="inlineStr">
        <is>
          <t>M054</t>
        </is>
      </c>
      <c r="C92" s="27" t="inlineStr">
        <is>
          <t>Senegal</t>
        </is>
      </c>
      <c r="D92" s="21" t="n"/>
      <c r="E92" s="28" t="inlineStr">
        <is>
          <t>-</t>
        </is>
      </c>
      <c r="F92" s="21" t="n"/>
      <c r="G92" s="29" t="inlineStr">
        <is>
          <t>Noruega</t>
        </is>
      </c>
    </row>
    <row r="95" ht="26" customHeight="1" s="47">
      <c r="B95" s="49" t="inlineStr">
        <is>
          <t>📅 PARTIDOS GRUPO J</t>
        </is>
      </c>
      <c r="I95" s="46" t="inlineStr">
        <is>
          <t>📊 CLASIFICACION GRUPO J</t>
        </is>
      </c>
    </row>
    <row r="96" ht="20" customHeight="1" s="47">
      <c r="B96" s="26" t="inlineStr">
        <is>
          <t>M055</t>
        </is>
      </c>
      <c r="C96" s="27" t="inlineStr">
        <is>
          <t>Argentina</t>
        </is>
      </c>
      <c r="D96" s="21" t="n"/>
      <c r="E96" s="28" t="inlineStr">
        <is>
          <t>-</t>
        </is>
      </c>
      <c r="F96" s="21" t="n"/>
      <c r="G96" s="29" t="inlineStr">
        <is>
          <t>Argelia</t>
        </is>
      </c>
      <c r="I96" s="16" t="inlineStr">
        <is>
          <t>Pos</t>
        </is>
      </c>
      <c r="J96" s="16" t="inlineStr">
        <is>
          <t>Equipo</t>
        </is>
      </c>
      <c r="K96" s="16" t="inlineStr">
        <is>
          <t>Pts</t>
        </is>
      </c>
      <c r="L96" s="16" t="inlineStr">
        <is>
          <t>GF</t>
        </is>
      </c>
      <c r="M96" s="16" t="inlineStr">
        <is>
          <t>GC</t>
        </is>
      </c>
      <c r="N96" s="16" t="inlineStr">
        <is>
          <t>DG</t>
        </is>
      </c>
    </row>
    <row r="97" ht="20" customHeight="1" s="47">
      <c r="B97" s="19" t="inlineStr">
        <is>
          <t>M056</t>
        </is>
      </c>
      <c r="C97" s="20" t="inlineStr">
        <is>
          <t>Austria</t>
        </is>
      </c>
      <c r="D97" s="21" t="n"/>
      <c r="E97" s="22" t="inlineStr">
        <is>
          <t>-</t>
        </is>
      </c>
      <c r="F97" s="21" t="n"/>
      <c r="G97" s="23" t="inlineStr">
        <is>
          <t>Jordania</t>
        </is>
      </c>
      <c r="I97" s="30" t="n">
        <v>1</v>
      </c>
      <c r="J97" s="18">
        <f>Calculos_Internos!H135</f>
        <v/>
      </c>
      <c r="K97" s="30">
        <f>SUMIFS(Calculos_Internos!$B$135:$B$138, Calculos_Internos!$A$135:$A$138, J97)</f>
        <v/>
      </c>
      <c r="L97" s="30">
        <f>SUMIFS(Calculos_Internos!$C$135:$C$138, Calculos_Internos!$A$135:$A$138, J97)</f>
        <v/>
      </c>
      <c r="M97" s="30">
        <f>SUMIFS(Calculos_Internos!$D$135:$D$138, Calculos_Internos!$A$135:$A$138, J97)</f>
        <v/>
      </c>
      <c r="N97" s="30">
        <f>SUMIFS(Calculos_Internos!$E$135:$E$138, Calculos_Internos!$A$135:$A$138, J97)</f>
        <v/>
      </c>
    </row>
    <row r="98" ht="20" customHeight="1" s="47">
      <c r="B98" s="26" t="inlineStr">
        <is>
          <t>M057</t>
        </is>
      </c>
      <c r="C98" s="27" t="inlineStr">
        <is>
          <t>Argentina</t>
        </is>
      </c>
      <c r="D98" s="21" t="n"/>
      <c r="E98" s="28" t="inlineStr">
        <is>
          <t>-</t>
        </is>
      </c>
      <c r="F98" s="21" t="n"/>
      <c r="G98" s="29" t="inlineStr">
        <is>
          <t>Austria</t>
        </is>
      </c>
      <c r="I98" s="17" t="n">
        <v>2</v>
      </c>
      <c r="J98" s="18">
        <f>Calculos_Internos!H136</f>
        <v/>
      </c>
      <c r="K98" s="17">
        <f>SUMIFS(Calculos_Internos!$B$135:$B$138, Calculos_Internos!$A$135:$A$138, J98)</f>
        <v/>
      </c>
      <c r="L98" s="17">
        <f>SUMIFS(Calculos_Internos!$C$135:$C$138, Calculos_Internos!$A$135:$A$138, J98)</f>
        <v/>
      </c>
      <c r="M98" s="17">
        <f>SUMIFS(Calculos_Internos!$D$135:$D$138, Calculos_Internos!$A$135:$A$138, J98)</f>
        <v/>
      </c>
      <c r="N98" s="17">
        <f>SUMIFS(Calculos_Internos!$E$135:$E$138, Calculos_Internos!$A$135:$A$138, J98)</f>
        <v/>
      </c>
    </row>
    <row r="99" ht="20" customHeight="1" s="47">
      <c r="B99" s="19" t="inlineStr">
        <is>
          <t>M058</t>
        </is>
      </c>
      <c r="C99" s="20" t="inlineStr">
        <is>
          <t>Argelia</t>
        </is>
      </c>
      <c r="D99" s="21" t="n"/>
      <c r="E99" s="22" t="inlineStr">
        <is>
          <t>-</t>
        </is>
      </c>
      <c r="F99" s="21" t="n"/>
      <c r="G99" s="23" t="inlineStr">
        <is>
          <t>Jordania</t>
        </is>
      </c>
      <c r="I99" s="31" t="n">
        <v>3</v>
      </c>
      <c r="J99" s="32">
        <f>Calculos_Internos!H137</f>
        <v/>
      </c>
      <c r="K99" s="31">
        <f>SUMIFS(Calculos_Internos!$B$135:$B$138, Calculos_Internos!$A$135:$A$138, J99)</f>
        <v/>
      </c>
      <c r="L99" s="31">
        <f>SUMIFS(Calculos_Internos!$C$135:$C$138, Calculos_Internos!$A$135:$A$138, J99)</f>
        <v/>
      </c>
      <c r="M99" s="31">
        <f>SUMIFS(Calculos_Internos!$D$135:$D$138, Calculos_Internos!$A$135:$A$138, J99)</f>
        <v/>
      </c>
      <c r="N99" s="31">
        <f>SUMIFS(Calculos_Internos!$E$135:$E$138, Calculos_Internos!$A$135:$A$138, J99)</f>
        <v/>
      </c>
    </row>
    <row r="100" ht="20" customHeight="1" s="47">
      <c r="B100" s="26" t="inlineStr">
        <is>
          <t>M059</t>
        </is>
      </c>
      <c r="C100" s="27" t="inlineStr">
        <is>
          <t>Jordania</t>
        </is>
      </c>
      <c r="D100" s="21" t="n"/>
      <c r="E100" s="28" t="inlineStr">
        <is>
          <t>-</t>
        </is>
      </c>
      <c r="F100" s="21" t="n"/>
      <c r="G100" s="29" t="inlineStr">
        <is>
          <t>Argentina</t>
        </is>
      </c>
      <c r="I100" s="24" t="n">
        <v>4</v>
      </c>
      <c r="J100" s="33">
        <f>Calculos_Internos!H138</f>
        <v/>
      </c>
      <c r="K100" s="24">
        <f>SUMIFS(Calculos_Internos!$B$135:$B$138, Calculos_Internos!$A$135:$A$138, J100)</f>
        <v/>
      </c>
      <c r="L100" s="24">
        <f>SUMIFS(Calculos_Internos!$C$135:$C$138, Calculos_Internos!$A$135:$A$138, J100)</f>
        <v/>
      </c>
      <c r="M100" s="24">
        <f>SUMIFS(Calculos_Internos!$D$135:$D$138, Calculos_Internos!$A$135:$A$138, J100)</f>
        <v/>
      </c>
      <c r="N100" s="24">
        <f>SUMIFS(Calculos_Internos!$E$135:$E$138, Calculos_Internos!$A$135:$A$138, J100)</f>
        <v/>
      </c>
    </row>
    <row r="101" ht="20" customHeight="1" s="47">
      <c r="B101" s="19" t="inlineStr">
        <is>
          <t>M060</t>
        </is>
      </c>
      <c r="C101" s="20" t="inlineStr">
        <is>
          <t>Argelia</t>
        </is>
      </c>
      <c r="D101" s="21" t="n"/>
      <c r="E101" s="22" t="inlineStr">
        <is>
          <t>-</t>
        </is>
      </c>
      <c r="F101" s="21" t="n"/>
      <c r="G101" s="23" t="inlineStr">
        <is>
          <t>Austria</t>
        </is>
      </c>
    </row>
    <row r="104" ht="26" customHeight="1" s="47">
      <c r="B104" s="49" t="inlineStr">
        <is>
          <t>📅 PARTIDOS GRUPO K</t>
        </is>
      </c>
      <c r="I104" s="46" t="inlineStr">
        <is>
          <t>📊 CLASIFICACION GRUPO K</t>
        </is>
      </c>
    </row>
    <row r="105" ht="20" customHeight="1" s="47">
      <c r="B105" s="19" t="inlineStr">
        <is>
          <t>M061</t>
        </is>
      </c>
      <c r="C105" s="20" t="inlineStr">
        <is>
          <t>Portugal</t>
        </is>
      </c>
      <c r="D105" s="21" t="n"/>
      <c r="E105" s="22" t="inlineStr">
        <is>
          <t>-</t>
        </is>
      </c>
      <c r="F105" s="21" t="n"/>
      <c r="G105" s="23" t="inlineStr">
        <is>
          <t>RD Congo</t>
        </is>
      </c>
      <c r="I105" s="16" t="inlineStr">
        <is>
          <t>Pos</t>
        </is>
      </c>
      <c r="J105" s="16" t="inlineStr">
        <is>
          <t>Equipo</t>
        </is>
      </c>
      <c r="K105" s="16" t="inlineStr">
        <is>
          <t>Pts</t>
        </is>
      </c>
      <c r="L105" s="16" t="inlineStr">
        <is>
          <t>GF</t>
        </is>
      </c>
      <c r="M105" s="16" t="inlineStr">
        <is>
          <t>GC</t>
        </is>
      </c>
      <c r="N105" s="16" t="inlineStr">
        <is>
          <t>DG</t>
        </is>
      </c>
    </row>
    <row r="106" ht="20" customHeight="1" s="47">
      <c r="B106" s="26" t="inlineStr">
        <is>
          <t>M062</t>
        </is>
      </c>
      <c r="C106" s="27" t="inlineStr">
        <is>
          <t>Uzbekistan</t>
        </is>
      </c>
      <c r="D106" s="21" t="n"/>
      <c r="E106" s="28" t="inlineStr">
        <is>
          <t>-</t>
        </is>
      </c>
      <c r="F106" s="21" t="n"/>
      <c r="G106" s="29" t="inlineStr">
        <is>
          <t>Colombia</t>
        </is>
      </c>
      <c r="I106" s="30" t="n">
        <v>1</v>
      </c>
      <c r="J106" s="18">
        <f>Calculos_Internos!H141</f>
        <v/>
      </c>
      <c r="K106" s="30">
        <f>SUMIFS(Calculos_Internos!$B$141:$B$144, Calculos_Internos!$A$141:$A$144, J106)</f>
        <v/>
      </c>
      <c r="L106" s="30">
        <f>SUMIFS(Calculos_Internos!$C$141:$C$144, Calculos_Internos!$A$141:$A$144, J106)</f>
        <v/>
      </c>
      <c r="M106" s="30">
        <f>SUMIFS(Calculos_Internos!$D$141:$D$144, Calculos_Internos!$A$141:$A$144, J106)</f>
        <v/>
      </c>
      <c r="N106" s="30">
        <f>SUMIFS(Calculos_Internos!$E$141:$E$144, Calculos_Internos!$A$141:$A$144, J106)</f>
        <v/>
      </c>
    </row>
    <row r="107" ht="20" customHeight="1" s="47">
      <c r="B107" s="19" t="inlineStr">
        <is>
          <t>M063</t>
        </is>
      </c>
      <c r="C107" s="20" t="inlineStr">
        <is>
          <t>Portugal</t>
        </is>
      </c>
      <c r="D107" s="21" t="n"/>
      <c r="E107" s="22" t="inlineStr">
        <is>
          <t>-</t>
        </is>
      </c>
      <c r="F107" s="21" t="n"/>
      <c r="G107" s="23" t="inlineStr">
        <is>
          <t>Uzbekistan</t>
        </is>
      </c>
      <c r="I107" s="17" t="n">
        <v>2</v>
      </c>
      <c r="J107" s="18">
        <f>Calculos_Internos!H142</f>
        <v/>
      </c>
      <c r="K107" s="17">
        <f>SUMIFS(Calculos_Internos!$B$141:$B$144, Calculos_Internos!$A$141:$A$144, J107)</f>
        <v/>
      </c>
      <c r="L107" s="17">
        <f>SUMIFS(Calculos_Internos!$C$141:$C$144, Calculos_Internos!$A$141:$A$144, J107)</f>
        <v/>
      </c>
      <c r="M107" s="17">
        <f>SUMIFS(Calculos_Internos!$D$141:$D$144, Calculos_Internos!$A$141:$A$144, J107)</f>
        <v/>
      </c>
      <c r="N107" s="17">
        <f>SUMIFS(Calculos_Internos!$E$141:$E$144, Calculos_Internos!$A$141:$A$144, J107)</f>
        <v/>
      </c>
    </row>
    <row r="108" ht="20" customHeight="1" s="47">
      <c r="B108" s="26" t="inlineStr">
        <is>
          <t>M064</t>
        </is>
      </c>
      <c r="C108" s="27" t="inlineStr">
        <is>
          <t>RD Congo</t>
        </is>
      </c>
      <c r="D108" s="21" t="n"/>
      <c r="E108" s="28" t="inlineStr">
        <is>
          <t>-</t>
        </is>
      </c>
      <c r="F108" s="21" t="n"/>
      <c r="G108" s="29" t="inlineStr">
        <is>
          <t>Colombia</t>
        </is>
      </c>
      <c r="I108" s="31" t="n">
        <v>3</v>
      </c>
      <c r="J108" s="32">
        <f>Calculos_Internos!H143</f>
        <v/>
      </c>
      <c r="K108" s="31">
        <f>SUMIFS(Calculos_Internos!$B$141:$B$144, Calculos_Internos!$A$141:$A$144, J108)</f>
        <v/>
      </c>
      <c r="L108" s="31">
        <f>SUMIFS(Calculos_Internos!$C$141:$C$144, Calculos_Internos!$A$141:$A$144, J108)</f>
        <v/>
      </c>
      <c r="M108" s="31">
        <f>SUMIFS(Calculos_Internos!$D$141:$D$144, Calculos_Internos!$A$141:$A$144, J108)</f>
        <v/>
      </c>
      <c r="N108" s="31">
        <f>SUMIFS(Calculos_Internos!$E$141:$E$144, Calculos_Internos!$A$141:$A$144, J108)</f>
        <v/>
      </c>
    </row>
    <row r="109" ht="20" customHeight="1" s="47">
      <c r="B109" s="19" t="inlineStr">
        <is>
          <t>M065</t>
        </is>
      </c>
      <c r="C109" s="20" t="inlineStr">
        <is>
          <t>Colombia</t>
        </is>
      </c>
      <c r="D109" s="21" t="n"/>
      <c r="E109" s="22" t="inlineStr">
        <is>
          <t>-</t>
        </is>
      </c>
      <c r="F109" s="21" t="n"/>
      <c r="G109" s="23" t="inlineStr">
        <is>
          <t>Portugal</t>
        </is>
      </c>
      <c r="I109" s="24" t="n">
        <v>4</v>
      </c>
      <c r="J109" s="33">
        <f>Calculos_Internos!H144</f>
        <v/>
      </c>
      <c r="K109" s="24">
        <f>SUMIFS(Calculos_Internos!$B$141:$B$144, Calculos_Internos!$A$141:$A$144, J109)</f>
        <v/>
      </c>
      <c r="L109" s="24">
        <f>SUMIFS(Calculos_Internos!$C$141:$C$144, Calculos_Internos!$A$141:$A$144, J109)</f>
        <v/>
      </c>
      <c r="M109" s="24">
        <f>SUMIFS(Calculos_Internos!$D$141:$D$144, Calculos_Internos!$A$141:$A$144, J109)</f>
        <v/>
      </c>
      <c r="N109" s="24">
        <f>SUMIFS(Calculos_Internos!$E$141:$E$144, Calculos_Internos!$A$141:$A$144, J109)</f>
        <v/>
      </c>
    </row>
    <row r="110" ht="20" customHeight="1" s="47">
      <c r="B110" s="26" t="inlineStr">
        <is>
          <t>M066</t>
        </is>
      </c>
      <c r="C110" s="27" t="inlineStr">
        <is>
          <t>RD Congo</t>
        </is>
      </c>
      <c r="D110" s="21" t="n"/>
      <c r="E110" s="28" t="inlineStr">
        <is>
          <t>-</t>
        </is>
      </c>
      <c r="F110" s="21" t="n"/>
      <c r="G110" s="29" t="inlineStr">
        <is>
          <t>Uzbekistan</t>
        </is>
      </c>
    </row>
    <row r="113" ht="26" customHeight="1" s="47">
      <c r="B113" s="49" t="inlineStr">
        <is>
          <t>📅 PARTIDOS GRUPO L</t>
        </is>
      </c>
      <c r="I113" s="46" t="inlineStr">
        <is>
          <t>📊 CLASIFICACION GRUPO L</t>
        </is>
      </c>
    </row>
    <row r="114" ht="20" customHeight="1" s="47">
      <c r="B114" s="26" t="inlineStr">
        <is>
          <t>M067</t>
        </is>
      </c>
      <c r="C114" s="27" t="inlineStr">
        <is>
          <t>Inglaterra</t>
        </is>
      </c>
      <c r="D114" s="21" t="n"/>
      <c r="E114" s="28" t="inlineStr">
        <is>
          <t>-</t>
        </is>
      </c>
      <c r="F114" s="21" t="n"/>
      <c r="G114" s="29" t="inlineStr">
        <is>
          <t>Croacia</t>
        </is>
      </c>
      <c r="I114" s="16" t="inlineStr">
        <is>
          <t>Pos</t>
        </is>
      </c>
      <c r="J114" s="16" t="inlineStr">
        <is>
          <t>Equipo</t>
        </is>
      </c>
      <c r="K114" s="16" t="inlineStr">
        <is>
          <t>Pts</t>
        </is>
      </c>
      <c r="L114" s="16" t="inlineStr">
        <is>
          <t>GF</t>
        </is>
      </c>
      <c r="M114" s="16" t="inlineStr">
        <is>
          <t>GC</t>
        </is>
      </c>
      <c r="N114" s="16" t="inlineStr">
        <is>
          <t>DG</t>
        </is>
      </c>
    </row>
    <row r="115" ht="20" customHeight="1" s="47">
      <c r="B115" s="19" t="inlineStr">
        <is>
          <t>M068</t>
        </is>
      </c>
      <c r="C115" s="20" t="inlineStr">
        <is>
          <t>Ghana</t>
        </is>
      </c>
      <c r="D115" s="21" t="n"/>
      <c r="E115" s="22" t="inlineStr">
        <is>
          <t>-</t>
        </is>
      </c>
      <c r="F115" s="21" t="n"/>
      <c r="G115" s="23" t="inlineStr">
        <is>
          <t>Panama</t>
        </is>
      </c>
      <c r="I115" s="30" t="n">
        <v>1</v>
      </c>
      <c r="J115" s="18">
        <f>Calculos_Internos!H147</f>
        <v/>
      </c>
      <c r="K115" s="30">
        <f>SUMIFS(Calculos_Internos!$B$147:$B$150, Calculos_Internos!$A$147:$A$150, J115)</f>
        <v/>
      </c>
      <c r="L115" s="30">
        <f>SUMIFS(Calculos_Internos!$C$147:$C$150, Calculos_Internos!$A$147:$A$150, J115)</f>
        <v/>
      </c>
      <c r="M115" s="30">
        <f>SUMIFS(Calculos_Internos!$D$147:$D$150, Calculos_Internos!$A$147:$A$150, J115)</f>
        <v/>
      </c>
      <c r="N115" s="30">
        <f>SUMIFS(Calculos_Internos!$E$147:$E$150, Calculos_Internos!$A$147:$A$150, J115)</f>
        <v/>
      </c>
    </row>
    <row r="116" ht="20" customHeight="1" s="47">
      <c r="B116" s="26" t="inlineStr">
        <is>
          <t>M069</t>
        </is>
      </c>
      <c r="C116" s="27" t="inlineStr">
        <is>
          <t>Inglaterra</t>
        </is>
      </c>
      <c r="D116" s="21" t="n"/>
      <c r="E116" s="28" t="inlineStr">
        <is>
          <t>-</t>
        </is>
      </c>
      <c r="F116" s="21" t="n"/>
      <c r="G116" s="29" t="inlineStr">
        <is>
          <t>Ghana</t>
        </is>
      </c>
      <c r="I116" s="17" t="n">
        <v>2</v>
      </c>
      <c r="J116" s="18">
        <f>Calculos_Internos!H148</f>
        <v/>
      </c>
      <c r="K116" s="17">
        <f>SUMIFS(Calculos_Internos!$B$147:$B$150, Calculos_Internos!$A$147:$A$150, J116)</f>
        <v/>
      </c>
      <c r="L116" s="17">
        <f>SUMIFS(Calculos_Internos!$C$147:$C$150, Calculos_Internos!$A$147:$A$150, J116)</f>
        <v/>
      </c>
      <c r="M116" s="17">
        <f>SUMIFS(Calculos_Internos!$D$147:$D$150, Calculos_Internos!$A$147:$A$150, J116)</f>
        <v/>
      </c>
      <c r="N116" s="17">
        <f>SUMIFS(Calculos_Internos!$E$147:$E$150, Calculos_Internos!$A$147:$A$150, J116)</f>
        <v/>
      </c>
    </row>
    <row r="117" ht="20" customHeight="1" s="47">
      <c r="B117" s="19" t="inlineStr">
        <is>
          <t>M070</t>
        </is>
      </c>
      <c r="C117" s="20" t="inlineStr">
        <is>
          <t>Croacia</t>
        </is>
      </c>
      <c r="D117" s="21" t="n"/>
      <c r="E117" s="22" t="inlineStr">
        <is>
          <t>-</t>
        </is>
      </c>
      <c r="F117" s="21" t="n"/>
      <c r="G117" s="23" t="inlineStr">
        <is>
          <t>Panama</t>
        </is>
      </c>
      <c r="I117" s="31" t="n">
        <v>3</v>
      </c>
      <c r="J117" s="32">
        <f>Calculos_Internos!H149</f>
        <v/>
      </c>
      <c r="K117" s="31">
        <f>SUMIFS(Calculos_Internos!$B$147:$B$150, Calculos_Internos!$A$147:$A$150, J117)</f>
        <v/>
      </c>
      <c r="L117" s="31">
        <f>SUMIFS(Calculos_Internos!$C$147:$C$150, Calculos_Internos!$A$147:$A$150, J117)</f>
        <v/>
      </c>
      <c r="M117" s="31">
        <f>SUMIFS(Calculos_Internos!$D$147:$D$150, Calculos_Internos!$A$147:$A$150, J117)</f>
        <v/>
      </c>
      <c r="N117" s="31">
        <f>SUMIFS(Calculos_Internos!$E$147:$E$150, Calculos_Internos!$A$147:$A$150, J117)</f>
        <v/>
      </c>
    </row>
    <row r="118" ht="20" customHeight="1" s="47">
      <c r="B118" s="26" t="inlineStr">
        <is>
          <t>M071</t>
        </is>
      </c>
      <c r="C118" s="27" t="inlineStr">
        <is>
          <t>Panama</t>
        </is>
      </c>
      <c r="D118" s="21" t="n"/>
      <c r="E118" s="28" t="inlineStr">
        <is>
          <t>-</t>
        </is>
      </c>
      <c r="F118" s="21" t="n"/>
      <c r="G118" s="29" t="inlineStr">
        <is>
          <t>Inglaterra</t>
        </is>
      </c>
      <c r="I118" s="24" t="n">
        <v>4</v>
      </c>
      <c r="J118" s="33">
        <f>Calculos_Internos!H150</f>
        <v/>
      </c>
      <c r="K118" s="24">
        <f>SUMIFS(Calculos_Internos!$B$147:$B$150, Calculos_Internos!$A$147:$A$150, J118)</f>
        <v/>
      </c>
      <c r="L118" s="24">
        <f>SUMIFS(Calculos_Internos!$C$147:$C$150, Calculos_Internos!$A$147:$A$150, J118)</f>
        <v/>
      </c>
      <c r="M118" s="24">
        <f>SUMIFS(Calculos_Internos!$D$147:$D$150, Calculos_Internos!$A$147:$A$150, J118)</f>
        <v/>
      </c>
      <c r="N118" s="24">
        <f>SUMIFS(Calculos_Internos!$E$147:$E$150, Calculos_Internos!$A$147:$A$150, J118)</f>
        <v/>
      </c>
    </row>
    <row r="119" ht="20" customHeight="1" s="47">
      <c r="B119" s="19" t="inlineStr">
        <is>
          <t>M072</t>
        </is>
      </c>
      <c r="C119" s="20" t="inlineStr">
        <is>
          <t>Croacia</t>
        </is>
      </c>
      <c r="D119" s="21" t="n"/>
      <c r="E119" s="22" t="inlineStr">
        <is>
          <t>-</t>
        </is>
      </c>
      <c r="F119" s="21" t="n"/>
      <c r="G119" s="23" t="inlineStr">
        <is>
          <t>Ghana</t>
        </is>
      </c>
    </row>
  </sheetData>
  <mergeCells count="40">
    <mergeCell ref="S22:T22"/>
    <mergeCell ref="I41:N41"/>
    <mergeCell ref="D10:E10"/>
    <mergeCell ref="I32:N32"/>
    <mergeCell ref="B14:G14"/>
    <mergeCell ref="Q21:U21"/>
    <mergeCell ref="B23:G23"/>
    <mergeCell ref="Q24:R24"/>
    <mergeCell ref="B5:E5"/>
    <mergeCell ref="D6:E6"/>
    <mergeCell ref="I68:N68"/>
    <mergeCell ref="K2:M2"/>
    <mergeCell ref="D11:E11"/>
    <mergeCell ref="I14:N14"/>
    <mergeCell ref="Q23:R23"/>
    <mergeCell ref="Q5:U5"/>
    <mergeCell ref="I23:N23"/>
    <mergeCell ref="S23:T23"/>
    <mergeCell ref="B68:G68"/>
    <mergeCell ref="B104:G104"/>
    <mergeCell ref="B95:G95"/>
    <mergeCell ref="D7:E7"/>
    <mergeCell ref="I59:N59"/>
    <mergeCell ref="I50:N50"/>
    <mergeCell ref="B41:G41"/>
    <mergeCell ref="S24:T24"/>
    <mergeCell ref="B32:G32"/>
    <mergeCell ref="B50:G50"/>
    <mergeCell ref="B113:G113"/>
    <mergeCell ref="Q22:R22"/>
    <mergeCell ref="D9:E9"/>
    <mergeCell ref="D8:E8"/>
    <mergeCell ref="I86:N86"/>
    <mergeCell ref="I104:N104"/>
    <mergeCell ref="I77:N77"/>
    <mergeCell ref="I95:N95"/>
    <mergeCell ref="B59:G59"/>
    <mergeCell ref="I113:N113"/>
    <mergeCell ref="B86:G86"/>
    <mergeCell ref="B77:G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D6B20"/>
    <outlinePr summaryBelow="1" summaryRight="1"/>
    <pageSetUpPr/>
  </sheetPr>
  <dimension ref="B2:AD97"/>
  <sheetViews>
    <sheetView topLeftCell="A50" workbookViewId="0">
      <selection activeCell="H11" sqref="H11"/>
    </sheetView>
  </sheetViews>
  <sheetFormatPr baseColWidth="10" defaultColWidth="8.7265625" defaultRowHeight="14.5"/>
  <cols>
    <col width="10" customWidth="1" style="47" min="1" max="1"/>
    <col width="11" customWidth="1" style="47" min="2" max="2"/>
    <col width="10" customWidth="1" style="47" min="3" max="3"/>
    <col width="24" customWidth="1" style="47" min="4" max="4"/>
    <col width="7" customWidth="1" style="47" min="5" max="6"/>
    <col width="8" customWidth="1" style="47" min="6" max="6"/>
    <col width="4" customWidth="1" style="47" min="7" max="7"/>
    <col width="11" customWidth="1" style="47" min="8" max="9"/>
    <col width="24" customWidth="1" style="47" min="10" max="10"/>
    <col width="7" customWidth="1" style="47" min="11" max="12"/>
    <col width="8" customWidth="1" style="47" min="12" max="12"/>
    <col width="4" customWidth="1" style="47" min="13" max="13"/>
    <col width="11" customWidth="1" style="47" min="14" max="15"/>
    <col width="24" customWidth="1" style="47" min="16" max="16"/>
    <col width="7" customWidth="1" style="47" min="17" max="18"/>
    <col width="8" customWidth="1" style="47" min="18" max="18"/>
    <col width="4" customWidth="1" style="47" min="19" max="19"/>
    <col width="11" customWidth="1" style="47" min="20" max="21"/>
    <col width="24" customWidth="1" style="47" min="22" max="22"/>
    <col width="7" customWidth="1" style="47" min="23" max="24"/>
    <col width="8" customWidth="1" style="47" min="24" max="24"/>
    <col width="4" customWidth="1" style="47" min="25" max="25"/>
    <col width="14" customWidth="1" style="47" min="26" max="26"/>
    <col width="11" customWidth="1" style="47" min="27" max="27"/>
    <col width="24" customWidth="1" style="47" min="28" max="28"/>
    <col width="7" customWidth="1" style="47" min="29" max="30"/>
    <col width="8" customWidth="1" style="47" min="30" max="30"/>
  </cols>
  <sheetData>
    <row r="2" ht="26" customHeight="1" s="47">
      <c r="B2" s="13" t="inlineStr">
        <is>
          <t>🏆 CUADRO DE ELIMINATORIAS DIRECTAS (MODO LLAVE)</t>
        </is>
      </c>
    </row>
    <row r="3" ht="16" customHeight="1" s="47">
      <c r="B3" s="14" t="inlineStr">
        <is>
          <t>Los equipos bajan solos desde los grupos. Al lado de cada selección se muestra su origen explícito.</t>
        </is>
      </c>
    </row>
    <row r="4">
      <c r="E4" s="58" t="inlineStr">
        <is>
          <t>Goles</t>
        </is>
      </c>
      <c r="F4" s="58" t="inlineStr">
        <is>
          <t>Pen.</t>
        </is>
      </c>
      <c r="K4" s="58" t="inlineStr">
        <is>
          <t>Goles</t>
        </is>
      </c>
      <c r="L4" s="58" t="inlineStr">
        <is>
          <t>Pen.</t>
        </is>
      </c>
      <c r="Q4" s="58" t="inlineStr">
        <is>
          <t>Goles</t>
        </is>
      </c>
      <c r="R4" s="58" t="inlineStr">
        <is>
          <t>Pen.</t>
        </is>
      </c>
      <c r="W4" s="58" t="inlineStr">
        <is>
          <t>Goles</t>
        </is>
      </c>
      <c r="X4" s="58" t="inlineStr">
        <is>
          <t>Pen.</t>
        </is>
      </c>
      <c r="AC4" s="58" t="inlineStr">
        <is>
          <t>Goles</t>
        </is>
      </c>
      <c r="AD4" s="58" t="inlineStr">
        <is>
          <t>Pen.</t>
        </is>
      </c>
    </row>
    <row r="5" ht="26" customHeight="1" s="47">
      <c r="B5" s="55" t="inlineStr">
        <is>
          <t>DIECISEISAVOS DE FINAL</t>
        </is>
      </c>
      <c r="H5" s="55" t="inlineStr">
        <is>
          <t>OCTAVOS DE FINAL</t>
        </is>
      </c>
      <c r="N5" s="55" t="inlineStr">
        <is>
          <t>CUARTOS DE FINAL</t>
        </is>
      </c>
      <c r="T5" s="55" t="inlineStr">
        <is>
          <t>SEMIFINALES</t>
        </is>
      </c>
      <c r="Z5" s="46" t="inlineStr">
        <is>
          <t>GRANDES FINALES</t>
        </is>
      </c>
    </row>
    <row r="6" ht="20" customHeight="1" s="47">
      <c r="B6" s="34" t="inlineStr">
        <is>
          <t>D1 (M73)</t>
        </is>
      </c>
      <c r="C6" s="35" t="inlineStr">
        <is>
          <t>1A</t>
        </is>
      </c>
      <c r="D6" s="36">
        <f>Calculos_Internos!H81</f>
        <v/>
      </c>
      <c r="E6" s="37" t="n"/>
      <c r="F6" s="58" t="n"/>
    </row>
    <row r="7" ht="20" customHeight="1" s="47">
      <c r="B7" s="11" t="n"/>
      <c r="C7" s="35" t="inlineStr">
        <is>
          <t>3º Top 1</t>
        </is>
      </c>
      <c r="D7" s="36">
        <f>Calculos_Internos!H160</f>
        <v/>
      </c>
      <c r="E7" s="37" t="n"/>
      <c r="F7" s="58" t="n"/>
    </row>
    <row r="9" ht="20" customHeight="1" s="47">
      <c r="H9" s="34" t="inlineStr">
        <is>
          <t>O1 (M89)</t>
        </is>
      </c>
      <c r="I9" s="35" t="inlineStr">
        <is>
          <t>Gan. D1</t>
        </is>
      </c>
      <c r="J9" s="36">
        <f>Calculos_Internos!I200</f>
        <v/>
      </c>
      <c r="K9" s="37" t="n"/>
      <c r="L9" s="58" t="n"/>
    </row>
    <row r="10" ht="20" customHeight="1" s="47">
      <c r="H10" s="11" t="n"/>
      <c r="I10" s="35" t="inlineStr">
        <is>
          <t>Gan. D2</t>
        </is>
      </c>
      <c r="J10" s="36">
        <f>Calculos_Internos!I201</f>
        <v/>
      </c>
      <c r="K10" s="37" t="n"/>
      <c r="L10" s="58" t="n"/>
    </row>
    <row r="12" ht="20" customHeight="1" s="47">
      <c r="B12" s="34" t="inlineStr">
        <is>
          <t>D2 (M74)</t>
        </is>
      </c>
      <c r="C12" s="35" t="inlineStr">
        <is>
          <t>2A</t>
        </is>
      </c>
      <c r="D12" s="36">
        <f>Calculos_Internos!H82</f>
        <v/>
      </c>
      <c r="E12" s="37" t="n"/>
      <c r="F12" s="58" t="n"/>
    </row>
    <row r="13" ht="20" customHeight="1" s="47">
      <c r="B13" s="11" t="n"/>
      <c r="C13" s="35" t="inlineStr">
        <is>
          <t>2B</t>
        </is>
      </c>
      <c r="D13" s="36">
        <f>Calculos_Internos!H88</f>
        <v/>
      </c>
      <c r="E13" s="37" t="n"/>
      <c r="F13" s="58" t="n"/>
    </row>
    <row r="15" ht="20" customHeight="1" s="47">
      <c r="N15" s="34" t="inlineStr">
        <is>
          <t>C1 (M97)</t>
        </is>
      </c>
      <c r="O15" s="35" t="inlineStr">
        <is>
          <t>Gan. O1</t>
        </is>
      </c>
      <c r="P15" s="36">
        <f>Calculos_Internos!I216</f>
        <v/>
      </c>
      <c r="Q15" s="37" t="n"/>
      <c r="R15" s="58" t="n"/>
    </row>
    <row r="16" ht="20" customHeight="1" s="47">
      <c r="N16" s="11" t="n"/>
      <c r="O16" s="35" t="inlineStr">
        <is>
          <t>Gan. O2</t>
        </is>
      </c>
      <c r="P16" s="36">
        <f>Calculos_Internos!I217</f>
        <v/>
      </c>
      <c r="Q16" s="37" t="n"/>
      <c r="R16" s="58" t="n"/>
    </row>
    <row r="18" ht="20" customHeight="1" s="47">
      <c r="B18" s="34" t="inlineStr">
        <is>
          <t>D3 (M75)</t>
        </is>
      </c>
      <c r="C18" s="35" t="inlineStr">
        <is>
          <t>1B</t>
        </is>
      </c>
      <c r="D18" s="36">
        <f>Calculos_Internos!H87</f>
        <v/>
      </c>
      <c r="E18" s="37" t="n"/>
      <c r="F18" s="58" t="n"/>
    </row>
    <row r="19" ht="20" customHeight="1" s="47">
      <c r="B19" s="11" t="n"/>
      <c r="C19" s="35" t="inlineStr">
        <is>
          <t>3º Top 2</t>
        </is>
      </c>
      <c r="D19" s="36">
        <f>Calculos_Internos!H161</f>
        <v/>
      </c>
      <c r="E19" s="37" t="n"/>
      <c r="F19" s="58" t="n"/>
    </row>
    <row r="21" ht="20" customHeight="1" s="47">
      <c r="H21" s="34" t="inlineStr">
        <is>
          <t>O2 (M90)</t>
        </is>
      </c>
      <c r="I21" s="35" t="inlineStr">
        <is>
          <t>Gan. D3</t>
        </is>
      </c>
      <c r="J21" s="36">
        <f>Calculos_Internos!I202</f>
        <v/>
      </c>
      <c r="K21" s="37" t="n"/>
      <c r="L21" s="58" t="n"/>
    </row>
    <row r="22" ht="20" customHeight="1" s="47">
      <c r="H22" s="11" t="n"/>
      <c r="I22" s="35" t="inlineStr">
        <is>
          <t>Gan. D4</t>
        </is>
      </c>
      <c r="J22" s="36">
        <f>Calculos_Internos!I203</f>
        <v/>
      </c>
      <c r="K22" s="37" t="n"/>
      <c r="L22" s="58" t="n"/>
    </row>
    <row r="24" ht="20" customHeight="1" s="47">
      <c r="B24" s="34" t="inlineStr">
        <is>
          <t>D4 (M76)</t>
        </is>
      </c>
      <c r="C24" s="35" t="inlineStr">
        <is>
          <t>1C</t>
        </is>
      </c>
      <c r="D24" s="36">
        <f>Calculos_Internos!H93</f>
        <v/>
      </c>
      <c r="E24" s="37" t="n"/>
      <c r="F24" s="58" t="n"/>
    </row>
    <row r="25" ht="20" customHeight="1" s="47">
      <c r="B25" s="11" t="n"/>
      <c r="C25" s="35" t="inlineStr">
        <is>
          <t>3º Top 3</t>
        </is>
      </c>
      <c r="D25" s="36">
        <f>Calculos_Internos!H162</f>
        <v/>
      </c>
      <c r="E25" s="37" t="n"/>
      <c r="F25" s="58" t="n"/>
    </row>
    <row r="27" ht="20" customHeight="1" s="47">
      <c r="T27" s="34" t="inlineStr">
        <is>
          <t>S1 (M101)</t>
        </is>
      </c>
      <c r="U27" s="35" t="inlineStr">
        <is>
          <t>Gan. C1</t>
        </is>
      </c>
      <c r="V27" s="36">
        <f>Calculos_Internos!I224</f>
        <v/>
      </c>
      <c r="W27" s="37" t="n"/>
      <c r="X27" s="58" t="n"/>
    </row>
    <row r="28" ht="20" customHeight="1" s="47">
      <c r="T28" s="11" t="n"/>
      <c r="U28" s="35" t="inlineStr">
        <is>
          <t>Gan. C2</t>
        </is>
      </c>
      <c r="V28" s="36">
        <f>Calculos_Internos!I225</f>
        <v/>
      </c>
      <c r="W28" s="37" t="n"/>
      <c r="X28" s="58" t="n"/>
    </row>
    <row r="30" ht="20" customHeight="1" s="47">
      <c r="B30" s="34" t="inlineStr">
        <is>
          <t>D5 (M77)</t>
        </is>
      </c>
      <c r="C30" s="35" t="inlineStr">
        <is>
          <t>2C</t>
        </is>
      </c>
      <c r="D30" s="36">
        <f>Calculos_Internos!H94</f>
        <v/>
      </c>
      <c r="E30" s="37" t="n"/>
      <c r="F30" s="58" t="n"/>
    </row>
    <row r="31" ht="20" customHeight="1" s="47">
      <c r="B31" s="11" t="n"/>
      <c r="C31" s="35" t="inlineStr">
        <is>
          <t>2D</t>
        </is>
      </c>
      <c r="D31" s="36">
        <f>Calculos_Internos!H100</f>
        <v/>
      </c>
      <c r="E31" s="37" t="n"/>
      <c r="F31" s="58" t="n"/>
    </row>
    <row r="33" ht="20" customHeight="1" s="47">
      <c r="H33" s="34" t="inlineStr">
        <is>
          <t>O3 (M91)</t>
        </is>
      </c>
      <c r="I33" s="35" t="inlineStr">
        <is>
          <t>Gan. D5</t>
        </is>
      </c>
      <c r="J33" s="36">
        <f>Calculos_Internos!I204</f>
        <v/>
      </c>
      <c r="K33" s="37" t="n"/>
      <c r="L33" s="58" t="n"/>
    </row>
    <row r="34" ht="20" customHeight="1" s="47">
      <c r="H34" s="11" t="n"/>
      <c r="I34" s="35" t="inlineStr">
        <is>
          <t>Gan. D6</t>
        </is>
      </c>
      <c r="J34" s="36">
        <f>Calculos_Internos!I205</f>
        <v/>
      </c>
      <c r="K34" s="37" t="n"/>
      <c r="L34" s="58" t="n"/>
    </row>
    <row r="36" ht="20" customHeight="1" s="47">
      <c r="B36" s="34" t="inlineStr">
        <is>
          <t>D6 (M78)</t>
        </is>
      </c>
      <c r="C36" s="35" t="inlineStr">
        <is>
          <t>1D</t>
        </is>
      </c>
      <c r="D36" s="36">
        <f>Calculos_Internos!H99</f>
        <v/>
      </c>
      <c r="E36" s="37" t="n"/>
      <c r="F36" s="58" t="n"/>
    </row>
    <row r="37" ht="20" customHeight="1" s="47">
      <c r="B37" s="11" t="n"/>
      <c r="C37" s="35" t="inlineStr">
        <is>
          <t>3º Top 4</t>
        </is>
      </c>
      <c r="D37" s="36">
        <f>Calculos_Internos!H163</f>
        <v/>
      </c>
      <c r="E37" s="37" t="n"/>
      <c r="F37" s="58" t="n"/>
    </row>
    <row r="39" ht="20" customHeight="1" s="47">
      <c r="N39" s="34" t="inlineStr">
        <is>
          <t>C2 (M98)</t>
        </is>
      </c>
      <c r="O39" s="35" t="inlineStr">
        <is>
          <t>Gan. O3</t>
        </is>
      </c>
      <c r="P39" s="36">
        <f>Calculos_Internos!I218</f>
        <v/>
      </c>
      <c r="Q39" s="37" t="n"/>
      <c r="R39" s="58" t="n"/>
    </row>
    <row r="40" ht="20" customHeight="1" s="47">
      <c r="N40" s="11" t="n"/>
      <c r="O40" s="35" t="inlineStr">
        <is>
          <t>Gan. O4</t>
        </is>
      </c>
      <c r="P40" s="36">
        <f>Calculos_Internos!I219</f>
        <v/>
      </c>
      <c r="Q40" s="37" t="n"/>
      <c r="R40" s="58" t="n"/>
    </row>
    <row r="42" ht="20" customHeight="1" s="47">
      <c r="B42" s="34" t="inlineStr">
        <is>
          <t>D7 (M79)</t>
        </is>
      </c>
      <c r="C42" s="35" t="inlineStr">
        <is>
          <t>1E</t>
        </is>
      </c>
      <c r="D42" s="36">
        <f>Calculos_Internos!H105</f>
        <v/>
      </c>
      <c r="E42" s="37" t="n"/>
      <c r="F42" s="58" t="n"/>
    </row>
    <row r="43" ht="20" customHeight="1" s="47">
      <c r="B43" s="11" t="n"/>
      <c r="C43" s="35" t="inlineStr">
        <is>
          <t>3º Top 5</t>
        </is>
      </c>
      <c r="D43" s="36">
        <f>Calculos_Internos!H164</f>
        <v/>
      </c>
      <c r="E43" s="37" t="n"/>
      <c r="F43" s="58" t="n"/>
    </row>
    <row r="45" ht="20" customHeight="1" s="47">
      <c r="H45" s="34" t="inlineStr">
        <is>
          <t>O4 (M92)</t>
        </is>
      </c>
      <c r="I45" s="35" t="inlineStr">
        <is>
          <t>Gan. D7</t>
        </is>
      </c>
      <c r="J45" s="36">
        <f>Calculos_Internos!I206</f>
        <v/>
      </c>
      <c r="K45" s="37" t="n"/>
      <c r="L45" s="58" t="n"/>
    </row>
    <row r="46" ht="20" customHeight="1" s="47">
      <c r="H46" s="11" t="n"/>
      <c r="I46" s="35" t="inlineStr">
        <is>
          <t>Gan. D8</t>
        </is>
      </c>
      <c r="J46" s="36">
        <f>Calculos_Internos!I207</f>
        <v/>
      </c>
      <c r="K46" s="37" t="n"/>
      <c r="L46" s="58" t="n"/>
      <c r="Z46" s="39" t="inlineStr">
        <is>
          <t>M104 (Final)</t>
        </is>
      </c>
      <c r="AA46" s="35" t="inlineStr">
        <is>
          <t>Gan. S1</t>
        </is>
      </c>
      <c r="AB46" s="36">
        <f>Calculos_Internos!I228</f>
        <v/>
      </c>
      <c r="AC46" s="37" t="n"/>
      <c r="AD46" s="58" t="n"/>
    </row>
    <row r="47" ht="20" customHeight="1" s="47">
      <c r="Z47" s="11" t="n"/>
      <c r="AA47" s="35" t="inlineStr">
        <is>
          <t>Gan. S2</t>
        </is>
      </c>
      <c r="AB47" s="36">
        <f>Calculos_Internos!I229</f>
        <v/>
      </c>
      <c r="AC47" s="37" t="n"/>
      <c r="AD47" s="58" t="n"/>
    </row>
    <row r="48" ht="20" customHeight="1" s="47">
      <c r="B48" s="34" t="inlineStr">
        <is>
          <t>D8 (M80)</t>
        </is>
      </c>
      <c r="C48" s="35" t="inlineStr">
        <is>
          <t>2E</t>
        </is>
      </c>
      <c r="D48" s="36">
        <f>Calculos_Internos!H106</f>
        <v/>
      </c>
      <c r="E48" s="37" t="n"/>
      <c r="F48" s="58" t="n"/>
    </row>
    <row r="49" ht="20" customHeight="1" s="47">
      <c r="B49" s="11" t="n"/>
      <c r="C49" s="35" t="inlineStr">
        <is>
          <t>2F</t>
        </is>
      </c>
      <c r="D49" s="36">
        <f>Calculos_Internos!H112</f>
        <v/>
      </c>
      <c r="E49" s="37" t="n"/>
      <c r="F49" s="58" t="n"/>
    </row>
    <row r="52" ht="20" customHeight="1" s="47">
      <c r="Z52" s="40" t="inlineStr">
        <is>
          <t>M103 (3º Puesto)</t>
        </is>
      </c>
      <c r="AA52" s="35" t="inlineStr">
        <is>
          <t>Perd. S1</t>
        </is>
      </c>
      <c r="AB52" s="36">
        <f>IF(Calculos_Internos!I228=Calculos_Internos!C228,Calculos_Internos!F228,Calculos_Internos!C228)</f>
        <v/>
      </c>
      <c r="AC52" s="37" t="n"/>
      <c r="AD52" s="58" t="n"/>
    </row>
    <row r="53" ht="20" customHeight="1" s="47">
      <c r="N53" s="34" t="inlineStr">
        <is>
          <t>C3 (M99)</t>
        </is>
      </c>
      <c r="O53" s="35" t="inlineStr">
        <is>
          <t>Gan. O5</t>
        </is>
      </c>
      <c r="P53" s="36">
        <f>Calculos_Internos!I220</f>
        <v/>
      </c>
      <c r="Q53" s="37" t="n"/>
      <c r="R53" s="58" t="n"/>
      <c r="Z53" s="11" t="n"/>
      <c r="AA53" s="35" t="inlineStr">
        <is>
          <t>Perd. S2</t>
        </is>
      </c>
      <c r="AB53" s="36">
        <f>IF(Calculos_Internos!I229=Calculos_Internos!C229,Calculos_Internos!F229,Calculos_Internos!C229)</f>
        <v/>
      </c>
      <c r="AC53" s="37" t="n"/>
      <c r="AD53" s="58" t="n"/>
    </row>
    <row r="54" ht="20" customHeight="1" s="47">
      <c r="B54" s="34" t="inlineStr">
        <is>
          <t>D9 (M81)</t>
        </is>
      </c>
      <c r="C54" s="35" t="inlineStr">
        <is>
          <t>1F</t>
        </is>
      </c>
      <c r="D54" s="36">
        <f>Calculos_Internos!H111</f>
        <v/>
      </c>
      <c r="E54" s="37" t="n"/>
      <c r="F54" s="58" t="n"/>
      <c r="N54" s="11" t="n"/>
      <c r="O54" s="35" t="inlineStr">
        <is>
          <t>Gan. O6</t>
        </is>
      </c>
      <c r="P54" s="36">
        <f>Calculos_Internos!I221</f>
        <v/>
      </c>
      <c r="Q54" s="37" t="n"/>
      <c r="R54" s="58" t="n"/>
    </row>
    <row r="55" ht="20" customHeight="1" s="47">
      <c r="B55" s="11" t="n"/>
      <c r="C55" s="35" t="inlineStr">
        <is>
          <t>3º Top 6</t>
        </is>
      </c>
      <c r="D55" s="36">
        <f>Calculos_Internos!H165</f>
        <v/>
      </c>
      <c r="E55" s="37" t="n"/>
      <c r="F55" s="58" t="n"/>
    </row>
    <row r="57" ht="20" customHeight="1" s="47">
      <c r="H57" s="34" t="inlineStr">
        <is>
          <t>O5 (M93)</t>
        </is>
      </c>
      <c r="I57" s="35" t="inlineStr">
        <is>
          <t>Gan. D9</t>
        </is>
      </c>
      <c r="J57" s="36">
        <f>Calculos_Internos!I208</f>
        <v/>
      </c>
      <c r="K57" s="37" t="n"/>
      <c r="L57" s="58" t="n"/>
    </row>
    <row r="58" ht="20" customHeight="1" s="47">
      <c r="H58" s="11" t="n"/>
      <c r="I58" s="35" t="inlineStr">
        <is>
          <t>Gan. D10</t>
        </is>
      </c>
      <c r="J58" s="36">
        <f>Calculos_Internos!I209</f>
        <v/>
      </c>
      <c r="K58" s="37" t="n"/>
      <c r="L58" s="58" t="n"/>
    </row>
    <row r="60" ht="20" customHeight="1" s="47">
      <c r="B60" s="34" t="inlineStr">
        <is>
          <t>D10 (M82)</t>
        </is>
      </c>
      <c r="C60" s="35" t="inlineStr">
        <is>
          <t>1G</t>
        </is>
      </c>
      <c r="D60" s="36">
        <f>Calculos_Internos!H117</f>
        <v/>
      </c>
      <c r="E60" s="37" t="n"/>
      <c r="F60" s="58" t="n"/>
    </row>
    <row r="61" ht="20" customHeight="1" s="47">
      <c r="B61" s="11" t="n"/>
      <c r="C61" s="35" t="inlineStr">
        <is>
          <t>3º Top 7</t>
        </is>
      </c>
      <c r="D61" s="36">
        <f>Calculos_Internos!H166</f>
        <v/>
      </c>
      <c r="E61" s="37" t="n"/>
      <c r="F61" s="58" t="n"/>
    </row>
    <row r="65" ht="20" customHeight="1" s="47">
      <c r="T65" s="34" t="inlineStr">
        <is>
          <t>S2 (M102)</t>
        </is>
      </c>
      <c r="U65" s="35" t="inlineStr">
        <is>
          <t>Gan. C3</t>
        </is>
      </c>
      <c r="V65" s="36">
        <f>Calculos_Internos!I226</f>
        <v/>
      </c>
      <c r="W65" s="37" t="n"/>
      <c r="X65" s="58" t="n"/>
    </row>
    <row r="66" ht="20" customHeight="1" s="47">
      <c r="B66" s="34" t="inlineStr">
        <is>
          <t>D11 (M83)</t>
        </is>
      </c>
      <c r="C66" s="35" t="inlineStr">
        <is>
          <t>2G</t>
        </is>
      </c>
      <c r="D66" s="36">
        <f>Calculos_Internos!H118</f>
        <v/>
      </c>
      <c r="E66" s="37" t="n"/>
      <c r="F66" s="58" t="n"/>
      <c r="T66" s="11" t="n"/>
      <c r="U66" s="35" t="inlineStr">
        <is>
          <t>Gan. C4</t>
        </is>
      </c>
      <c r="V66" s="36">
        <f>Calculos_Internos!I227</f>
        <v/>
      </c>
      <c r="W66" s="37" t="n"/>
      <c r="X66" s="58" t="n"/>
    </row>
    <row r="67" ht="20" customHeight="1" s="47">
      <c r="B67" s="11" t="n"/>
      <c r="C67" s="35" t="inlineStr">
        <is>
          <t>2H</t>
        </is>
      </c>
      <c r="D67" s="36">
        <f>Calculos_Internos!H124</f>
        <v/>
      </c>
      <c r="E67" s="37" t="n"/>
      <c r="F67" s="58" t="n"/>
    </row>
    <row r="69" ht="20" customHeight="1" s="47">
      <c r="H69" s="34" t="inlineStr">
        <is>
          <t>O6 (M94)</t>
        </is>
      </c>
      <c r="I69" s="35" t="inlineStr">
        <is>
          <t>Gan. D11</t>
        </is>
      </c>
      <c r="J69" s="36">
        <f>Calculos_Internos!I210</f>
        <v/>
      </c>
      <c r="K69" s="37" t="n"/>
      <c r="L69" s="58" t="n"/>
    </row>
    <row r="70" ht="20" customHeight="1" s="47">
      <c r="H70" s="11" t="n"/>
      <c r="I70" s="35" t="inlineStr">
        <is>
          <t>Gan. D12</t>
        </is>
      </c>
      <c r="J70" s="36">
        <f>Calculos_Internos!I211</f>
        <v/>
      </c>
      <c r="K70" s="37" t="n"/>
      <c r="L70" s="58" t="n"/>
    </row>
    <row r="72" ht="20" customHeight="1" s="47">
      <c r="B72" s="34" t="inlineStr">
        <is>
          <t>D12 (M84)</t>
        </is>
      </c>
      <c r="C72" s="35" t="inlineStr">
        <is>
          <t>1H</t>
        </is>
      </c>
      <c r="D72" s="36">
        <f>Calculos_Internos!H123</f>
        <v/>
      </c>
      <c r="E72" s="37" t="n"/>
      <c r="F72" s="58" t="n"/>
    </row>
    <row r="73" ht="20" customHeight="1" s="47">
      <c r="B73" s="11" t="n"/>
      <c r="C73" s="35" t="inlineStr">
        <is>
          <t>3º Top 8</t>
        </is>
      </c>
      <c r="D73" s="36">
        <f>Calculos_Internos!H167</f>
        <v/>
      </c>
      <c r="E73" s="37" t="n"/>
      <c r="F73" s="58" t="n"/>
    </row>
    <row r="77" ht="20" customHeight="1" s="47">
      <c r="N77" s="34" t="inlineStr">
        <is>
          <t>C4 (M100)</t>
        </is>
      </c>
      <c r="O77" s="35" t="inlineStr">
        <is>
          <t>Gan. O7</t>
        </is>
      </c>
      <c r="P77" s="36">
        <f>Calculos_Internos!I222</f>
        <v/>
      </c>
      <c r="Q77" s="37" t="n"/>
      <c r="R77" s="58" t="n"/>
    </row>
    <row r="78" ht="20" customHeight="1" s="47">
      <c r="B78" s="34" t="inlineStr">
        <is>
          <t>D13 (M85)</t>
        </is>
      </c>
      <c r="C78" s="35" t="inlineStr">
        <is>
          <t>1I</t>
        </is>
      </c>
      <c r="D78" s="36">
        <f>Calculos_Internos!H129</f>
        <v/>
      </c>
      <c r="E78" s="37" t="n"/>
      <c r="F78" s="58" t="n"/>
      <c r="N78" s="11" t="n"/>
      <c r="O78" s="35" t="inlineStr">
        <is>
          <t>Gan. O8</t>
        </is>
      </c>
      <c r="P78" s="36">
        <f>Calculos_Internos!I223</f>
        <v/>
      </c>
      <c r="Q78" s="37" t="n"/>
      <c r="R78" s="58" t="n"/>
    </row>
    <row r="79" ht="20" customHeight="1" s="47">
      <c r="B79" s="11" t="n"/>
      <c r="C79" s="35" t="inlineStr">
        <is>
          <t>2J</t>
        </is>
      </c>
      <c r="D79" s="36">
        <f>Calculos_Internos!H136</f>
        <v/>
      </c>
      <c r="E79" s="37" t="n"/>
      <c r="F79" s="58" t="n"/>
    </row>
    <row r="81" ht="20" customHeight="1" s="47">
      <c r="H81" s="34" t="inlineStr">
        <is>
          <t>O7 (M95)</t>
        </is>
      </c>
      <c r="I81" s="35" t="inlineStr">
        <is>
          <t>Gan. D13</t>
        </is>
      </c>
      <c r="J81" s="36">
        <f>Calculos_Internos!I212</f>
        <v/>
      </c>
      <c r="K81" s="37" t="n"/>
      <c r="L81" s="58" t="n"/>
    </row>
    <row r="82" ht="20" customHeight="1" s="47">
      <c r="H82" s="11" t="n"/>
      <c r="I82" s="35" t="inlineStr">
        <is>
          <t>Gan. D14</t>
        </is>
      </c>
      <c r="J82" s="36">
        <f>Calculos_Internos!I213</f>
        <v/>
      </c>
      <c r="K82" s="37" t="n"/>
      <c r="L82" s="58" t="n"/>
    </row>
    <row r="84" ht="20" customHeight="1" s="47">
      <c r="B84" s="34" t="inlineStr">
        <is>
          <t>D14 (M86)</t>
        </is>
      </c>
      <c r="C84" s="35" t="inlineStr">
        <is>
          <t>1J</t>
        </is>
      </c>
      <c r="D84" s="36">
        <f>Calculos_Internos!H135</f>
        <v/>
      </c>
      <c r="E84" s="37" t="n"/>
      <c r="F84" s="58" t="n"/>
    </row>
    <row r="85" ht="20" customHeight="1" s="47">
      <c r="B85" s="11" t="n"/>
      <c r="C85" s="35" t="inlineStr">
        <is>
          <t>2K</t>
        </is>
      </c>
      <c r="D85" s="36">
        <f>Calculos_Internos!H142</f>
        <v/>
      </c>
      <c r="E85" s="37" t="n"/>
      <c r="F85" s="58" t="n"/>
    </row>
    <row r="90" ht="20" customHeight="1" s="47">
      <c r="B90" s="34" t="inlineStr">
        <is>
          <t>D15 (M87)</t>
        </is>
      </c>
      <c r="C90" s="35" t="inlineStr">
        <is>
          <t>1K</t>
        </is>
      </c>
      <c r="D90" s="36">
        <f>Calculos_Internos!H141</f>
        <v/>
      </c>
      <c r="E90" s="37" t="n"/>
      <c r="F90" s="58" t="n"/>
    </row>
    <row r="91" ht="20" customHeight="1" s="47">
      <c r="B91" s="11" t="n"/>
      <c r="C91" s="35" t="inlineStr">
        <is>
          <t>2L</t>
        </is>
      </c>
      <c r="D91" s="36">
        <f>Calculos_Internos!H148</f>
        <v/>
      </c>
      <c r="E91" s="37" t="n"/>
      <c r="F91" s="58" t="n"/>
    </row>
    <row r="93" ht="20" customHeight="1" s="47">
      <c r="H93" s="34" t="inlineStr">
        <is>
          <t>O8 (M96)</t>
        </is>
      </c>
      <c r="I93" s="35" t="inlineStr">
        <is>
          <t>Gan. D15</t>
        </is>
      </c>
      <c r="J93" s="36">
        <f>Calculos_Internos!I214</f>
        <v/>
      </c>
      <c r="K93" s="37" t="n"/>
      <c r="L93" s="58" t="n"/>
    </row>
    <row r="94" ht="20" customHeight="1" s="47">
      <c r="H94" s="11" t="n"/>
      <c r="I94" s="35" t="inlineStr">
        <is>
          <t>Gan. D16</t>
        </is>
      </c>
      <c r="J94" s="36">
        <f>Calculos_Internos!I215</f>
        <v/>
      </c>
      <c r="K94" s="37" t="n"/>
      <c r="L94" s="58" t="n"/>
    </row>
    <row r="96" ht="20" customHeight="1" s="47">
      <c r="B96" s="34" t="inlineStr">
        <is>
          <t>D16 (M88)</t>
        </is>
      </c>
      <c r="C96" s="35" t="inlineStr">
        <is>
          <t>1L</t>
        </is>
      </c>
      <c r="D96" s="36">
        <f>Calculos_Internos!H147</f>
        <v/>
      </c>
      <c r="E96" s="37" t="n"/>
      <c r="F96" s="58" t="n"/>
    </row>
    <row r="97" ht="20" customHeight="1" s="47">
      <c r="B97" s="11" t="n"/>
      <c r="C97" s="35" t="inlineStr">
        <is>
          <t>2I</t>
        </is>
      </c>
      <c r="D97" s="36">
        <f>Calculos_Internos!H130</f>
        <v/>
      </c>
      <c r="E97" s="37" t="n"/>
      <c r="F97" s="58" t="n"/>
    </row>
  </sheetData>
  <mergeCells count="5">
    <mergeCell ref="B5:F5"/>
    <mergeCell ref="T5:X5"/>
    <mergeCell ref="Z5:AD5"/>
    <mergeCell ref="H5:L5"/>
    <mergeCell ref="N5:R5"/>
  </mergeCells>
  <conditionalFormatting sqref="F6:F7">
    <cfRule type="expression" priority="1" dxfId="0">
      <formula>AND(E$6=E$7, E$6&lt;&gt;"")</formula>
    </cfRule>
  </conditionalFormatting>
  <conditionalFormatting sqref="F12:F13">
    <cfRule type="expression" priority="2" dxfId="0">
      <formula>AND(E$12=E$13, E$12&lt;&gt;"")</formula>
    </cfRule>
  </conditionalFormatting>
  <conditionalFormatting sqref="F18:F19">
    <cfRule type="expression" priority="3" dxfId="0">
      <formula>AND(E$18=E$19, E$18&lt;&gt;"")</formula>
    </cfRule>
  </conditionalFormatting>
  <conditionalFormatting sqref="F24:F25">
    <cfRule type="expression" priority="4" dxfId="0">
      <formula>AND(E$24=E$25, E$24&lt;&gt;"")</formula>
    </cfRule>
  </conditionalFormatting>
  <conditionalFormatting sqref="F30:F31">
    <cfRule type="expression" priority="5" dxfId="0">
      <formula>AND(E$30=E$31, E$30&lt;&gt;"")</formula>
    </cfRule>
  </conditionalFormatting>
  <conditionalFormatting sqref="F36:F37">
    <cfRule type="expression" priority="6" dxfId="0">
      <formula>AND(E$36=E$37, E$36&lt;&gt;"")</formula>
    </cfRule>
  </conditionalFormatting>
  <conditionalFormatting sqref="F42:F43">
    <cfRule type="expression" priority="7" dxfId="0">
      <formula>AND(E$42=E$43, E$42&lt;&gt;"")</formula>
    </cfRule>
  </conditionalFormatting>
  <conditionalFormatting sqref="F48:F49">
    <cfRule type="expression" priority="8" dxfId="0">
      <formula>AND(E$48=E$49, E$48&lt;&gt;"")</formula>
    </cfRule>
  </conditionalFormatting>
  <conditionalFormatting sqref="F54:F55">
    <cfRule type="expression" priority="9" dxfId="0">
      <formula>AND(E$54=E$55, E$54&lt;&gt;"")</formula>
    </cfRule>
  </conditionalFormatting>
  <conditionalFormatting sqref="F60:F61">
    <cfRule type="expression" priority="10" dxfId="0">
      <formula>AND(E$60=E$61, E$60&lt;&gt;"")</formula>
    </cfRule>
  </conditionalFormatting>
  <conditionalFormatting sqref="F66:F67">
    <cfRule type="expression" priority="11" dxfId="0">
      <formula>AND(E$66=E$67, E$66&lt;&gt;"")</formula>
    </cfRule>
  </conditionalFormatting>
  <conditionalFormatting sqref="F72:F73">
    <cfRule type="expression" priority="12" dxfId="0">
      <formula>AND(E$72=E$73, E$72&lt;&gt;"")</formula>
    </cfRule>
  </conditionalFormatting>
  <conditionalFormatting sqref="F78:F79">
    <cfRule type="expression" priority="13" dxfId="0">
      <formula>AND(E$78=E$79, E$78&lt;&gt;"")</formula>
    </cfRule>
  </conditionalFormatting>
  <conditionalFormatting sqref="F84:F85">
    <cfRule type="expression" priority="14" dxfId="0">
      <formula>AND(E$84=E$85, E$84&lt;&gt;"")</formula>
    </cfRule>
  </conditionalFormatting>
  <conditionalFormatting sqref="F90:F91">
    <cfRule type="expression" priority="15" dxfId="0">
      <formula>AND(E$90=E$91, E$90&lt;&gt;"")</formula>
    </cfRule>
  </conditionalFormatting>
  <conditionalFormatting sqref="F96:F97">
    <cfRule type="expression" priority="16" dxfId="0">
      <formula>AND(E$96=E$97, E$96&lt;&gt;"")</formula>
    </cfRule>
  </conditionalFormatting>
  <conditionalFormatting sqref="L9:L10">
    <cfRule type="expression" priority="17" dxfId="0">
      <formula>AND(K$9=K$10, K$9&lt;&gt;"")</formula>
    </cfRule>
  </conditionalFormatting>
  <conditionalFormatting sqref="L21:L22">
    <cfRule type="expression" priority="18" dxfId="0">
      <formula>AND(K$21=K$22, K$21&lt;&gt;"")</formula>
    </cfRule>
  </conditionalFormatting>
  <conditionalFormatting sqref="L33:L34">
    <cfRule type="expression" priority="19" dxfId="0">
      <formula>AND(K$33=K$34, K$33&lt;&gt;"")</formula>
    </cfRule>
  </conditionalFormatting>
  <conditionalFormatting sqref="L45:L46">
    <cfRule type="expression" priority="20" dxfId="0">
      <formula>AND(K$45=K$46, K$45&lt;&gt;"")</formula>
    </cfRule>
  </conditionalFormatting>
  <conditionalFormatting sqref="L57:L58">
    <cfRule type="expression" priority="21" dxfId="0">
      <formula>AND(K$57=K$58, K$57&lt;&gt;"")</formula>
    </cfRule>
  </conditionalFormatting>
  <conditionalFormatting sqref="L69:L70">
    <cfRule type="expression" priority="22" dxfId="0">
      <formula>AND(K$69=K$70, K$69&lt;&gt;"")</formula>
    </cfRule>
  </conditionalFormatting>
  <conditionalFormatting sqref="L81:L82">
    <cfRule type="expression" priority="23" dxfId="0">
      <formula>AND(K$81=K$82, K$81&lt;&gt;"")</formula>
    </cfRule>
  </conditionalFormatting>
  <conditionalFormatting sqref="L93:L94">
    <cfRule type="expression" priority="24" dxfId="0">
      <formula>AND(K$93=K$94, K$93&lt;&gt;"")</formula>
    </cfRule>
  </conditionalFormatting>
  <conditionalFormatting sqref="R15:R16">
    <cfRule type="expression" priority="25" dxfId="0">
      <formula>AND(Q$15=Q$16, Q$15&lt;&gt;"")</formula>
    </cfRule>
  </conditionalFormatting>
  <conditionalFormatting sqref="R39:R40">
    <cfRule type="expression" priority="26" dxfId="0">
      <formula>AND(Q$39=Q$40, Q$39&lt;&gt;"")</formula>
    </cfRule>
  </conditionalFormatting>
  <conditionalFormatting sqref="R53:R54">
    <cfRule type="expression" priority="27" dxfId="0">
      <formula>AND(Q$53=Q$54, Q$53&lt;&gt;"")</formula>
    </cfRule>
  </conditionalFormatting>
  <conditionalFormatting sqref="R77:R78">
    <cfRule type="expression" priority="28" dxfId="0">
      <formula>AND(Q$77=Q$78, Q$77&lt;&gt;"")</formula>
    </cfRule>
  </conditionalFormatting>
  <conditionalFormatting sqref="X27:X28">
    <cfRule type="expression" priority="29" dxfId="0">
      <formula>AND(W$27=W$28, W$27&lt;&gt;"")</formula>
    </cfRule>
  </conditionalFormatting>
  <conditionalFormatting sqref="X65:X66">
    <cfRule type="expression" priority="30" dxfId="0">
      <formula>AND(W$65=W$66, W$65&lt;&gt;"")</formula>
    </cfRule>
  </conditionalFormatting>
  <conditionalFormatting sqref="AD46:AD47">
    <cfRule type="expression" priority="31" dxfId="0">
      <formula>AND(AC$46=AC$47, AC$46&lt;&gt;"")</formula>
    </cfRule>
  </conditionalFormatting>
  <conditionalFormatting sqref="AD52:AD53">
    <cfRule type="expression" priority="32" dxfId="0">
      <formula>AND(AC$52=AC$53, AC$52&lt;&gt;"")</formula>
    </cfRule>
  </conditionalFormatting>
  <dataValidations count="32">
    <dataValidation sqref="F6 F7" showDropDown="0" showInputMessage="0" showErrorMessage="0" allowBlank="1" errorTitle="Marcador no empatado" error="Solo se permiten penaltis si hay un empate en el marcador del partido (E6 = E7)." promptTitle="Penaltis (PK)" prompt="Tanda de penaltis (PK) para desempate. Solo se activa si el marcador está empatado." type="custom">
      <formula1>=E$6=E$7</formula1>
    </dataValidation>
    <dataValidation sqref="F12 F13" showDropDown="0" showInputMessage="0" showErrorMessage="0" allowBlank="1" errorTitle="Marcador no empatado" error="Solo se permiten penaltis si hay un empate en el marcador del partido (E12 = E13)." promptTitle="Penaltis (PK)" prompt="Tanda de penaltis (PK) para desempate. Solo se activa si el marcador está empatado." type="custom">
      <formula1>=E$12=E$13</formula1>
    </dataValidation>
    <dataValidation sqref="F18 F19" showDropDown="0" showInputMessage="0" showErrorMessage="0" allowBlank="1" errorTitle="Marcador no empatado" error="Solo se permiten penaltis si hay un empate en el marcador del partido (E18 = E19)." promptTitle="Penaltis (PK)" prompt="Tanda de penaltis (PK) para desempate. Solo se activa si el marcador está empatado." type="custom">
      <formula1>=E$18=E$19</formula1>
    </dataValidation>
    <dataValidation sqref="F24 F25" showDropDown="0" showInputMessage="0" showErrorMessage="0" allowBlank="1" errorTitle="Marcador no empatado" error="Solo se permiten penaltis si hay un empate en el marcador del partido (E24 = E25)." promptTitle="Penaltis (PK)" prompt="Tanda de penaltis (PK) para desempate. Solo se activa si el marcador está empatado." type="custom">
      <formula1>=E$24=E$25</formula1>
    </dataValidation>
    <dataValidation sqref="F30 F31" showDropDown="0" showInputMessage="0" showErrorMessage="0" allowBlank="1" errorTitle="Marcador no empatado" error="Solo se permiten penaltis si hay un empate en el marcador del partido (E30 = E31)." promptTitle="Penaltis (PK)" prompt="Tanda de penaltis (PK) para desempate. Solo se activa si el marcador está empatado." type="custom">
      <formula1>=E$30=E$31</formula1>
    </dataValidation>
    <dataValidation sqref="F36 F37" showDropDown="0" showInputMessage="0" showErrorMessage="0" allowBlank="1" errorTitle="Marcador no empatado" error="Solo se permiten penaltis si hay un empate en el marcador del partido (E36 = E37)." promptTitle="Penaltis (PK)" prompt="Tanda de penaltis (PK) para desempate. Solo se activa si el marcador está empatado." type="custom">
      <formula1>=E$36=E$37</formula1>
    </dataValidation>
    <dataValidation sqref="F42 F43" showDropDown="0" showInputMessage="0" showErrorMessage="0" allowBlank="1" errorTitle="Marcador no empatado" error="Solo se permiten penaltis si hay un empate en el marcador del partido (E42 = E43)." promptTitle="Penaltis (PK)" prompt="Tanda de penaltis (PK) para desempate. Solo se activa si el marcador está empatado." type="custom">
      <formula1>=E$42=E$43</formula1>
    </dataValidation>
    <dataValidation sqref="F48 F49" showDropDown="0" showInputMessage="0" showErrorMessage="0" allowBlank="1" errorTitle="Marcador no empatado" error="Solo se permiten penaltis si hay un empate en el marcador del partido (E48 = E49)." promptTitle="Penaltis (PK)" prompt="Tanda de penaltis (PK) para desempate. Solo se activa si el marcador está empatado." type="custom">
      <formula1>=E$48=E$49</formula1>
    </dataValidation>
    <dataValidation sqref="F54 F55" showDropDown="0" showInputMessage="0" showErrorMessage="0" allowBlank="1" errorTitle="Marcador no empatado" error="Solo se permiten penaltis si hay un empate en el marcador del partido (E54 = E55)." promptTitle="Penaltis (PK)" prompt="Tanda de penaltis (PK) para desempate. Solo se activa si el marcador está empatado." type="custom">
      <formula1>=E$54=E$55</formula1>
    </dataValidation>
    <dataValidation sqref="F60 F61" showDropDown="0" showInputMessage="0" showErrorMessage="0" allowBlank="1" errorTitle="Marcador no empatado" error="Solo se permiten penaltis si hay un empate en el marcador del partido (E60 = E61)." promptTitle="Penaltis (PK)" prompt="Tanda de penaltis (PK) para desempate. Solo se activa si el marcador está empatado." type="custom">
      <formula1>=E$60=E$61</formula1>
    </dataValidation>
    <dataValidation sqref="F66 F67" showDropDown="0" showInputMessage="0" showErrorMessage="0" allowBlank="1" errorTitle="Marcador no empatado" error="Solo se permiten penaltis si hay un empate en el marcador del partido (E66 = E67)." promptTitle="Penaltis (PK)" prompt="Tanda de penaltis (PK) para desempate. Solo se activa si el marcador está empatado." type="custom">
      <formula1>=E$66=E$67</formula1>
    </dataValidation>
    <dataValidation sqref="F72 F73" showDropDown="0" showInputMessage="0" showErrorMessage="0" allowBlank="1" errorTitle="Marcador no empatado" error="Solo se permiten penaltis si hay un empate en el marcador del partido (E72 = E73)." promptTitle="Penaltis (PK)" prompt="Tanda de penaltis (PK) para desempate. Solo se activa si el marcador está empatado." type="custom">
      <formula1>=E$72=E$73</formula1>
    </dataValidation>
    <dataValidation sqref="F78 F79" showDropDown="0" showInputMessage="0" showErrorMessage="0" allowBlank="1" errorTitle="Marcador no empatado" error="Solo se permiten penaltis si hay un empate en el marcador del partido (E78 = E79)." promptTitle="Penaltis (PK)" prompt="Tanda de penaltis (PK) para desempate. Solo se activa si el marcador está empatado." type="custom">
      <formula1>=E$78=E$79</formula1>
    </dataValidation>
    <dataValidation sqref="F84 F85" showDropDown="0" showInputMessage="0" showErrorMessage="0" allowBlank="1" errorTitle="Marcador no empatado" error="Solo se permiten penaltis si hay un empate en el marcador del partido (E84 = E85)." promptTitle="Penaltis (PK)" prompt="Tanda de penaltis (PK) para desempate. Solo se activa si el marcador está empatado." type="custom">
      <formula1>=E$84=E$85</formula1>
    </dataValidation>
    <dataValidation sqref="F90 F91" showDropDown="0" showInputMessage="0" showErrorMessage="0" allowBlank="1" errorTitle="Marcador no empatado" error="Solo se permiten penaltis si hay un empate en el marcador del partido (E90 = E91)." promptTitle="Penaltis (PK)" prompt="Tanda de penaltis (PK) para desempate. Solo se activa si el marcador está empatado." type="custom">
      <formula1>=E$90=E$91</formula1>
    </dataValidation>
    <dataValidation sqref="F96 F97" showDropDown="0" showInputMessage="0" showErrorMessage="0" allowBlank="1" errorTitle="Marcador no empatado" error="Solo se permiten penaltis si hay un empate en el marcador del partido (E96 = E97)." promptTitle="Penaltis (PK)" prompt="Tanda de penaltis (PK) para desempate. Solo se activa si el marcador está empatado." type="custom">
      <formula1>=E$96=E$97</formula1>
    </dataValidation>
    <dataValidation sqref="L9 L10" showDropDown="0" showInputMessage="0" showErrorMessage="0" allowBlank="1" errorTitle="Marcador no empatado" error="Solo se permiten penaltis si hay un empate en el marcador del partido (K9 = K10)." promptTitle="Penaltis (PK)" prompt="Tanda de penaltis (PK) para desempate. Solo se activa si el marcador está empatado." type="custom">
      <formula1>=K$9=K$10</formula1>
    </dataValidation>
    <dataValidation sqref="L21 L22" showDropDown="0" showInputMessage="0" showErrorMessage="0" allowBlank="1" errorTitle="Marcador no empatado" error="Solo se permiten penaltis si hay un empate en el marcador del partido (K21 = K22)." promptTitle="Penaltis (PK)" prompt="Tanda de penaltis (PK) para desempate. Solo se activa si el marcador está empatado." type="custom">
      <formula1>=K$21=K$22</formula1>
    </dataValidation>
    <dataValidation sqref="L33 L34" showDropDown="0" showInputMessage="0" showErrorMessage="0" allowBlank="1" errorTitle="Marcador no empatado" error="Solo se permiten penaltis si hay un empate en el marcador del partido (K33 = K34)." promptTitle="Penaltis (PK)" prompt="Tanda de penaltis (PK) para desempate. Solo se activa si el marcador está empatado." type="custom">
      <formula1>=K$33=K$34</formula1>
    </dataValidation>
    <dataValidation sqref="L45 L46" showDropDown="0" showInputMessage="0" showErrorMessage="0" allowBlank="1" errorTitle="Marcador no empatado" error="Solo se permiten penaltis si hay un empate en el marcador del partido (K45 = K46)." promptTitle="Penaltis (PK)" prompt="Tanda de penaltis (PK) para desempate. Solo se activa si el marcador está empatado." type="custom">
      <formula1>=K$45=K$46</formula1>
    </dataValidation>
    <dataValidation sqref="L57 L58" showDropDown="0" showInputMessage="0" showErrorMessage="0" allowBlank="1" errorTitle="Marcador no empatado" error="Solo se permiten penaltis si hay un empate en el marcador del partido (K57 = K58)." promptTitle="Penaltis (PK)" prompt="Tanda de penaltis (PK) para desempate. Solo se activa si el marcador está empatado." type="custom">
      <formula1>=K$57=K$58</formula1>
    </dataValidation>
    <dataValidation sqref="L69 L70" showDropDown="0" showInputMessage="0" showErrorMessage="0" allowBlank="1" errorTitle="Marcador no empatado" error="Solo se permiten penaltis si hay un empate en el marcador del partido (K69 = K70)." promptTitle="Penaltis (PK)" prompt="Tanda de penaltis (PK) para desempate. Solo se activa si el marcador está empatado." type="custom">
      <formula1>=K$69=K$70</formula1>
    </dataValidation>
    <dataValidation sqref="L81 L82" showDropDown="0" showInputMessage="0" showErrorMessage="0" allowBlank="1" errorTitle="Marcador no empatado" error="Solo se permiten penaltis si hay un empate en el marcador del partido (K81 = K82)." promptTitle="Penaltis (PK)" prompt="Tanda de penaltis (PK) para desempate. Solo se activa si el marcador está empatado." type="custom">
      <formula1>=K$81=K$82</formula1>
    </dataValidation>
    <dataValidation sqref="L93 L94" showDropDown="0" showInputMessage="0" showErrorMessage="0" allowBlank="1" errorTitle="Marcador no empatado" error="Solo se permiten penaltis si hay un empate en el marcador del partido (K93 = K94)." promptTitle="Penaltis (PK)" prompt="Tanda de penaltis (PK) para desempate. Solo se activa si el marcador está empatado." type="custom">
      <formula1>=K$93=K$94</formula1>
    </dataValidation>
    <dataValidation sqref="R15 R16" showDropDown="0" showInputMessage="0" showErrorMessage="0" allowBlank="1" errorTitle="Marcador no empatado" error="Solo se permiten penaltis si hay un empate en el marcador del partido (Q15 = Q16)." promptTitle="Penaltis (PK)" prompt="Tanda de penaltis (PK) para desempate. Solo se activa si el marcador está empatado." type="custom">
      <formula1>=Q$15=Q$16</formula1>
    </dataValidation>
    <dataValidation sqref="R39 R40" showDropDown="0" showInputMessage="0" showErrorMessage="0" allowBlank="1" errorTitle="Marcador no empatado" error="Solo se permiten penaltis si hay un empate en el marcador del partido (Q39 = Q40)." promptTitle="Penaltis (PK)" prompt="Tanda de penaltis (PK) para desempate. Solo se activa si el marcador está empatado." type="custom">
      <formula1>=Q$39=Q$40</formula1>
    </dataValidation>
    <dataValidation sqref="R53 R54" showDropDown="0" showInputMessage="0" showErrorMessage="0" allowBlank="1" errorTitle="Marcador no empatado" error="Solo se permiten penaltis si hay un empate en el marcador del partido (Q53 = Q54)." promptTitle="Penaltis (PK)" prompt="Tanda de penaltis (PK) para desempate. Solo se activa si el marcador está empatado." type="custom">
      <formula1>=Q$53=Q$54</formula1>
    </dataValidation>
    <dataValidation sqref="R77 R78" showDropDown="0" showInputMessage="0" showErrorMessage="0" allowBlank="1" errorTitle="Marcador no empatado" error="Solo se permiten penaltis si hay un empate en el marcador del partido (Q77 = Q78)." promptTitle="Penaltis (PK)" prompt="Tanda de penaltis (PK) para desempate. Solo se activa si el marcador está empatado." type="custom">
      <formula1>=Q$77=Q$78</formula1>
    </dataValidation>
    <dataValidation sqref="X27 X28" showDropDown="0" showInputMessage="0" showErrorMessage="0" allowBlank="1" errorTitle="Marcador no empatado" error="Solo se permiten penaltis si hay un empate en el marcador del partido (W27 = W28)." promptTitle="Penaltis (PK)" prompt="Tanda de penaltis (PK) para desempate. Solo se activa si el marcador está empatado." type="custom">
      <formula1>=W$27=W$28</formula1>
    </dataValidation>
    <dataValidation sqref="X65 X66" showDropDown="0" showInputMessage="0" showErrorMessage="0" allowBlank="1" errorTitle="Marcador no empatado" error="Solo se permiten penaltis si hay un empate en el marcador del partido (W65 = W66)." promptTitle="Penaltis (PK)" prompt="Tanda de penaltis (PK) para desempate. Solo se activa si el marcador está empatado." type="custom">
      <formula1>=W$65=W$66</formula1>
    </dataValidation>
    <dataValidation sqref="AD46 AD47" showDropDown="0" showInputMessage="0" showErrorMessage="0" allowBlank="1" errorTitle="Marcador no empatado" error="Solo se permiten penaltis si hay un empate en el marcador del partido (AC46 = AC47)." promptTitle="Penaltis (PK)" prompt="Tanda de penaltis (PK) para desempate. Solo se activa si el marcador está empatado." type="custom">
      <formula1>=AC$46=AC$47</formula1>
    </dataValidation>
    <dataValidation sqref="AD52 AD53" showDropDown="0" showInputMessage="0" showErrorMessage="0" allowBlank="1" errorTitle="Marcador no empatado" error="Solo se permiten penaltis si hay un empate en el marcador del partido (AC52 = AC53)." promptTitle="Penaltis (PK)" prompt="Tanda de penaltis (PK) para desempate. Solo se activa si el marcador está empatado." type="custom">
      <formula1>=AC$52=AC$53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18096"/>
    <outlinePr summaryBelow="1" summaryRight="1"/>
    <pageSetUpPr/>
  </sheetPr>
  <dimension ref="A1:M231"/>
  <sheetViews>
    <sheetView topLeftCell="A4" workbookViewId="0">
      <selection activeCell="I151" sqref="I151"/>
    </sheetView>
  </sheetViews>
  <sheetFormatPr baseColWidth="10" defaultColWidth="8.7265625" defaultRowHeight="14.5"/>
  <sheetData>
    <row r="1">
      <c r="A1" s="2" t="inlineStr">
        <is>
          <t>ID</t>
        </is>
      </c>
      <c r="B1" s="2" t="inlineStr">
        <is>
          <t>Grupo</t>
        </is>
      </c>
      <c r="C1" s="2" t="inlineStr">
        <is>
          <t>Local</t>
        </is>
      </c>
      <c r="D1" s="2" t="inlineStr">
        <is>
          <t>GL</t>
        </is>
      </c>
      <c r="E1" s="2" t="inlineStr">
        <is>
          <t>GV</t>
        </is>
      </c>
      <c r="F1" s="2" t="inlineStr">
        <is>
          <t>Visitante</t>
        </is>
      </c>
      <c r="G1" s="2" t="inlineStr">
        <is>
          <t>PKL</t>
        </is>
      </c>
      <c r="H1" s="2" t="inlineStr">
        <is>
          <t>PKV</t>
        </is>
      </c>
      <c r="I1" s="2" t="inlineStr">
        <is>
          <t>Ganador</t>
        </is>
      </c>
      <c r="J1" s="2" t="inlineStr">
        <is>
          <t>PtsL</t>
        </is>
      </c>
      <c r="K1" s="2" t="inlineStr">
        <is>
          <t>PtsV</t>
        </is>
      </c>
      <c r="L1" s="2" t="inlineStr">
        <is>
          <t>GFL</t>
        </is>
      </c>
      <c r="M1" s="2" t="inlineStr">
        <is>
          <t>GFV</t>
        </is>
      </c>
    </row>
    <row r="2">
      <c r="A2" t="inlineStr">
        <is>
          <t>M001</t>
        </is>
      </c>
      <c r="B2" t="inlineStr">
        <is>
          <t>Grupo A</t>
        </is>
      </c>
      <c r="C2">
        <f>Porra_Grupos!C15</f>
        <v/>
      </c>
      <c r="D2">
        <f>IF(Porra_Grupos!D15="","",Porra_Grupos!D15)</f>
        <v/>
      </c>
      <c r="E2">
        <f>IF(Porra_Grupos!F15="","",Porra_Grupos!F15)</f>
        <v/>
      </c>
      <c r="F2">
        <f>Porra_Grupos!G15</f>
        <v/>
      </c>
      <c r="G2" t="inlineStr">
        <is>
          <t>-</t>
        </is>
      </c>
      <c r="H2" t="inlineStr">
        <is>
          <t>-</t>
        </is>
      </c>
      <c r="J2">
        <f>IF(OR(D2="",E2=""),0,IF(D2&gt;E2,3,IF(D2=E2,1,0)))</f>
        <v/>
      </c>
      <c r="K2">
        <f>IF(OR(D2="",E2=""),0,IF(E2&gt;D2,3,IF(D2=E2,1,0)))</f>
        <v/>
      </c>
      <c r="L2">
        <f>IF(OR(D2="",E2=""),0,D2)</f>
        <v/>
      </c>
      <c r="M2">
        <f>IF(OR(D2="",E2=""),0,E2)</f>
        <v/>
      </c>
    </row>
    <row r="3">
      <c r="A3" t="inlineStr">
        <is>
          <t>M002</t>
        </is>
      </c>
      <c r="B3" t="inlineStr">
        <is>
          <t>Grupo A</t>
        </is>
      </c>
      <c r="C3">
        <f>Porra_Grupos!C16</f>
        <v/>
      </c>
      <c r="D3">
        <f>IF(Porra_Grupos!D16="","",Porra_Grupos!D16)</f>
        <v/>
      </c>
      <c r="E3">
        <f>IF(Porra_Grupos!F16="","",Porra_Grupos!F16)</f>
        <v/>
      </c>
      <c r="F3">
        <f>Porra_Grupos!G16</f>
        <v/>
      </c>
      <c r="G3" t="inlineStr">
        <is>
          <t>-</t>
        </is>
      </c>
      <c r="H3" t="inlineStr">
        <is>
          <t>-</t>
        </is>
      </c>
      <c r="J3">
        <f>IF(OR(D3="",E3=""),0,IF(D3&gt;E3,3,IF(D3=E3,1,0)))</f>
        <v/>
      </c>
      <c r="K3">
        <f>IF(OR(D3="",E3=""),0,IF(E3&gt;D3,3,IF(D3=E3,1,0)))</f>
        <v/>
      </c>
      <c r="L3">
        <f>IF(OR(D3="",E3=""),0,D3)</f>
        <v/>
      </c>
      <c r="M3">
        <f>IF(OR(D3="",E3=""),0,E3)</f>
        <v/>
      </c>
    </row>
    <row r="4">
      <c r="A4" t="inlineStr">
        <is>
          <t>M003</t>
        </is>
      </c>
      <c r="B4" t="inlineStr">
        <is>
          <t>Grupo A</t>
        </is>
      </c>
      <c r="C4">
        <f>Porra_Grupos!C17</f>
        <v/>
      </c>
      <c r="D4">
        <f>IF(Porra_Grupos!D17="","",Porra_Grupos!D17)</f>
        <v/>
      </c>
      <c r="E4">
        <f>IF(Porra_Grupos!F17="","",Porra_Grupos!F17)</f>
        <v/>
      </c>
      <c r="F4">
        <f>Porra_Grupos!G17</f>
        <v/>
      </c>
      <c r="G4" t="inlineStr">
        <is>
          <t>-</t>
        </is>
      </c>
      <c r="H4" t="inlineStr">
        <is>
          <t>-</t>
        </is>
      </c>
      <c r="J4">
        <f>IF(OR(D4="",E4=""),0,IF(D4&gt;E4,3,IF(D4=E4,1,0)))</f>
        <v/>
      </c>
      <c r="K4">
        <f>IF(OR(D4="",E4=""),0,IF(E4&gt;D4,3,IF(D4=E4,1,0)))</f>
        <v/>
      </c>
      <c r="L4">
        <f>IF(OR(D4="",E4=""),0,D4)</f>
        <v/>
      </c>
      <c r="M4">
        <f>IF(OR(D4="",E4=""),0,E4)</f>
        <v/>
      </c>
    </row>
    <row r="5">
      <c r="A5" t="inlineStr">
        <is>
          <t>M004</t>
        </is>
      </c>
      <c r="B5" t="inlineStr">
        <is>
          <t>Grupo A</t>
        </is>
      </c>
      <c r="C5">
        <f>Porra_Grupos!C18</f>
        <v/>
      </c>
      <c r="D5">
        <f>IF(Porra_Grupos!D18="","",Porra_Grupos!D18)</f>
        <v/>
      </c>
      <c r="E5">
        <f>IF(Porra_Grupos!F18="","",Porra_Grupos!F18)</f>
        <v/>
      </c>
      <c r="F5">
        <f>Porra_Grupos!G18</f>
        <v/>
      </c>
      <c r="G5" t="inlineStr">
        <is>
          <t>-</t>
        </is>
      </c>
      <c r="H5" t="inlineStr">
        <is>
          <t>-</t>
        </is>
      </c>
      <c r="J5">
        <f>IF(OR(D5="",E5=""),0,IF(D5&gt;E5,3,IF(D5=E5,1,0)))</f>
        <v/>
      </c>
      <c r="K5">
        <f>IF(OR(D5="",E5=""),0,IF(E5&gt;D5,3,IF(D5=E5,1,0)))</f>
        <v/>
      </c>
      <c r="L5">
        <f>IF(OR(D5="",E5=""),0,D5)</f>
        <v/>
      </c>
      <c r="M5">
        <f>IF(OR(D5="",E5=""),0,E5)</f>
        <v/>
      </c>
    </row>
    <row r="6">
      <c r="A6" t="inlineStr">
        <is>
          <t>M005</t>
        </is>
      </c>
      <c r="B6" t="inlineStr">
        <is>
          <t>Grupo A</t>
        </is>
      </c>
      <c r="C6">
        <f>Porra_Grupos!C19</f>
        <v/>
      </c>
      <c r="D6">
        <f>IF(Porra_Grupos!D19="","",Porra_Grupos!D19)</f>
        <v/>
      </c>
      <c r="E6">
        <f>IF(Porra_Grupos!F19="","",Porra_Grupos!F19)</f>
        <v/>
      </c>
      <c r="F6">
        <f>Porra_Grupos!G19</f>
        <v/>
      </c>
      <c r="G6" t="inlineStr">
        <is>
          <t>-</t>
        </is>
      </c>
      <c r="H6" t="inlineStr">
        <is>
          <t>-</t>
        </is>
      </c>
      <c r="J6">
        <f>IF(OR(D6="",E6=""),0,IF(D6&gt;E6,3,IF(D6=E6,1,0)))</f>
        <v/>
      </c>
      <c r="K6">
        <f>IF(OR(D6="",E6=""),0,IF(E6&gt;D6,3,IF(D6=E6,1,0)))</f>
        <v/>
      </c>
      <c r="L6">
        <f>IF(OR(D6="",E6=""),0,D6)</f>
        <v/>
      </c>
      <c r="M6">
        <f>IF(OR(D6="",E6=""),0,E6)</f>
        <v/>
      </c>
    </row>
    <row r="7">
      <c r="A7" t="inlineStr">
        <is>
          <t>M006</t>
        </is>
      </c>
      <c r="B7" t="inlineStr">
        <is>
          <t>Grupo A</t>
        </is>
      </c>
      <c r="C7">
        <f>Porra_Grupos!C20</f>
        <v/>
      </c>
      <c r="D7">
        <f>IF(Porra_Grupos!D20="","",Porra_Grupos!D20)</f>
        <v/>
      </c>
      <c r="E7">
        <f>IF(Porra_Grupos!F20="","",Porra_Grupos!F20)</f>
        <v/>
      </c>
      <c r="F7">
        <f>Porra_Grupos!G20</f>
        <v/>
      </c>
      <c r="G7" t="inlineStr">
        <is>
          <t>-</t>
        </is>
      </c>
      <c r="H7" t="inlineStr">
        <is>
          <t>-</t>
        </is>
      </c>
      <c r="J7">
        <f>IF(OR(D7="",E7=""),0,IF(D7&gt;E7,3,IF(D7=E7,1,0)))</f>
        <v/>
      </c>
      <c r="K7">
        <f>IF(OR(D7="",E7=""),0,IF(E7&gt;D7,3,IF(D7=E7,1,0)))</f>
        <v/>
      </c>
      <c r="L7">
        <f>IF(OR(D7="",E7=""),0,D7)</f>
        <v/>
      </c>
      <c r="M7">
        <f>IF(OR(D7="",E7=""),0,E7)</f>
        <v/>
      </c>
    </row>
    <row r="8">
      <c r="A8" t="inlineStr">
        <is>
          <t>M007</t>
        </is>
      </c>
      <c r="B8" t="inlineStr">
        <is>
          <t>Grupo B</t>
        </is>
      </c>
      <c r="C8">
        <f>Porra_Grupos!C24</f>
        <v/>
      </c>
      <c r="D8">
        <f>IF(Porra_Grupos!D24="","",Porra_Grupos!D24)</f>
        <v/>
      </c>
      <c r="E8">
        <f>IF(Porra_Grupos!F24="","",Porra_Grupos!F24)</f>
        <v/>
      </c>
      <c r="F8">
        <f>Porra_Grupos!G24</f>
        <v/>
      </c>
      <c r="G8" t="inlineStr">
        <is>
          <t>-</t>
        </is>
      </c>
      <c r="H8" t="inlineStr">
        <is>
          <t>-</t>
        </is>
      </c>
      <c r="J8">
        <f>IF(OR(D8="",E8=""),0,IF(D8&gt;E8,3,IF(D8=E8,1,0)))</f>
        <v/>
      </c>
      <c r="K8">
        <f>IF(OR(D8="",E8=""),0,IF(E8&gt;D8,3,IF(D8=E8,1,0)))</f>
        <v/>
      </c>
      <c r="L8">
        <f>IF(OR(D8="",E8=""),0,D8)</f>
        <v/>
      </c>
      <c r="M8">
        <f>IF(OR(D8="",E8=""),0,E8)</f>
        <v/>
      </c>
    </row>
    <row r="9">
      <c r="A9" t="inlineStr">
        <is>
          <t>M008</t>
        </is>
      </c>
      <c r="B9" t="inlineStr">
        <is>
          <t>Grupo B</t>
        </is>
      </c>
      <c r="C9">
        <f>Porra_Grupos!C25</f>
        <v/>
      </c>
      <c r="D9">
        <f>IF(Porra_Grupos!D25="","",Porra_Grupos!D25)</f>
        <v/>
      </c>
      <c r="E9">
        <f>IF(Porra_Grupos!F25="","",Porra_Grupos!F25)</f>
        <v/>
      </c>
      <c r="F9">
        <f>Porra_Grupos!G25</f>
        <v/>
      </c>
      <c r="G9" t="inlineStr">
        <is>
          <t>-</t>
        </is>
      </c>
      <c r="H9" t="inlineStr">
        <is>
          <t>-</t>
        </is>
      </c>
      <c r="J9">
        <f>IF(OR(D9="",E9=""),0,IF(D9&gt;E9,3,IF(D9=E9,1,0)))</f>
        <v/>
      </c>
      <c r="K9">
        <f>IF(OR(D9="",E9=""),0,IF(E9&gt;D9,3,IF(D9=E9,1,0)))</f>
        <v/>
      </c>
      <c r="L9">
        <f>IF(OR(D9="",E9=""),0,D9)</f>
        <v/>
      </c>
      <c r="M9">
        <f>IF(OR(D9="",E9=""),0,E9)</f>
        <v/>
      </c>
    </row>
    <row r="10">
      <c r="A10" t="inlineStr">
        <is>
          <t>M009</t>
        </is>
      </c>
      <c r="B10" t="inlineStr">
        <is>
          <t>Grupo B</t>
        </is>
      </c>
      <c r="C10">
        <f>Porra_Grupos!C26</f>
        <v/>
      </c>
      <c r="D10">
        <f>IF(Porra_Grupos!D26="","",Porra_Grupos!D26)</f>
        <v/>
      </c>
      <c r="E10">
        <f>IF(Porra_Grupos!F26="","",Porra_Grupos!F26)</f>
        <v/>
      </c>
      <c r="F10">
        <f>Porra_Grupos!G26</f>
        <v/>
      </c>
      <c r="G10" t="inlineStr">
        <is>
          <t>-</t>
        </is>
      </c>
      <c r="H10" t="inlineStr">
        <is>
          <t>-</t>
        </is>
      </c>
      <c r="J10">
        <f>IF(OR(D10="",E10=""),0,IF(D10&gt;E10,3,IF(D10=E10,1,0)))</f>
        <v/>
      </c>
      <c r="K10">
        <f>IF(OR(D10="",E10=""),0,IF(E10&gt;D10,3,IF(D10=E10,1,0)))</f>
        <v/>
      </c>
      <c r="L10">
        <f>IF(OR(D10="",E10=""),0,D10)</f>
        <v/>
      </c>
      <c r="M10">
        <f>IF(OR(D10="",E10=""),0,E10)</f>
        <v/>
      </c>
    </row>
    <row r="11">
      <c r="A11" t="inlineStr">
        <is>
          <t>M010</t>
        </is>
      </c>
      <c r="B11" t="inlineStr">
        <is>
          <t>Grupo B</t>
        </is>
      </c>
      <c r="C11">
        <f>Porra_Grupos!C27</f>
        <v/>
      </c>
      <c r="D11">
        <f>IF(Porra_Grupos!D27="","",Porra_Grupos!D27)</f>
        <v/>
      </c>
      <c r="E11">
        <f>IF(Porra_Grupos!F27="","",Porra_Grupos!F27)</f>
        <v/>
      </c>
      <c r="F11">
        <f>Porra_Grupos!G27</f>
        <v/>
      </c>
      <c r="G11" t="inlineStr">
        <is>
          <t>-</t>
        </is>
      </c>
      <c r="H11" t="inlineStr">
        <is>
          <t>-</t>
        </is>
      </c>
      <c r="J11">
        <f>IF(OR(D11="",E11=""),0,IF(D11&gt;E11,3,IF(D11=E11,1,0)))</f>
        <v/>
      </c>
      <c r="K11">
        <f>IF(OR(D11="",E11=""),0,IF(E11&gt;D11,3,IF(D11=E11,1,0)))</f>
        <v/>
      </c>
      <c r="L11">
        <f>IF(OR(D11="",E11=""),0,D11)</f>
        <v/>
      </c>
      <c r="M11">
        <f>IF(OR(D11="",E11=""),0,E11)</f>
        <v/>
      </c>
    </row>
    <row r="12">
      <c r="A12" t="inlineStr">
        <is>
          <t>M011</t>
        </is>
      </c>
      <c r="B12" t="inlineStr">
        <is>
          <t>Grupo B</t>
        </is>
      </c>
      <c r="C12">
        <f>Porra_Grupos!C28</f>
        <v/>
      </c>
      <c r="D12">
        <f>IF(Porra_Grupos!D28="","",Porra_Grupos!D28)</f>
        <v/>
      </c>
      <c r="E12">
        <f>IF(Porra_Grupos!F28="","",Porra_Grupos!F28)</f>
        <v/>
      </c>
      <c r="F12">
        <f>Porra_Grupos!G28</f>
        <v/>
      </c>
      <c r="G12" t="inlineStr">
        <is>
          <t>-</t>
        </is>
      </c>
      <c r="H12" t="inlineStr">
        <is>
          <t>-</t>
        </is>
      </c>
      <c r="J12">
        <f>IF(OR(D12="",E12=""),0,IF(D12&gt;E12,3,IF(D12=E12,1,0)))</f>
        <v/>
      </c>
      <c r="K12">
        <f>IF(OR(D12="",E12=""),0,IF(E12&gt;D12,3,IF(D12=E12,1,0)))</f>
        <v/>
      </c>
      <c r="L12">
        <f>IF(OR(D12="",E12=""),0,D12)</f>
        <v/>
      </c>
      <c r="M12">
        <f>IF(OR(D12="",E12=""),0,E12)</f>
        <v/>
      </c>
    </row>
    <row r="13">
      <c r="A13" t="inlineStr">
        <is>
          <t>M012</t>
        </is>
      </c>
      <c r="B13" t="inlineStr">
        <is>
          <t>Grupo B</t>
        </is>
      </c>
      <c r="C13">
        <f>Porra_Grupos!C29</f>
        <v/>
      </c>
      <c r="D13">
        <f>IF(Porra_Grupos!D29="","",Porra_Grupos!D29)</f>
        <v/>
      </c>
      <c r="E13">
        <f>IF(Porra_Grupos!F29="","",Porra_Grupos!F29)</f>
        <v/>
      </c>
      <c r="F13">
        <f>Porra_Grupos!G29</f>
        <v/>
      </c>
      <c r="G13" t="inlineStr">
        <is>
          <t>-</t>
        </is>
      </c>
      <c r="H13" t="inlineStr">
        <is>
          <t>-</t>
        </is>
      </c>
      <c r="J13">
        <f>IF(OR(D13="",E13=""),0,IF(D13&gt;E13,3,IF(D13=E13,1,0)))</f>
        <v/>
      </c>
      <c r="K13">
        <f>IF(OR(D13="",E13=""),0,IF(E13&gt;D13,3,IF(D13=E13,1,0)))</f>
        <v/>
      </c>
      <c r="L13">
        <f>IF(OR(D13="",E13=""),0,D13)</f>
        <v/>
      </c>
      <c r="M13">
        <f>IF(OR(D13="",E13=""),0,E13)</f>
        <v/>
      </c>
    </row>
    <row r="14">
      <c r="A14" t="inlineStr">
        <is>
          <t>M013</t>
        </is>
      </c>
      <c r="B14" t="inlineStr">
        <is>
          <t>Grupo C</t>
        </is>
      </c>
      <c r="C14">
        <f>Porra_Grupos!C33</f>
        <v/>
      </c>
      <c r="D14">
        <f>IF(Porra_Grupos!D33="","",Porra_Grupos!D33)</f>
        <v/>
      </c>
      <c r="E14">
        <f>IF(Porra_Grupos!F33="","",Porra_Grupos!F33)</f>
        <v/>
      </c>
      <c r="F14">
        <f>Porra_Grupos!G33</f>
        <v/>
      </c>
      <c r="G14" t="inlineStr">
        <is>
          <t>-</t>
        </is>
      </c>
      <c r="H14" t="inlineStr">
        <is>
          <t>-</t>
        </is>
      </c>
      <c r="J14">
        <f>IF(OR(D14="",E14=""),0,IF(D14&gt;E14,3,IF(D14=E14,1,0)))</f>
        <v/>
      </c>
      <c r="K14">
        <f>IF(OR(D14="",E14=""),0,IF(E14&gt;D14,3,IF(D14=E14,1,0)))</f>
        <v/>
      </c>
      <c r="L14">
        <f>IF(OR(D14="",E14=""),0,D14)</f>
        <v/>
      </c>
      <c r="M14">
        <f>IF(OR(D14="",E14=""),0,E14)</f>
        <v/>
      </c>
    </row>
    <row r="15">
      <c r="A15" t="inlineStr">
        <is>
          <t>M014</t>
        </is>
      </c>
      <c r="B15" t="inlineStr">
        <is>
          <t>Grupo C</t>
        </is>
      </c>
      <c r="C15">
        <f>Porra_Grupos!C34</f>
        <v/>
      </c>
      <c r="D15">
        <f>IF(Porra_Grupos!D34="","",Porra_Grupos!D34)</f>
        <v/>
      </c>
      <c r="E15">
        <f>IF(Porra_Grupos!F34="","",Porra_Grupos!F34)</f>
        <v/>
      </c>
      <c r="F15">
        <f>Porra_Grupos!G34</f>
        <v/>
      </c>
      <c r="G15" t="inlineStr">
        <is>
          <t>-</t>
        </is>
      </c>
      <c r="H15" t="inlineStr">
        <is>
          <t>-</t>
        </is>
      </c>
      <c r="J15">
        <f>IF(OR(D15="",E15=""),0,IF(D15&gt;E15,3,IF(D15=E15,1,0)))</f>
        <v/>
      </c>
      <c r="K15">
        <f>IF(OR(D15="",E15=""),0,IF(E15&gt;D15,3,IF(D15=E15,1,0)))</f>
        <v/>
      </c>
      <c r="L15">
        <f>IF(OR(D15="",E15=""),0,D15)</f>
        <v/>
      </c>
      <c r="M15">
        <f>IF(OR(D15="",E15=""),0,E15)</f>
        <v/>
      </c>
    </row>
    <row r="16">
      <c r="A16" t="inlineStr">
        <is>
          <t>M015</t>
        </is>
      </c>
      <c r="B16" t="inlineStr">
        <is>
          <t>Grupo C</t>
        </is>
      </c>
      <c r="C16">
        <f>Porra_Grupos!C35</f>
        <v/>
      </c>
      <c r="D16">
        <f>IF(Porra_Grupos!D35="","",Porra_Grupos!D35)</f>
        <v/>
      </c>
      <c r="E16">
        <f>IF(Porra_Grupos!F35="","",Porra_Grupos!F35)</f>
        <v/>
      </c>
      <c r="F16">
        <f>Porra_Grupos!G35</f>
        <v/>
      </c>
      <c r="G16" t="inlineStr">
        <is>
          <t>-</t>
        </is>
      </c>
      <c r="H16" t="inlineStr">
        <is>
          <t>-</t>
        </is>
      </c>
      <c r="J16">
        <f>IF(OR(D16="",E16=""),0,IF(D16&gt;E16,3,IF(D16=E16,1,0)))</f>
        <v/>
      </c>
      <c r="K16">
        <f>IF(OR(D16="",E16=""),0,IF(E16&gt;D16,3,IF(D16=E16,1,0)))</f>
        <v/>
      </c>
      <c r="L16">
        <f>IF(OR(D16="",E16=""),0,D16)</f>
        <v/>
      </c>
      <c r="M16">
        <f>IF(OR(D16="",E16=""),0,E16)</f>
        <v/>
      </c>
    </row>
    <row r="17">
      <c r="A17" t="inlineStr">
        <is>
          <t>M016</t>
        </is>
      </c>
      <c r="B17" t="inlineStr">
        <is>
          <t>Grupo C</t>
        </is>
      </c>
      <c r="C17">
        <f>Porra_Grupos!C36</f>
        <v/>
      </c>
      <c r="D17">
        <f>IF(Porra_Grupos!D36="","",Porra_Grupos!D36)</f>
        <v/>
      </c>
      <c r="E17">
        <f>IF(Porra_Grupos!F36="","",Porra_Grupos!F36)</f>
        <v/>
      </c>
      <c r="F17">
        <f>Porra_Grupos!G36</f>
        <v/>
      </c>
      <c r="G17" t="inlineStr">
        <is>
          <t>-</t>
        </is>
      </c>
      <c r="H17" t="inlineStr">
        <is>
          <t>-</t>
        </is>
      </c>
      <c r="J17">
        <f>IF(OR(D17="",E17=""),0,IF(D17&gt;E17,3,IF(D17=E17,1,0)))</f>
        <v/>
      </c>
      <c r="K17">
        <f>IF(OR(D17="",E17=""),0,IF(E17&gt;D17,3,IF(D17=E17,1,0)))</f>
        <v/>
      </c>
      <c r="L17">
        <f>IF(OR(D17="",E17=""),0,D17)</f>
        <v/>
      </c>
      <c r="M17">
        <f>IF(OR(D17="",E17=""),0,E17)</f>
        <v/>
      </c>
    </row>
    <row r="18">
      <c r="A18" t="inlineStr">
        <is>
          <t>M017</t>
        </is>
      </c>
      <c r="B18" t="inlineStr">
        <is>
          <t>Grupo C</t>
        </is>
      </c>
      <c r="C18">
        <f>Porra_Grupos!C37</f>
        <v/>
      </c>
      <c r="D18">
        <f>IF(Porra_Grupos!D37="","",Porra_Grupos!D37)</f>
        <v/>
      </c>
      <c r="E18">
        <f>IF(Porra_Grupos!F37="","",Porra_Grupos!F37)</f>
        <v/>
      </c>
      <c r="F18">
        <f>Porra_Grupos!G37</f>
        <v/>
      </c>
      <c r="G18" t="inlineStr">
        <is>
          <t>-</t>
        </is>
      </c>
      <c r="H18" t="inlineStr">
        <is>
          <t>-</t>
        </is>
      </c>
      <c r="J18">
        <f>IF(OR(D18="",E18=""),0,IF(D18&gt;E18,3,IF(D18=E18,1,0)))</f>
        <v/>
      </c>
      <c r="K18">
        <f>IF(OR(D18="",E18=""),0,IF(E18&gt;D18,3,IF(D18=E18,1,0)))</f>
        <v/>
      </c>
      <c r="L18">
        <f>IF(OR(D18="",E18=""),0,D18)</f>
        <v/>
      </c>
      <c r="M18">
        <f>IF(OR(D18="",E18=""),0,E18)</f>
        <v/>
      </c>
    </row>
    <row r="19">
      <c r="A19" t="inlineStr">
        <is>
          <t>M018</t>
        </is>
      </c>
      <c r="B19" t="inlineStr">
        <is>
          <t>Grupo C</t>
        </is>
      </c>
      <c r="C19">
        <f>Porra_Grupos!C38</f>
        <v/>
      </c>
      <c r="D19">
        <f>IF(Porra_Grupos!D38="","",Porra_Grupos!D38)</f>
        <v/>
      </c>
      <c r="E19">
        <f>IF(Porra_Grupos!F38="","",Porra_Grupos!F38)</f>
        <v/>
      </c>
      <c r="F19">
        <f>Porra_Grupos!G38</f>
        <v/>
      </c>
      <c r="G19" t="inlineStr">
        <is>
          <t>-</t>
        </is>
      </c>
      <c r="H19" t="inlineStr">
        <is>
          <t>-</t>
        </is>
      </c>
      <c r="J19">
        <f>IF(OR(D19="",E19=""),0,IF(D19&gt;E19,3,IF(D19=E19,1,0)))</f>
        <v/>
      </c>
      <c r="K19">
        <f>IF(OR(D19="",E19=""),0,IF(E19&gt;D19,3,IF(D19=E19,1,0)))</f>
        <v/>
      </c>
      <c r="L19">
        <f>IF(OR(D19="",E19=""),0,D19)</f>
        <v/>
      </c>
      <c r="M19">
        <f>IF(OR(D19="",E19=""),0,E19)</f>
        <v/>
      </c>
    </row>
    <row r="20">
      <c r="A20" t="inlineStr">
        <is>
          <t>M019</t>
        </is>
      </c>
      <c r="B20" t="inlineStr">
        <is>
          <t>Grupo D</t>
        </is>
      </c>
      <c r="C20">
        <f>Porra_Grupos!C42</f>
        <v/>
      </c>
      <c r="D20">
        <f>IF(Porra_Grupos!D42="","",Porra_Grupos!D42)</f>
        <v/>
      </c>
      <c r="E20">
        <f>IF(Porra_Grupos!F42="","",Porra_Grupos!F42)</f>
        <v/>
      </c>
      <c r="F20">
        <f>Porra_Grupos!G42</f>
        <v/>
      </c>
      <c r="G20" t="inlineStr">
        <is>
          <t>-</t>
        </is>
      </c>
      <c r="H20" t="inlineStr">
        <is>
          <t>-</t>
        </is>
      </c>
      <c r="J20">
        <f>IF(OR(D20="",E20=""),0,IF(D20&gt;E20,3,IF(D20=E20,1,0)))</f>
        <v/>
      </c>
      <c r="K20">
        <f>IF(OR(D20="",E20=""),0,IF(E20&gt;D20,3,IF(D20=E20,1,0)))</f>
        <v/>
      </c>
      <c r="L20">
        <f>IF(OR(D20="",E20=""),0,D20)</f>
        <v/>
      </c>
      <c r="M20">
        <f>IF(OR(D20="",E20=""),0,E20)</f>
        <v/>
      </c>
    </row>
    <row r="21">
      <c r="A21" t="inlineStr">
        <is>
          <t>M020</t>
        </is>
      </c>
      <c r="B21" t="inlineStr">
        <is>
          <t>Grupo D</t>
        </is>
      </c>
      <c r="C21">
        <f>Porra_Grupos!C43</f>
        <v/>
      </c>
      <c r="D21">
        <f>IF(Porra_Grupos!D43="","",Porra_Grupos!D43)</f>
        <v/>
      </c>
      <c r="E21">
        <f>IF(Porra_Grupos!F43="","",Porra_Grupos!F43)</f>
        <v/>
      </c>
      <c r="F21">
        <f>Porra_Grupos!G43</f>
        <v/>
      </c>
      <c r="G21" t="inlineStr">
        <is>
          <t>-</t>
        </is>
      </c>
      <c r="H21" t="inlineStr">
        <is>
          <t>-</t>
        </is>
      </c>
      <c r="J21">
        <f>IF(OR(D21="",E21=""),0,IF(D21&gt;E21,3,IF(D21=E21,1,0)))</f>
        <v/>
      </c>
      <c r="K21">
        <f>IF(OR(D21="",E21=""),0,IF(E21&gt;D21,3,IF(D21=E21,1,0)))</f>
        <v/>
      </c>
      <c r="L21">
        <f>IF(OR(D21="",E21=""),0,D21)</f>
        <v/>
      </c>
      <c r="M21">
        <f>IF(OR(D21="",E21=""),0,E21)</f>
        <v/>
      </c>
    </row>
    <row r="22">
      <c r="A22" t="inlineStr">
        <is>
          <t>M021</t>
        </is>
      </c>
      <c r="B22" t="inlineStr">
        <is>
          <t>Grupo D</t>
        </is>
      </c>
      <c r="C22">
        <f>Porra_Grupos!C44</f>
        <v/>
      </c>
      <c r="D22">
        <f>IF(Porra_Grupos!D44="","",Porra_Grupos!D44)</f>
        <v/>
      </c>
      <c r="E22">
        <f>IF(Porra_Grupos!F44="","",Porra_Grupos!F44)</f>
        <v/>
      </c>
      <c r="F22">
        <f>Porra_Grupos!G44</f>
        <v/>
      </c>
      <c r="G22" t="inlineStr">
        <is>
          <t>-</t>
        </is>
      </c>
      <c r="H22" t="inlineStr">
        <is>
          <t>-</t>
        </is>
      </c>
      <c r="J22">
        <f>IF(OR(D22="",E22=""),0,IF(D22&gt;E22,3,IF(D22=E22,1,0)))</f>
        <v/>
      </c>
      <c r="K22">
        <f>IF(OR(D22="",E22=""),0,IF(E22&gt;D22,3,IF(D22=E22,1,0)))</f>
        <v/>
      </c>
      <c r="L22">
        <f>IF(OR(D22="",E22=""),0,D22)</f>
        <v/>
      </c>
      <c r="M22">
        <f>IF(OR(D22="",E22=""),0,E22)</f>
        <v/>
      </c>
    </row>
    <row r="23">
      <c r="A23" t="inlineStr">
        <is>
          <t>M022</t>
        </is>
      </c>
      <c r="B23" t="inlineStr">
        <is>
          <t>Grupo D</t>
        </is>
      </c>
      <c r="C23">
        <f>Porra_Grupos!C45</f>
        <v/>
      </c>
      <c r="D23">
        <f>IF(Porra_Grupos!D45="","",Porra_Grupos!D45)</f>
        <v/>
      </c>
      <c r="E23">
        <f>IF(Porra_Grupos!F45="","",Porra_Grupos!F45)</f>
        <v/>
      </c>
      <c r="F23">
        <f>Porra_Grupos!G45</f>
        <v/>
      </c>
      <c r="G23" t="inlineStr">
        <is>
          <t>-</t>
        </is>
      </c>
      <c r="H23" t="inlineStr">
        <is>
          <t>-</t>
        </is>
      </c>
      <c r="J23">
        <f>IF(OR(D23="",E23=""),0,IF(D23&gt;E23,3,IF(D23=E23,1,0)))</f>
        <v/>
      </c>
      <c r="K23">
        <f>IF(OR(D23="",E23=""),0,IF(E23&gt;D23,3,IF(D23=E23,1,0)))</f>
        <v/>
      </c>
      <c r="L23">
        <f>IF(OR(D23="",E23=""),0,D23)</f>
        <v/>
      </c>
      <c r="M23">
        <f>IF(OR(D23="",E23=""),0,E23)</f>
        <v/>
      </c>
    </row>
    <row r="24">
      <c r="A24" t="inlineStr">
        <is>
          <t>M023</t>
        </is>
      </c>
      <c r="B24" t="inlineStr">
        <is>
          <t>Grupo D</t>
        </is>
      </c>
      <c r="C24">
        <f>Porra_Grupos!C46</f>
        <v/>
      </c>
      <c r="D24">
        <f>IF(Porra_Grupos!D46="","",Porra_Grupos!D46)</f>
        <v/>
      </c>
      <c r="E24">
        <f>IF(Porra_Grupos!F46="","",Porra_Grupos!F46)</f>
        <v/>
      </c>
      <c r="F24">
        <f>Porra_Grupos!G46</f>
        <v/>
      </c>
      <c r="G24" t="inlineStr">
        <is>
          <t>-</t>
        </is>
      </c>
      <c r="H24" t="inlineStr">
        <is>
          <t>-</t>
        </is>
      </c>
      <c r="J24">
        <f>IF(OR(D24="",E24=""),0,IF(D24&gt;E24,3,IF(D24=E24,1,0)))</f>
        <v/>
      </c>
      <c r="K24">
        <f>IF(OR(D24="",E24=""),0,IF(E24&gt;D24,3,IF(D24=E24,1,0)))</f>
        <v/>
      </c>
      <c r="L24">
        <f>IF(OR(D24="",E24=""),0,D24)</f>
        <v/>
      </c>
      <c r="M24">
        <f>IF(OR(D24="",E24=""),0,E24)</f>
        <v/>
      </c>
    </row>
    <row r="25">
      <c r="A25" t="inlineStr">
        <is>
          <t>M024</t>
        </is>
      </c>
      <c r="B25" t="inlineStr">
        <is>
          <t>Grupo D</t>
        </is>
      </c>
      <c r="C25">
        <f>Porra_Grupos!C47</f>
        <v/>
      </c>
      <c r="D25">
        <f>IF(Porra_Grupos!D47="","",Porra_Grupos!D47)</f>
        <v/>
      </c>
      <c r="E25">
        <f>IF(Porra_Grupos!F47="","",Porra_Grupos!F47)</f>
        <v/>
      </c>
      <c r="F25">
        <f>Porra_Grupos!G47</f>
        <v/>
      </c>
      <c r="G25" t="inlineStr">
        <is>
          <t>-</t>
        </is>
      </c>
      <c r="H25" t="inlineStr">
        <is>
          <t>-</t>
        </is>
      </c>
      <c r="J25">
        <f>IF(OR(D25="",E25=""),0,IF(D25&gt;E25,3,IF(D25=E25,1,0)))</f>
        <v/>
      </c>
      <c r="K25">
        <f>IF(OR(D25="",E25=""),0,IF(E25&gt;D25,3,IF(D25=E25,1,0)))</f>
        <v/>
      </c>
      <c r="L25">
        <f>IF(OR(D25="",E25=""),0,D25)</f>
        <v/>
      </c>
      <c r="M25">
        <f>IF(OR(D25="",E25=""),0,E25)</f>
        <v/>
      </c>
    </row>
    <row r="26">
      <c r="A26" t="inlineStr">
        <is>
          <t>M025</t>
        </is>
      </c>
      <c r="B26" t="inlineStr">
        <is>
          <t>Grupo E</t>
        </is>
      </c>
      <c r="C26">
        <f>Porra_Grupos!C51</f>
        <v/>
      </c>
      <c r="D26">
        <f>IF(Porra_Grupos!D51="","",Porra_Grupos!D51)</f>
        <v/>
      </c>
      <c r="E26">
        <f>IF(Porra_Grupos!F51="","",Porra_Grupos!F51)</f>
        <v/>
      </c>
      <c r="F26">
        <f>Porra_Grupos!G51</f>
        <v/>
      </c>
      <c r="G26" t="inlineStr">
        <is>
          <t>-</t>
        </is>
      </c>
      <c r="H26" t="inlineStr">
        <is>
          <t>-</t>
        </is>
      </c>
      <c r="J26">
        <f>IF(OR(D26="",E26=""),0,IF(D26&gt;E26,3,IF(D26=E26,1,0)))</f>
        <v/>
      </c>
      <c r="K26">
        <f>IF(OR(D26="",E26=""),0,IF(E26&gt;D26,3,IF(D26=E26,1,0)))</f>
        <v/>
      </c>
      <c r="L26">
        <f>IF(OR(D26="",E26=""),0,D26)</f>
        <v/>
      </c>
      <c r="M26">
        <f>IF(OR(D26="",E26=""),0,E26)</f>
        <v/>
      </c>
    </row>
    <row r="27">
      <c r="A27" t="inlineStr">
        <is>
          <t>M026</t>
        </is>
      </c>
      <c r="B27" t="inlineStr">
        <is>
          <t>Grupo E</t>
        </is>
      </c>
      <c r="C27">
        <f>Porra_Grupos!C52</f>
        <v/>
      </c>
      <c r="D27">
        <f>IF(Porra_Grupos!D52="","",Porra_Grupos!D52)</f>
        <v/>
      </c>
      <c r="E27">
        <f>IF(Porra_Grupos!F52="","",Porra_Grupos!F52)</f>
        <v/>
      </c>
      <c r="F27">
        <f>Porra_Grupos!G52</f>
        <v/>
      </c>
      <c r="G27" t="inlineStr">
        <is>
          <t>-</t>
        </is>
      </c>
      <c r="H27" t="inlineStr">
        <is>
          <t>-</t>
        </is>
      </c>
      <c r="J27">
        <f>IF(OR(D27="",E27=""),0,IF(D27&gt;E27,3,IF(D27=E27,1,0)))</f>
        <v/>
      </c>
      <c r="K27">
        <f>IF(OR(D27="",E27=""),0,IF(E27&gt;D27,3,IF(D27=E27,1,0)))</f>
        <v/>
      </c>
      <c r="L27">
        <f>IF(OR(D27="",E27=""),0,D27)</f>
        <v/>
      </c>
      <c r="M27">
        <f>IF(OR(D27="",E27=""),0,E27)</f>
        <v/>
      </c>
    </row>
    <row r="28">
      <c r="A28" t="inlineStr">
        <is>
          <t>M027</t>
        </is>
      </c>
      <c r="B28" t="inlineStr">
        <is>
          <t>Grupo E</t>
        </is>
      </c>
      <c r="C28">
        <f>Porra_Grupos!C53</f>
        <v/>
      </c>
      <c r="D28">
        <f>IF(Porra_Grupos!D53="","",Porra_Grupos!D53)</f>
        <v/>
      </c>
      <c r="E28">
        <f>IF(Porra_Grupos!F53="","",Porra_Grupos!F53)</f>
        <v/>
      </c>
      <c r="F28">
        <f>Porra_Grupos!G53</f>
        <v/>
      </c>
      <c r="G28" t="inlineStr">
        <is>
          <t>-</t>
        </is>
      </c>
      <c r="H28" t="inlineStr">
        <is>
          <t>-</t>
        </is>
      </c>
      <c r="J28">
        <f>IF(OR(D28="",E28=""),0,IF(D28&gt;E28,3,IF(D28=E28,1,0)))</f>
        <v/>
      </c>
      <c r="K28">
        <f>IF(OR(D28="",E28=""),0,IF(E28&gt;D28,3,IF(D28=E28,1,0)))</f>
        <v/>
      </c>
      <c r="L28">
        <f>IF(OR(D28="",E28=""),0,D28)</f>
        <v/>
      </c>
      <c r="M28">
        <f>IF(OR(D28="",E28=""),0,E28)</f>
        <v/>
      </c>
    </row>
    <row r="29">
      <c r="A29" t="inlineStr">
        <is>
          <t>M028</t>
        </is>
      </c>
      <c r="B29" t="inlineStr">
        <is>
          <t>Grupo E</t>
        </is>
      </c>
      <c r="C29">
        <f>Porra_Grupos!C54</f>
        <v/>
      </c>
      <c r="D29">
        <f>IF(Porra_Grupos!D54="","",Porra_Grupos!D54)</f>
        <v/>
      </c>
      <c r="E29">
        <f>IF(Porra_Grupos!F54="","",Porra_Grupos!F54)</f>
        <v/>
      </c>
      <c r="F29">
        <f>Porra_Grupos!G54</f>
        <v/>
      </c>
      <c r="G29" t="inlineStr">
        <is>
          <t>-</t>
        </is>
      </c>
      <c r="H29" t="inlineStr">
        <is>
          <t>-</t>
        </is>
      </c>
      <c r="J29">
        <f>IF(OR(D29="",E29=""),0,IF(D29&gt;E29,3,IF(D29=E29,1,0)))</f>
        <v/>
      </c>
      <c r="K29">
        <f>IF(OR(D29="",E29=""),0,IF(E29&gt;D29,3,IF(D29=E29,1,0)))</f>
        <v/>
      </c>
      <c r="L29">
        <f>IF(OR(D29="",E29=""),0,D29)</f>
        <v/>
      </c>
      <c r="M29">
        <f>IF(OR(D29="",E29=""),0,E29)</f>
        <v/>
      </c>
    </row>
    <row r="30">
      <c r="A30" t="inlineStr">
        <is>
          <t>M029</t>
        </is>
      </c>
      <c r="B30" t="inlineStr">
        <is>
          <t>Grupo E</t>
        </is>
      </c>
      <c r="C30">
        <f>Porra_Grupos!C55</f>
        <v/>
      </c>
      <c r="D30">
        <f>IF(Porra_Grupos!D55="","",Porra_Grupos!D55)</f>
        <v/>
      </c>
      <c r="E30">
        <f>IF(Porra_Grupos!F55="","",Porra_Grupos!F55)</f>
        <v/>
      </c>
      <c r="F30">
        <f>Porra_Grupos!G55</f>
        <v/>
      </c>
      <c r="G30" t="inlineStr">
        <is>
          <t>-</t>
        </is>
      </c>
      <c r="H30" t="inlineStr">
        <is>
          <t>-</t>
        </is>
      </c>
      <c r="J30">
        <f>IF(OR(D30="",E30=""),0,IF(D30&gt;E30,3,IF(D30=E30,1,0)))</f>
        <v/>
      </c>
      <c r="K30">
        <f>IF(OR(D30="",E30=""),0,IF(E30&gt;D30,3,IF(D30=E30,1,0)))</f>
        <v/>
      </c>
      <c r="L30">
        <f>IF(OR(D30="",E30=""),0,D30)</f>
        <v/>
      </c>
      <c r="M30">
        <f>IF(OR(D30="",E30=""),0,E30)</f>
        <v/>
      </c>
    </row>
    <row r="31">
      <c r="A31" t="inlineStr">
        <is>
          <t>M030</t>
        </is>
      </c>
      <c r="B31" t="inlineStr">
        <is>
          <t>Grupo E</t>
        </is>
      </c>
      <c r="C31">
        <f>Porra_Grupos!C56</f>
        <v/>
      </c>
      <c r="D31">
        <f>IF(Porra_Grupos!D56="","",Porra_Grupos!D56)</f>
        <v/>
      </c>
      <c r="E31">
        <f>IF(Porra_Grupos!F56="","",Porra_Grupos!F56)</f>
        <v/>
      </c>
      <c r="F31">
        <f>Porra_Grupos!G56</f>
        <v/>
      </c>
      <c r="G31" t="inlineStr">
        <is>
          <t>-</t>
        </is>
      </c>
      <c r="H31" t="inlineStr">
        <is>
          <t>-</t>
        </is>
      </c>
      <c r="J31">
        <f>IF(OR(D31="",E31=""),0,IF(D31&gt;E31,3,IF(D31=E31,1,0)))</f>
        <v/>
      </c>
      <c r="K31">
        <f>IF(OR(D31="",E31=""),0,IF(E31&gt;D31,3,IF(D31=E31,1,0)))</f>
        <v/>
      </c>
      <c r="L31">
        <f>IF(OR(D31="",E31=""),0,D31)</f>
        <v/>
      </c>
      <c r="M31">
        <f>IF(OR(D31="",E31=""),0,E31)</f>
        <v/>
      </c>
    </row>
    <row r="32">
      <c r="A32" t="inlineStr">
        <is>
          <t>M031</t>
        </is>
      </c>
      <c r="B32" t="inlineStr">
        <is>
          <t>Grupo F</t>
        </is>
      </c>
      <c r="C32">
        <f>Porra_Grupos!C60</f>
        <v/>
      </c>
      <c r="D32">
        <f>IF(Porra_Grupos!D60="","",Porra_Grupos!D60)</f>
        <v/>
      </c>
      <c r="E32">
        <f>IF(Porra_Grupos!F60="","",Porra_Grupos!F60)</f>
        <v/>
      </c>
      <c r="F32">
        <f>Porra_Grupos!G60</f>
        <v/>
      </c>
      <c r="G32" t="inlineStr">
        <is>
          <t>-</t>
        </is>
      </c>
      <c r="H32" t="inlineStr">
        <is>
          <t>-</t>
        </is>
      </c>
      <c r="J32">
        <f>IF(OR(D32="",E32=""),0,IF(D32&gt;E32,3,IF(D32=E32,1,0)))</f>
        <v/>
      </c>
      <c r="K32">
        <f>IF(OR(D32="",E32=""),0,IF(E32&gt;D32,3,IF(D32=E32,1,0)))</f>
        <v/>
      </c>
      <c r="L32">
        <f>IF(OR(D32="",E32=""),0,D32)</f>
        <v/>
      </c>
      <c r="M32">
        <f>IF(OR(D32="",E32=""),0,E32)</f>
        <v/>
      </c>
    </row>
    <row r="33">
      <c r="A33" t="inlineStr">
        <is>
          <t>M032</t>
        </is>
      </c>
      <c r="B33" t="inlineStr">
        <is>
          <t>Grupo F</t>
        </is>
      </c>
      <c r="C33">
        <f>Porra_Grupos!C61</f>
        <v/>
      </c>
      <c r="D33">
        <f>IF(Porra_Grupos!D61="","",Porra_Grupos!D61)</f>
        <v/>
      </c>
      <c r="E33">
        <f>IF(Porra_Grupos!F61="","",Porra_Grupos!F61)</f>
        <v/>
      </c>
      <c r="F33">
        <f>Porra_Grupos!G61</f>
        <v/>
      </c>
      <c r="G33" t="inlineStr">
        <is>
          <t>-</t>
        </is>
      </c>
      <c r="H33" t="inlineStr">
        <is>
          <t>-</t>
        </is>
      </c>
      <c r="J33">
        <f>IF(OR(D33="",E33=""),0,IF(D33&gt;E33,3,IF(D33=E33,1,0)))</f>
        <v/>
      </c>
      <c r="K33">
        <f>IF(OR(D33="",E33=""),0,IF(E33&gt;D33,3,IF(D33=E33,1,0)))</f>
        <v/>
      </c>
      <c r="L33">
        <f>IF(OR(D33="",E33=""),0,D33)</f>
        <v/>
      </c>
      <c r="M33">
        <f>IF(OR(D33="",E33=""),0,E33)</f>
        <v/>
      </c>
    </row>
    <row r="34">
      <c r="A34" t="inlineStr">
        <is>
          <t>M033</t>
        </is>
      </c>
      <c r="B34" t="inlineStr">
        <is>
          <t>Grupo F</t>
        </is>
      </c>
      <c r="C34">
        <f>Porra_Grupos!C62</f>
        <v/>
      </c>
      <c r="D34">
        <f>IF(Porra_Grupos!D62="","",Porra_Grupos!D62)</f>
        <v/>
      </c>
      <c r="E34">
        <f>IF(Porra_Grupos!F62="","",Porra_Grupos!F62)</f>
        <v/>
      </c>
      <c r="F34">
        <f>Porra_Grupos!G62</f>
        <v/>
      </c>
      <c r="G34" t="inlineStr">
        <is>
          <t>-</t>
        </is>
      </c>
      <c r="H34" t="inlineStr">
        <is>
          <t>-</t>
        </is>
      </c>
      <c r="J34">
        <f>IF(OR(D34="",E34=""),0,IF(D34&gt;E34,3,IF(D34=E34,1,0)))</f>
        <v/>
      </c>
      <c r="K34">
        <f>IF(OR(D34="",E34=""),0,IF(E34&gt;D34,3,IF(D34=E34,1,0)))</f>
        <v/>
      </c>
      <c r="L34">
        <f>IF(OR(D34="",E34=""),0,D34)</f>
        <v/>
      </c>
      <c r="M34">
        <f>IF(OR(D34="",E34=""),0,E34)</f>
        <v/>
      </c>
    </row>
    <row r="35">
      <c r="A35" t="inlineStr">
        <is>
          <t>M034</t>
        </is>
      </c>
      <c r="B35" t="inlineStr">
        <is>
          <t>Grupo F</t>
        </is>
      </c>
      <c r="C35">
        <f>Porra_Grupos!C63</f>
        <v/>
      </c>
      <c r="D35">
        <f>IF(Porra_Grupos!D63="","",Porra_Grupos!D63)</f>
        <v/>
      </c>
      <c r="E35">
        <f>IF(Porra_Grupos!F63="","",Porra_Grupos!F63)</f>
        <v/>
      </c>
      <c r="F35">
        <f>Porra_Grupos!G63</f>
        <v/>
      </c>
      <c r="G35" t="inlineStr">
        <is>
          <t>-</t>
        </is>
      </c>
      <c r="H35" t="inlineStr">
        <is>
          <t>-</t>
        </is>
      </c>
      <c r="J35">
        <f>IF(OR(D35="",E35=""),0,IF(D35&gt;E35,3,IF(D35=E35,1,0)))</f>
        <v/>
      </c>
      <c r="K35">
        <f>IF(OR(D35="",E35=""),0,IF(E35&gt;D35,3,IF(D35=E35,1,0)))</f>
        <v/>
      </c>
      <c r="L35">
        <f>IF(OR(D35="",E35=""),0,D35)</f>
        <v/>
      </c>
      <c r="M35">
        <f>IF(OR(D35="",E35=""),0,E35)</f>
        <v/>
      </c>
    </row>
    <row r="36">
      <c r="A36" t="inlineStr">
        <is>
          <t>M035</t>
        </is>
      </c>
      <c r="B36" t="inlineStr">
        <is>
          <t>Grupo F</t>
        </is>
      </c>
      <c r="C36">
        <f>Porra_Grupos!C64</f>
        <v/>
      </c>
      <c r="D36">
        <f>IF(Porra_Grupos!D64="","",Porra_Grupos!D64)</f>
        <v/>
      </c>
      <c r="E36">
        <f>IF(Porra_Grupos!F64="","",Porra_Grupos!F64)</f>
        <v/>
      </c>
      <c r="F36">
        <f>Porra_Grupos!G64</f>
        <v/>
      </c>
      <c r="G36" t="inlineStr">
        <is>
          <t>-</t>
        </is>
      </c>
      <c r="H36" t="inlineStr">
        <is>
          <t>-</t>
        </is>
      </c>
      <c r="J36">
        <f>IF(OR(D36="",E36=""),0,IF(D36&gt;E36,3,IF(D36=E36,1,0)))</f>
        <v/>
      </c>
      <c r="K36">
        <f>IF(OR(D36="",E36=""),0,IF(E36&gt;D36,3,IF(D36=E36,1,0)))</f>
        <v/>
      </c>
      <c r="L36">
        <f>IF(OR(D36="",E36=""),0,D36)</f>
        <v/>
      </c>
      <c r="M36">
        <f>IF(OR(D36="",E36=""),0,E36)</f>
        <v/>
      </c>
    </row>
    <row r="37">
      <c r="A37" t="inlineStr">
        <is>
          <t>M036</t>
        </is>
      </c>
      <c r="B37" t="inlineStr">
        <is>
          <t>Grupo F</t>
        </is>
      </c>
      <c r="C37">
        <f>Porra_Grupos!C65</f>
        <v/>
      </c>
      <c r="D37">
        <f>IF(Porra_Grupos!D65="","",Porra_Grupos!D65)</f>
        <v/>
      </c>
      <c r="E37">
        <f>IF(Porra_Grupos!F65="","",Porra_Grupos!F65)</f>
        <v/>
      </c>
      <c r="F37">
        <f>Porra_Grupos!G65</f>
        <v/>
      </c>
      <c r="G37" t="inlineStr">
        <is>
          <t>-</t>
        </is>
      </c>
      <c r="H37" t="inlineStr">
        <is>
          <t>-</t>
        </is>
      </c>
      <c r="J37">
        <f>IF(OR(D37="",E37=""),0,IF(D37&gt;E37,3,IF(D37=E37,1,0)))</f>
        <v/>
      </c>
      <c r="K37">
        <f>IF(OR(D37="",E37=""),0,IF(E37&gt;D37,3,IF(D37=E37,1,0)))</f>
        <v/>
      </c>
      <c r="L37">
        <f>IF(OR(D37="",E37=""),0,D37)</f>
        <v/>
      </c>
      <c r="M37">
        <f>IF(OR(D37="",E37=""),0,E37)</f>
        <v/>
      </c>
    </row>
    <row r="38">
      <c r="A38" t="inlineStr">
        <is>
          <t>M037</t>
        </is>
      </c>
      <c r="B38" t="inlineStr">
        <is>
          <t>Grupo G</t>
        </is>
      </c>
      <c r="C38">
        <f>Porra_Grupos!C69</f>
        <v/>
      </c>
      <c r="D38">
        <f>IF(Porra_Grupos!D69="","",Porra_Grupos!D69)</f>
        <v/>
      </c>
      <c r="E38">
        <f>IF(Porra_Grupos!F69="","",Porra_Grupos!F69)</f>
        <v/>
      </c>
      <c r="F38">
        <f>Porra_Grupos!G69</f>
        <v/>
      </c>
      <c r="G38" t="inlineStr">
        <is>
          <t>-</t>
        </is>
      </c>
      <c r="H38" t="inlineStr">
        <is>
          <t>-</t>
        </is>
      </c>
      <c r="J38">
        <f>IF(OR(D38="",E38=""),0,IF(D38&gt;E38,3,IF(D38=E38,1,0)))</f>
        <v/>
      </c>
      <c r="K38">
        <f>IF(OR(D38="",E38=""),0,IF(E38&gt;D38,3,IF(D38=E38,1,0)))</f>
        <v/>
      </c>
      <c r="L38">
        <f>IF(OR(D38="",E38=""),0,D38)</f>
        <v/>
      </c>
      <c r="M38">
        <f>IF(OR(D38="",E38=""),0,E38)</f>
        <v/>
      </c>
    </row>
    <row r="39">
      <c r="A39" t="inlineStr">
        <is>
          <t>M038</t>
        </is>
      </c>
      <c r="B39" t="inlineStr">
        <is>
          <t>Grupo G</t>
        </is>
      </c>
      <c r="C39">
        <f>Porra_Grupos!C70</f>
        <v/>
      </c>
      <c r="D39">
        <f>IF(Porra_Grupos!D70="","",Porra_Grupos!D70)</f>
        <v/>
      </c>
      <c r="E39">
        <f>IF(Porra_Grupos!F70="","",Porra_Grupos!F70)</f>
        <v/>
      </c>
      <c r="F39">
        <f>Porra_Grupos!G70</f>
        <v/>
      </c>
      <c r="G39" t="inlineStr">
        <is>
          <t>-</t>
        </is>
      </c>
      <c r="H39" t="inlineStr">
        <is>
          <t>-</t>
        </is>
      </c>
      <c r="J39">
        <f>IF(OR(D39="",E39=""),0,IF(D39&gt;E39,3,IF(D39=E39,1,0)))</f>
        <v/>
      </c>
      <c r="K39">
        <f>IF(OR(D39="",E39=""),0,IF(E39&gt;D39,3,IF(D39=E39,1,0)))</f>
        <v/>
      </c>
      <c r="L39">
        <f>IF(OR(D39="",E39=""),0,D39)</f>
        <v/>
      </c>
      <c r="M39">
        <f>IF(OR(D39="",E39=""),0,E39)</f>
        <v/>
      </c>
    </row>
    <row r="40">
      <c r="A40" t="inlineStr">
        <is>
          <t>M039</t>
        </is>
      </c>
      <c r="B40" t="inlineStr">
        <is>
          <t>Grupo G</t>
        </is>
      </c>
      <c r="C40">
        <f>Porra_Grupos!C71</f>
        <v/>
      </c>
      <c r="D40">
        <f>IF(Porra_Grupos!D71="","",Porra_Grupos!D71)</f>
        <v/>
      </c>
      <c r="E40">
        <f>IF(Porra_Grupos!F71="","",Porra_Grupos!F71)</f>
        <v/>
      </c>
      <c r="F40">
        <f>Porra_Grupos!G71</f>
        <v/>
      </c>
      <c r="G40" t="inlineStr">
        <is>
          <t>-</t>
        </is>
      </c>
      <c r="H40" t="inlineStr">
        <is>
          <t>-</t>
        </is>
      </c>
      <c r="J40">
        <f>IF(OR(D40="",E40=""),0,IF(D40&gt;E40,3,IF(D40=E40,1,0)))</f>
        <v/>
      </c>
      <c r="K40">
        <f>IF(OR(D40="",E40=""),0,IF(E40&gt;D40,3,IF(D40=E40,1,0)))</f>
        <v/>
      </c>
      <c r="L40">
        <f>IF(OR(D40="",E40=""),0,D40)</f>
        <v/>
      </c>
      <c r="M40">
        <f>IF(OR(D40="",E40=""),0,E40)</f>
        <v/>
      </c>
    </row>
    <row r="41">
      <c r="A41" t="inlineStr">
        <is>
          <t>M040</t>
        </is>
      </c>
      <c r="B41" t="inlineStr">
        <is>
          <t>Grupo G</t>
        </is>
      </c>
      <c r="C41">
        <f>Porra_Grupos!C72</f>
        <v/>
      </c>
      <c r="D41">
        <f>IF(Porra_Grupos!D72="","",Porra_Grupos!D72)</f>
        <v/>
      </c>
      <c r="E41">
        <f>IF(Porra_Grupos!F72="","",Porra_Grupos!F72)</f>
        <v/>
      </c>
      <c r="F41">
        <f>Porra_Grupos!G72</f>
        <v/>
      </c>
      <c r="G41" t="inlineStr">
        <is>
          <t>-</t>
        </is>
      </c>
      <c r="H41" t="inlineStr">
        <is>
          <t>-</t>
        </is>
      </c>
      <c r="J41">
        <f>IF(OR(D41="",E41=""),0,IF(D41&gt;E41,3,IF(D41=E41,1,0)))</f>
        <v/>
      </c>
      <c r="K41">
        <f>IF(OR(D41="",E41=""),0,IF(E41&gt;D41,3,IF(D41=E41,1,0)))</f>
        <v/>
      </c>
      <c r="L41">
        <f>IF(OR(D41="",E41=""),0,D41)</f>
        <v/>
      </c>
      <c r="M41">
        <f>IF(OR(D41="",E41=""),0,E41)</f>
        <v/>
      </c>
    </row>
    <row r="42">
      <c r="A42" t="inlineStr">
        <is>
          <t>M041</t>
        </is>
      </c>
      <c r="B42" t="inlineStr">
        <is>
          <t>Grupo G</t>
        </is>
      </c>
      <c r="C42">
        <f>Porra_Grupos!C73</f>
        <v/>
      </c>
      <c r="D42">
        <f>IF(Porra_Grupos!D73="","",Porra_Grupos!D73)</f>
        <v/>
      </c>
      <c r="E42">
        <f>IF(Porra_Grupos!F73="","",Porra_Grupos!F73)</f>
        <v/>
      </c>
      <c r="F42">
        <f>Porra_Grupos!G73</f>
        <v/>
      </c>
      <c r="G42" t="inlineStr">
        <is>
          <t>-</t>
        </is>
      </c>
      <c r="H42" t="inlineStr">
        <is>
          <t>-</t>
        </is>
      </c>
      <c r="J42">
        <f>IF(OR(D42="",E42=""),0,IF(D42&gt;E42,3,IF(D42=E42,1,0)))</f>
        <v/>
      </c>
      <c r="K42">
        <f>IF(OR(D42="",E42=""),0,IF(E42&gt;D42,3,IF(D42=E42,1,0)))</f>
        <v/>
      </c>
      <c r="L42">
        <f>IF(OR(D42="",E42=""),0,D42)</f>
        <v/>
      </c>
      <c r="M42">
        <f>IF(OR(D42="",E42=""),0,E42)</f>
        <v/>
      </c>
    </row>
    <row r="43">
      <c r="A43" t="inlineStr">
        <is>
          <t>M042</t>
        </is>
      </c>
      <c r="B43" t="inlineStr">
        <is>
          <t>Grupo G</t>
        </is>
      </c>
      <c r="C43">
        <f>Porra_Grupos!C74</f>
        <v/>
      </c>
      <c r="D43">
        <f>IF(Porra_Grupos!D74="","",Porra_Grupos!D74)</f>
        <v/>
      </c>
      <c r="E43">
        <f>IF(Porra_Grupos!F74="","",Porra_Grupos!F74)</f>
        <v/>
      </c>
      <c r="F43">
        <f>Porra_Grupos!G74</f>
        <v/>
      </c>
      <c r="G43" t="inlineStr">
        <is>
          <t>-</t>
        </is>
      </c>
      <c r="H43" t="inlineStr">
        <is>
          <t>-</t>
        </is>
      </c>
      <c r="J43">
        <f>IF(OR(D43="",E43=""),0,IF(D43&gt;E43,3,IF(D43=E43,1,0)))</f>
        <v/>
      </c>
      <c r="K43">
        <f>IF(OR(D43="",E43=""),0,IF(E43&gt;D43,3,IF(D43=E43,1,0)))</f>
        <v/>
      </c>
      <c r="L43">
        <f>IF(OR(D43="",E43=""),0,D43)</f>
        <v/>
      </c>
      <c r="M43">
        <f>IF(OR(D43="",E43=""),0,E43)</f>
        <v/>
      </c>
    </row>
    <row r="44">
      <c r="A44" t="inlineStr">
        <is>
          <t>M043</t>
        </is>
      </c>
      <c r="B44" t="inlineStr">
        <is>
          <t>Grupo H</t>
        </is>
      </c>
      <c r="C44">
        <f>Porra_Grupos!C78</f>
        <v/>
      </c>
      <c r="D44">
        <f>IF(Porra_Grupos!D78="","",Porra_Grupos!D78)</f>
        <v/>
      </c>
      <c r="E44">
        <f>IF(Porra_Grupos!F78="","",Porra_Grupos!F78)</f>
        <v/>
      </c>
      <c r="F44">
        <f>Porra_Grupos!G78</f>
        <v/>
      </c>
      <c r="G44" t="inlineStr">
        <is>
          <t>-</t>
        </is>
      </c>
      <c r="H44" t="inlineStr">
        <is>
          <t>-</t>
        </is>
      </c>
      <c r="J44">
        <f>IF(OR(D44="",E44=""),0,IF(D44&gt;E44,3,IF(D44=E44,1,0)))</f>
        <v/>
      </c>
      <c r="K44">
        <f>IF(OR(D44="",E44=""),0,IF(E44&gt;D44,3,IF(D44=E44,1,0)))</f>
        <v/>
      </c>
      <c r="L44">
        <f>IF(OR(D44="",E44=""),0,D44)</f>
        <v/>
      </c>
      <c r="M44">
        <f>IF(OR(D44="",E44=""),0,E44)</f>
        <v/>
      </c>
    </row>
    <row r="45">
      <c r="A45" t="inlineStr">
        <is>
          <t>M044</t>
        </is>
      </c>
      <c r="B45" t="inlineStr">
        <is>
          <t>Grupo H</t>
        </is>
      </c>
      <c r="C45">
        <f>Porra_Grupos!C79</f>
        <v/>
      </c>
      <c r="D45">
        <f>IF(Porra_Grupos!D79="","",Porra_Grupos!D79)</f>
        <v/>
      </c>
      <c r="E45">
        <f>IF(Porra_Grupos!F79="","",Porra_Grupos!F79)</f>
        <v/>
      </c>
      <c r="F45">
        <f>Porra_Grupos!G79</f>
        <v/>
      </c>
      <c r="G45" t="inlineStr">
        <is>
          <t>-</t>
        </is>
      </c>
      <c r="H45" t="inlineStr">
        <is>
          <t>-</t>
        </is>
      </c>
      <c r="J45">
        <f>IF(OR(D45="",E45=""),0,IF(D45&gt;E45,3,IF(D45=E45,1,0)))</f>
        <v/>
      </c>
      <c r="K45">
        <f>IF(OR(D45="",E45=""),0,IF(E45&gt;D45,3,IF(D45=E45,1,0)))</f>
        <v/>
      </c>
      <c r="L45">
        <f>IF(OR(D45="",E45=""),0,D45)</f>
        <v/>
      </c>
      <c r="M45">
        <f>IF(OR(D45="",E45=""),0,E45)</f>
        <v/>
      </c>
    </row>
    <row r="46">
      <c r="A46" t="inlineStr">
        <is>
          <t>M045</t>
        </is>
      </c>
      <c r="B46" t="inlineStr">
        <is>
          <t>Grupo H</t>
        </is>
      </c>
      <c r="C46">
        <f>Porra_Grupos!C80</f>
        <v/>
      </c>
      <c r="D46">
        <f>IF(Porra_Grupos!D80="","",Porra_Grupos!D80)</f>
        <v/>
      </c>
      <c r="E46">
        <f>IF(Porra_Grupos!F80="","",Porra_Grupos!F80)</f>
        <v/>
      </c>
      <c r="F46">
        <f>Porra_Grupos!G80</f>
        <v/>
      </c>
      <c r="G46" t="inlineStr">
        <is>
          <t>-</t>
        </is>
      </c>
      <c r="H46" t="inlineStr">
        <is>
          <t>-</t>
        </is>
      </c>
      <c r="J46">
        <f>IF(OR(D46="",E46=""),0,IF(D46&gt;E46,3,IF(D46=E46,1,0)))</f>
        <v/>
      </c>
      <c r="K46">
        <f>IF(OR(D46="",E46=""),0,IF(E46&gt;D46,3,IF(D46=E46,1,0)))</f>
        <v/>
      </c>
      <c r="L46">
        <f>IF(OR(D46="",E46=""),0,D46)</f>
        <v/>
      </c>
      <c r="M46">
        <f>IF(OR(D46="",E46=""),0,E46)</f>
        <v/>
      </c>
    </row>
    <row r="47">
      <c r="A47" t="inlineStr">
        <is>
          <t>M046</t>
        </is>
      </c>
      <c r="B47" t="inlineStr">
        <is>
          <t>Grupo H</t>
        </is>
      </c>
      <c r="C47">
        <f>Porra_Grupos!C81</f>
        <v/>
      </c>
      <c r="D47">
        <f>IF(Porra_Grupos!D81="","",Porra_Grupos!D81)</f>
        <v/>
      </c>
      <c r="E47">
        <f>IF(Porra_Grupos!F81="","",Porra_Grupos!F81)</f>
        <v/>
      </c>
      <c r="F47">
        <f>Porra_Grupos!G81</f>
        <v/>
      </c>
      <c r="G47" t="inlineStr">
        <is>
          <t>-</t>
        </is>
      </c>
      <c r="H47" t="inlineStr">
        <is>
          <t>-</t>
        </is>
      </c>
      <c r="J47">
        <f>IF(OR(D47="",E47=""),0,IF(D47&gt;E47,3,IF(D47=E47,1,0)))</f>
        <v/>
      </c>
      <c r="K47">
        <f>IF(OR(D47="",E47=""),0,IF(E47&gt;D47,3,IF(D47=E47,1,0)))</f>
        <v/>
      </c>
      <c r="L47">
        <f>IF(OR(D47="",E47=""),0,D47)</f>
        <v/>
      </c>
      <c r="M47">
        <f>IF(OR(D47="",E47=""),0,E47)</f>
        <v/>
      </c>
    </row>
    <row r="48">
      <c r="A48" t="inlineStr">
        <is>
          <t>M047</t>
        </is>
      </c>
      <c r="B48" t="inlineStr">
        <is>
          <t>Grupo H</t>
        </is>
      </c>
      <c r="C48">
        <f>Porra_Grupos!C82</f>
        <v/>
      </c>
      <c r="D48">
        <f>IF(Porra_Grupos!D82="","",Porra_Grupos!D82)</f>
        <v/>
      </c>
      <c r="E48">
        <f>IF(Porra_Grupos!F82="","",Porra_Grupos!F82)</f>
        <v/>
      </c>
      <c r="F48">
        <f>Porra_Grupos!G82</f>
        <v/>
      </c>
      <c r="G48" t="inlineStr">
        <is>
          <t>-</t>
        </is>
      </c>
      <c r="H48" t="inlineStr">
        <is>
          <t>-</t>
        </is>
      </c>
      <c r="J48">
        <f>IF(OR(D48="",E48=""),0,IF(D48&gt;E48,3,IF(D48=E48,1,0)))</f>
        <v/>
      </c>
      <c r="K48">
        <f>IF(OR(D48="",E48=""),0,IF(E48&gt;D48,3,IF(D48=E48,1,0)))</f>
        <v/>
      </c>
      <c r="L48">
        <f>IF(OR(D48="",E48=""),0,D48)</f>
        <v/>
      </c>
      <c r="M48">
        <f>IF(OR(D48="",E48=""),0,E48)</f>
        <v/>
      </c>
    </row>
    <row r="49">
      <c r="A49" t="inlineStr">
        <is>
          <t>M048</t>
        </is>
      </c>
      <c r="B49" t="inlineStr">
        <is>
          <t>Grupo H</t>
        </is>
      </c>
      <c r="C49">
        <f>Porra_Grupos!C83</f>
        <v/>
      </c>
      <c r="D49">
        <f>IF(Porra_Grupos!D83="","",Porra_Grupos!D83)</f>
        <v/>
      </c>
      <c r="E49">
        <f>IF(Porra_Grupos!F83="","",Porra_Grupos!F83)</f>
        <v/>
      </c>
      <c r="F49">
        <f>Porra_Grupos!G83</f>
        <v/>
      </c>
      <c r="G49" t="inlineStr">
        <is>
          <t>-</t>
        </is>
      </c>
      <c r="H49" t="inlineStr">
        <is>
          <t>-</t>
        </is>
      </c>
      <c r="J49">
        <f>IF(OR(D49="",E49=""),0,IF(D49&gt;E49,3,IF(D49=E49,1,0)))</f>
        <v/>
      </c>
      <c r="K49">
        <f>IF(OR(D49="",E49=""),0,IF(E49&gt;D49,3,IF(D49=E49,1,0)))</f>
        <v/>
      </c>
      <c r="L49">
        <f>IF(OR(D49="",E49=""),0,D49)</f>
        <v/>
      </c>
      <c r="M49">
        <f>IF(OR(D49="",E49=""),0,E49)</f>
        <v/>
      </c>
    </row>
    <row r="50">
      <c r="A50" t="inlineStr">
        <is>
          <t>M049</t>
        </is>
      </c>
      <c r="B50" t="inlineStr">
        <is>
          <t>Grupo I</t>
        </is>
      </c>
      <c r="C50">
        <f>Porra_Grupos!C87</f>
        <v/>
      </c>
      <c r="D50">
        <f>IF(Porra_Grupos!D87="","",Porra_Grupos!D87)</f>
        <v/>
      </c>
      <c r="E50">
        <f>IF(Porra_Grupos!F87="","",Porra_Grupos!F87)</f>
        <v/>
      </c>
      <c r="F50">
        <f>Porra_Grupos!G87</f>
        <v/>
      </c>
      <c r="G50" t="inlineStr">
        <is>
          <t>-</t>
        </is>
      </c>
      <c r="H50" t="inlineStr">
        <is>
          <t>-</t>
        </is>
      </c>
      <c r="J50">
        <f>IF(OR(D50="",E50=""),0,IF(D50&gt;E50,3,IF(D50=E50,1,0)))</f>
        <v/>
      </c>
      <c r="K50">
        <f>IF(OR(D50="",E50=""),0,IF(E50&gt;D50,3,IF(D50=E50,1,0)))</f>
        <v/>
      </c>
      <c r="L50">
        <f>IF(OR(D50="",E50=""),0,D50)</f>
        <v/>
      </c>
      <c r="M50">
        <f>IF(OR(D50="",E50=""),0,E50)</f>
        <v/>
      </c>
    </row>
    <row r="51">
      <c r="A51" t="inlineStr">
        <is>
          <t>M050</t>
        </is>
      </c>
      <c r="B51" t="inlineStr">
        <is>
          <t>Grupo I</t>
        </is>
      </c>
      <c r="C51">
        <f>Porra_Grupos!C88</f>
        <v/>
      </c>
      <c r="D51">
        <f>IF(Porra_Grupos!D88="","",Porra_Grupos!D88)</f>
        <v/>
      </c>
      <c r="E51">
        <f>IF(Porra_Grupos!F88="","",Porra_Grupos!F88)</f>
        <v/>
      </c>
      <c r="F51">
        <f>Porra_Grupos!G88</f>
        <v/>
      </c>
      <c r="G51" t="inlineStr">
        <is>
          <t>-</t>
        </is>
      </c>
      <c r="H51" t="inlineStr">
        <is>
          <t>-</t>
        </is>
      </c>
      <c r="J51">
        <f>IF(OR(D51="",E51=""),0,IF(D51&gt;E51,3,IF(D51=E51,1,0)))</f>
        <v/>
      </c>
      <c r="K51">
        <f>IF(OR(D51="",E51=""),0,IF(E51&gt;D51,3,IF(D51=E51,1,0)))</f>
        <v/>
      </c>
      <c r="L51">
        <f>IF(OR(D51="",E51=""),0,D51)</f>
        <v/>
      </c>
      <c r="M51">
        <f>IF(OR(D51="",E51=""),0,E51)</f>
        <v/>
      </c>
    </row>
    <row r="52">
      <c r="A52" t="inlineStr">
        <is>
          <t>M051</t>
        </is>
      </c>
      <c r="B52" t="inlineStr">
        <is>
          <t>Grupo I</t>
        </is>
      </c>
      <c r="C52">
        <f>Porra_Grupos!C89</f>
        <v/>
      </c>
      <c r="D52">
        <f>IF(Porra_Grupos!D89="","",Porra_Grupos!D89)</f>
        <v/>
      </c>
      <c r="E52">
        <f>IF(Porra_Grupos!F89="","",Porra_Grupos!F89)</f>
        <v/>
      </c>
      <c r="F52">
        <f>Porra_Grupos!G89</f>
        <v/>
      </c>
      <c r="G52" t="inlineStr">
        <is>
          <t>-</t>
        </is>
      </c>
      <c r="H52" t="inlineStr">
        <is>
          <t>-</t>
        </is>
      </c>
      <c r="J52">
        <f>IF(OR(D52="",E52=""),0,IF(D52&gt;E52,3,IF(D52=E52,1,0)))</f>
        <v/>
      </c>
      <c r="K52">
        <f>IF(OR(D52="",E52=""),0,IF(E52&gt;D52,3,IF(D52=E52,1,0)))</f>
        <v/>
      </c>
      <c r="L52">
        <f>IF(OR(D52="",E52=""),0,D52)</f>
        <v/>
      </c>
      <c r="M52">
        <f>IF(OR(D52="",E52=""),0,E52)</f>
        <v/>
      </c>
    </row>
    <row r="53">
      <c r="A53" t="inlineStr">
        <is>
          <t>M052</t>
        </is>
      </c>
      <c r="B53" t="inlineStr">
        <is>
          <t>Grupo I</t>
        </is>
      </c>
      <c r="C53">
        <f>Porra_Grupos!C90</f>
        <v/>
      </c>
      <c r="D53">
        <f>IF(Porra_Grupos!D90="","",Porra_Grupos!D90)</f>
        <v/>
      </c>
      <c r="E53">
        <f>IF(Porra_Grupos!F90="","",Porra_Grupos!F90)</f>
        <v/>
      </c>
      <c r="F53">
        <f>Porra_Grupos!G90</f>
        <v/>
      </c>
      <c r="G53" t="inlineStr">
        <is>
          <t>-</t>
        </is>
      </c>
      <c r="H53" t="inlineStr">
        <is>
          <t>-</t>
        </is>
      </c>
      <c r="J53">
        <f>IF(OR(D53="",E53=""),0,IF(D53&gt;E53,3,IF(D53=E53,1,0)))</f>
        <v/>
      </c>
      <c r="K53">
        <f>IF(OR(D53="",E53=""),0,IF(E53&gt;D53,3,IF(D53=E53,1,0)))</f>
        <v/>
      </c>
      <c r="L53">
        <f>IF(OR(D53="",E53=""),0,D53)</f>
        <v/>
      </c>
      <c r="M53">
        <f>IF(OR(D53="",E53=""),0,E53)</f>
        <v/>
      </c>
    </row>
    <row r="54">
      <c r="A54" t="inlineStr">
        <is>
          <t>M053</t>
        </is>
      </c>
      <c r="B54" t="inlineStr">
        <is>
          <t>Grupo I</t>
        </is>
      </c>
      <c r="C54">
        <f>Porra_Grupos!C91</f>
        <v/>
      </c>
      <c r="D54">
        <f>IF(Porra_Grupos!D91="","",Porra_Grupos!D91)</f>
        <v/>
      </c>
      <c r="E54">
        <f>IF(Porra_Grupos!F91="","",Porra_Grupos!F91)</f>
        <v/>
      </c>
      <c r="F54">
        <f>Porra_Grupos!G91</f>
        <v/>
      </c>
      <c r="G54" t="inlineStr">
        <is>
          <t>-</t>
        </is>
      </c>
      <c r="H54" t="inlineStr">
        <is>
          <t>-</t>
        </is>
      </c>
      <c r="J54">
        <f>IF(OR(D54="",E54=""),0,IF(D54&gt;E54,3,IF(D54=E54,1,0)))</f>
        <v/>
      </c>
      <c r="K54">
        <f>IF(OR(D54="",E54=""),0,IF(E54&gt;D54,3,IF(D54=E54,1,0)))</f>
        <v/>
      </c>
      <c r="L54">
        <f>IF(OR(D54="",E54=""),0,D54)</f>
        <v/>
      </c>
      <c r="M54">
        <f>IF(OR(D54="",E54=""),0,E54)</f>
        <v/>
      </c>
    </row>
    <row r="55">
      <c r="A55" t="inlineStr">
        <is>
          <t>M054</t>
        </is>
      </c>
      <c r="B55" t="inlineStr">
        <is>
          <t>Grupo I</t>
        </is>
      </c>
      <c r="C55">
        <f>Porra_Grupos!C92</f>
        <v/>
      </c>
      <c r="D55">
        <f>IF(Porra_Grupos!D92="","",Porra_Grupos!D92)</f>
        <v/>
      </c>
      <c r="E55">
        <f>IF(Porra_Grupos!F92="","",Porra_Grupos!F92)</f>
        <v/>
      </c>
      <c r="F55">
        <f>Porra_Grupos!G92</f>
        <v/>
      </c>
      <c r="G55" t="inlineStr">
        <is>
          <t>-</t>
        </is>
      </c>
      <c r="H55" t="inlineStr">
        <is>
          <t>-</t>
        </is>
      </c>
      <c r="J55">
        <f>IF(OR(D55="",E55=""),0,IF(D55&gt;E55,3,IF(D55=E55,1,0)))</f>
        <v/>
      </c>
      <c r="K55">
        <f>IF(OR(D55="",E55=""),0,IF(E55&gt;D55,3,IF(D55=E55,1,0)))</f>
        <v/>
      </c>
      <c r="L55">
        <f>IF(OR(D55="",E55=""),0,D55)</f>
        <v/>
      </c>
      <c r="M55">
        <f>IF(OR(D55="",E55=""),0,E55)</f>
        <v/>
      </c>
    </row>
    <row r="56">
      <c r="A56" t="inlineStr">
        <is>
          <t>M055</t>
        </is>
      </c>
      <c r="B56" t="inlineStr">
        <is>
          <t>Grupo J</t>
        </is>
      </c>
      <c r="C56">
        <f>Porra_Grupos!C96</f>
        <v/>
      </c>
      <c r="D56">
        <f>IF(Porra_Grupos!D96="","",Porra_Grupos!D96)</f>
        <v/>
      </c>
      <c r="E56">
        <f>IF(Porra_Grupos!F96="","",Porra_Grupos!F96)</f>
        <v/>
      </c>
      <c r="F56">
        <f>Porra_Grupos!G96</f>
        <v/>
      </c>
      <c r="G56" t="inlineStr">
        <is>
          <t>-</t>
        </is>
      </c>
      <c r="H56" t="inlineStr">
        <is>
          <t>-</t>
        </is>
      </c>
      <c r="J56">
        <f>IF(OR(D56="",E56=""),0,IF(D56&gt;E56,3,IF(D56=E56,1,0)))</f>
        <v/>
      </c>
      <c r="K56">
        <f>IF(OR(D56="",E56=""),0,IF(E56&gt;D56,3,IF(D56=E56,1,0)))</f>
        <v/>
      </c>
      <c r="L56">
        <f>IF(OR(D56="",E56=""),0,D56)</f>
        <v/>
      </c>
      <c r="M56">
        <f>IF(OR(D56="",E56=""),0,E56)</f>
        <v/>
      </c>
    </row>
    <row r="57">
      <c r="A57" t="inlineStr">
        <is>
          <t>M056</t>
        </is>
      </c>
      <c r="B57" t="inlineStr">
        <is>
          <t>Grupo J</t>
        </is>
      </c>
      <c r="C57">
        <f>Porra_Grupos!C97</f>
        <v/>
      </c>
      <c r="D57">
        <f>IF(Porra_Grupos!D97="","",Porra_Grupos!D97)</f>
        <v/>
      </c>
      <c r="E57">
        <f>IF(Porra_Grupos!F97="","",Porra_Grupos!F97)</f>
        <v/>
      </c>
      <c r="F57">
        <f>Porra_Grupos!G97</f>
        <v/>
      </c>
      <c r="G57" t="inlineStr">
        <is>
          <t>-</t>
        </is>
      </c>
      <c r="H57" t="inlineStr">
        <is>
          <t>-</t>
        </is>
      </c>
      <c r="J57">
        <f>IF(OR(D57="",E57=""),0,IF(D57&gt;E57,3,IF(D57=E57,1,0)))</f>
        <v/>
      </c>
      <c r="K57">
        <f>IF(OR(D57="",E57=""),0,IF(E57&gt;D57,3,IF(D57=E57,1,0)))</f>
        <v/>
      </c>
      <c r="L57">
        <f>IF(OR(D57="",E57=""),0,D57)</f>
        <v/>
      </c>
      <c r="M57">
        <f>IF(OR(D57="",E57=""),0,E57)</f>
        <v/>
      </c>
    </row>
    <row r="58">
      <c r="A58" t="inlineStr">
        <is>
          <t>M057</t>
        </is>
      </c>
      <c r="B58" t="inlineStr">
        <is>
          <t>Grupo J</t>
        </is>
      </c>
      <c r="C58">
        <f>Porra_Grupos!C98</f>
        <v/>
      </c>
      <c r="D58">
        <f>IF(Porra_Grupos!D98="","",Porra_Grupos!D98)</f>
        <v/>
      </c>
      <c r="E58">
        <f>IF(Porra_Grupos!F98="","",Porra_Grupos!F98)</f>
        <v/>
      </c>
      <c r="F58">
        <f>Porra_Grupos!G98</f>
        <v/>
      </c>
      <c r="G58" t="inlineStr">
        <is>
          <t>-</t>
        </is>
      </c>
      <c r="H58" t="inlineStr">
        <is>
          <t>-</t>
        </is>
      </c>
      <c r="J58">
        <f>IF(OR(D58="",E58=""),0,IF(D58&gt;E58,3,IF(D58=E58,1,0)))</f>
        <v/>
      </c>
      <c r="K58">
        <f>IF(OR(D58="",E58=""),0,IF(E58&gt;D58,3,IF(D58=E58,1,0)))</f>
        <v/>
      </c>
      <c r="L58">
        <f>IF(OR(D58="",E58=""),0,D58)</f>
        <v/>
      </c>
      <c r="M58">
        <f>IF(OR(D58="",E58=""),0,E58)</f>
        <v/>
      </c>
    </row>
    <row r="59">
      <c r="A59" t="inlineStr">
        <is>
          <t>M058</t>
        </is>
      </c>
      <c r="B59" t="inlineStr">
        <is>
          <t>Grupo J</t>
        </is>
      </c>
      <c r="C59">
        <f>Porra_Grupos!C99</f>
        <v/>
      </c>
      <c r="D59">
        <f>IF(Porra_Grupos!D99="","",Porra_Grupos!D99)</f>
        <v/>
      </c>
      <c r="E59">
        <f>IF(Porra_Grupos!F99="","",Porra_Grupos!F99)</f>
        <v/>
      </c>
      <c r="F59">
        <f>Porra_Grupos!G99</f>
        <v/>
      </c>
      <c r="G59" t="inlineStr">
        <is>
          <t>-</t>
        </is>
      </c>
      <c r="H59" t="inlineStr">
        <is>
          <t>-</t>
        </is>
      </c>
      <c r="J59">
        <f>IF(OR(D59="",E59=""),0,IF(D59&gt;E59,3,IF(D59=E59,1,0)))</f>
        <v/>
      </c>
      <c r="K59">
        <f>IF(OR(D59="",E59=""),0,IF(E59&gt;D59,3,IF(D59=E59,1,0)))</f>
        <v/>
      </c>
      <c r="L59">
        <f>IF(OR(D59="",E59=""),0,D59)</f>
        <v/>
      </c>
      <c r="M59">
        <f>IF(OR(D59="",E59=""),0,E59)</f>
        <v/>
      </c>
    </row>
    <row r="60">
      <c r="A60" t="inlineStr">
        <is>
          <t>M059</t>
        </is>
      </c>
      <c r="B60" t="inlineStr">
        <is>
          <t>Grupo J</t>
        </is>
      </c>
      <c r="C60">
        <f>Porra_Grupos!C100</f>
        <v/>
      </c>
      <c r="D60">
        <f>IF(Porra_Grupos!D100="","",Porra_Grupos!D100)</f>
        <v/>
      </c>
      <c r="E60">
        <f>IF(Porra_Grupos!F100="","",Porra_Grupos!F100)</f>
        <v/>
      </c>
      <c r="F60">
        <f>Porra_Grupos!G100</f>
        <v/>
      </c>
      <c r="G60" t="inlineStr">
        <is>
          <t>-</t>
        </is>
      </c>
      <c r="H60" t="inlineStr">
        <is>
          <t>-</t>
        </is>
      </c>
      <c r="J60">
        <f>IF(OR(D60="",E60=""),0,IF(D60&gt;E60,3,IF(D60=E60,1,0)))</f>
        <v/>
      </c>
      <c r="K60">
        <f>IF(OR(D60="",E60=""),0,IF(E60&gt;D60,3,IF(D60=E60,1,0)))</f>
        <v/>
      </c>
      <c r="L60">
        <f>IF(OR(D60="",E60=""),0,D60)</f>
        <v/>
      </c>
      <c r="M60">
        <f>IF(OR(D60="",E60=""),0,E60)</f>
        <v/>
      </c>
    </row>
    <row r="61">
      <c r="A61" t="inlineStr">
        <is>
          <t>M060</t>
        </is>
      </c>
      <c r="B61" t="inlineStr">
        <is>
          <t>Grupo J</t>
        </is>
      </c>
      <c r="C61">
        <f>Porra_Grupos!C101</f>
        <v/>
      </c>
      <c r="D61">
        <f>IF(Porra_Grupos!D101="","",Porra_Grupos!D101)</f>
        <v/>
      </c>
      <c r="E61">
        <f>IF(Porra_Grupos!F101="","",Porra_Grupos!F101)</f>
        <v/>
      </c>
      <c r="F61">
        <f>Porra_Grupos!G101</f>
        <v/>
      </c>
      <c r="G61" t="inlineStr">
        <is>
          <t>-</t>
        </is>
      </c>
      <c r="H61" t="inlineStr">
        <is>
          <t>-</t>
        </is>
      </c>
      <c r="J61">
        <f>IF(OR(D61="",E61=""),0,IF(D61&gt;E61,3,IF(D61=E61,1,0)))</f>
        <v/>
      </c>
      <c r="K61">
        <f>IF(OR(D61="",E61=""),0,IF(E61&gt;D61,3,IF(D61=E61,1,0)))</f>
        <v/>
      </c>
      <c r="L61">
        <f>IF(OR(D61="",E61=""),0,D61)</f>
        <v/>
      </c>
      <c r="M61">
        <f>IF(OR(D61="",E61=""),0,E61)</f>
        <v/>
      </c>
    </row>
    <row r="62">
      <c r="A62" t="inlineStr">
        <is>
          <t>M061</t>
        </is>
      </c>
      <c r="B62" t="inlineStr">
        <is>
          <t>Grupo K</t>
        </is>
      </c>
      <c r="C62">
        <f>Porra_Grupos!C105</f>
        <v/>
      </c>
      <c r="D62">
        <f>IF(Porra_Grupos!D105="","",Porra_Grupos!D105)</f>
        <v/>
      </c>
      <c r="E62">
        <f>IF(Porra_Grupos!F105="","",Porra_Grupos!F105)</f>
        <v/>
      </c>
      <c r="F62">
        <f>Porra_Grupos!G105</f>
        <v/>
      </c>
      <c r="G62" t="inlineStr">
        <is>
          <t>-</t>
        </is>
      </c>
      <c r="H62" t="inlineStr">
        <is>
          <t>-</t>
        </is>
      </c>
      <c r="J62">
        <f>IF(OR(D62="",E62=""),0,IF(D62&gt;E62,3,IF(D62=E62,1,0)))</f>
        <v/>
      </c>
      <c r="K62">
        <f>IF(OR(D62="",E62=""),0,IF(E62&gt;D62,3,IF(D62=E62,1,0)))</f>
        <v/>
      </c>
      <c r="L62">
        <f>IF(OR(D62="",E62=""),0,D62)</f>
        <v/>
      </c>
      <c r="M62">
        <f>IF(OR(D62="",E62=""),0,E62)</f>
        <v/>
      </c>
    </row>
    <row r="63">
      <c r="A63" t="inlineStr">
        <is>
          <t>M062</t>
        </is>
      </c>
      <c r="B63" t="inlineStr">
        <is>
          <t>Grupo K</t>
        </is>
      </c>
      <c r="C63">
        <f>Porra_Grupos!C106</f>
        <v/>
      </c>
      <c r="D63">
        <f>IF(Porra_Grupos!D106="","",Porra_Grupos!D106)</f>
        <v/>
      </c>
      <c r="E63">
        <f>IF(Porra_Grupos!F106="","",Porra_Grupos!F106)</f>
        <v/>
      </c>
      <c r="F63">
        <f>Porra_Grupos!G106</f>
        <v/>
      </c>
      <c r="G63" t="inlineStr">
        <is>
          <t>-</t>
        </is>
      </c>
      <c r="H63" t="inlineStr">
        <is>
          <t>-</t>
        </is>
      </c>
      <c r="J63">
        <f>IF(OR(D63="",E63=""),0,IF(D63&gt;E63,3,IF(D63=E63,1,0)))</f>
        <v/>
      </c>
      <c r="K63">
        <f>IF(OR(D63="",E63=""),0,IF(E63&gt;D63,3,IF(D63=E63,1,0)))</f>
        <v/>
      </c>
      <c r="L63">
        <f>IF(OR(D63="",E63=""),0,D63)</f>
        <v/>
      </c>
      <c r="M63">
        <f>IF(OR(D63="",E63=""),0,E63)</f>
        <v/>
      </c>
    </row>
    <row r="64">
      <c r="A64" t="inlineStr">
        <is>
          <t>M063</t>
        </is>
      </c>
      <c r="B64" t="inlineStr">
        <is>
          <t>Grupo K</t>
        </is>
      </c>
      <c r="C64">
        <f>Porra_Grupos!C107</f>
        <v/>
      </c>
      <c r="D64">
        <f>IF(Porra_Grupos!D107="","",Porra_Grupos!D107)</f>
        <v/>
      </c>
      <c r="E64">
        <f>IF(Porra_Grupos!F107="","",Porra_Grupos!F107)</f>
        <v/>
      </c>
      <c r="F64">
        <f>Porra_Grupos!G107</f>
        <v/>
      </c>
      <c r="G64" t="inlineStr">
        <is>
          <t>-</t>
        </is>
      </c>
      <c r="H64" t="inlineStr">
        <is>
          <t>-</t>
        </is>
      </c>
      <c r="J64">
        <f>IF(OR(D64="",E64=""),0,IF(D64&gt;E64,3,IF(D64=E64,1,0)))</f>
        <v/>
      </c>
      <c r="K64">
        <f>IF(OR(D64="",E64=""),0,IF(E64&gt;D64,3,IF(D64=E64,1,0)))</f>
        <v/>
      </c>
      <c r="L64">
        <f>IF(OR(D64="",E64=""),0,D64)</f>
        <v/>
      </c>
      <c r="M64">
        <f>IF(OR(D64="",E64=""),0,E64)</f>
        <v/>
      </c>
    </row>
    <row r="65">
      <c r="A65" t="inlineStr">
        <is>
          <t>M064</t>
        </is>
      </c>
      <c r="B65" t="inlineStr">
        <is>
          <t>Grupo K</t>
        </is>
      </c>
      <c r="C65">
        <f>Porra_Grupos!C108</f>
        <v/>
      </c>
      <c r="D65">
        <f>IF(Porra_Grupos!D108="","",Porra_Grupos!D108)</f>
        <v/>
      </c>
      <c r="E65">
        <f>IF(Porra_Grupos!F108="","",Porra_Grupos!F108)</f>
        <v/>
      </c>
      <c r="F65">
        <f>Porra_Grupos!G108</f>
        <v/>
      </c>
      <c r="G65" t="inlineStr">
        <is>
          <t>-</t>
        </is>
      </c>
      <c r="H65" t="inlineStr">
        <is>
          <t>-</t>
        </is>
      </c>
      <c r="J65">
        <f>IF(OR(D65="",E65=""),0,IF(D65&gt;E65,3,IF(D65=E65,1,0)))</f>
        <v/>
      </c>
      <c r="K65">
        <f>IF(OR(D65="",E65=""),0,IF(E65&gt;D65,3,IF(D65=E65,1,0)))</f>
        <v/>
      </c>
      <c r="L65">
        <f>IF(OR(D65="",E65=""),0,D65)</f>
        <v/>
      </c>
      <c r="M65">
        <f>IF(OR(D65="",E65=""),0,E65)</f>
        <v/>
      </c>
    </row>
    <row r="66">
      <c r="A66" t="inlineStr">
        <is>
          <t>M065</t>
        </is>
      </c>
      <c r="B66" t="inlineStr">
        <is>
          <t>Grupo K</t>
        </is>
      </c>
      <c r="C66">
        <f>Porra_Grupos!C109</f>
        <v/>
      </c>
      <c r="D66">
        <f>IF(Porra_Grupos!D109="","",Porra_Grupos!D109)</f>
        <v/>
      </c>
      <c r="E66">
        <f>IF(Porra_Grupos!F109="","",Porra_Grupos!F109)</f>
        <v/>
      </c>
      <c r="F66">
        <f>Porra_Grupos!G109</f>
        <v/>
      </c>
      <c r="G66" t="inlineStr">
        <is>
          <t>-</t>
        </is>
      </c>
      <c r="H66" t="inlineStr">
        <is>
          <t>-</t>
        </is>
      </c>
      <c r="J66">
        <f>IF(OR(D66="",E66=""),0,IF(D66&gt;E66,3,IF(D66=E66,1,0)))</f>
        <v/>
      </c>
      <c r="K66">
        <f>IF(OR(D66="",E66=""),0,IF(E66&gt;D66,3,IF(D66=E66,1,0)))</f>
        <v/>
      </c>
      <c r="L66">
        <f>IF(OR(D66="",E66=""),0,D66)</f>
        <v/>
      </c>
      <c r="M66">
        <f>IF(OR(D66="",E66=""),0,E66)</f>
        <v/>
      </c>
    </row>
    <row r="67">
      <c r="A67" t="inlineStr">
        <is>
          <t>M066</t>
        </is>
      </c>
      <c r="B67" t="inlineStr">
        <is>
          <t>Grupo K</t>
        </is>
      </c>
      <c r="C67">
        <f>Porra_Grupos!C110</f>
        <v/>
      </c>
      <c r="D67">
        <f>IF(Porra_Grupos!D110="","",Porra_Grupos!D110)</f>
        <v/>
      </c>
      <c r="E67">
        <f>IF(Porra_Grupos!F110="","",Porra_Grupos!F110)</f>
        <v/>
      </c>
      <c r="F67">
        <f>Porra_Grupos!G110</f>
        <v/>
      </c>
      <c r="G67" t="inlineStr">
        <is>
          <t>-</t>
        </is>
      </c>
      <c r="H67" t="inlineStr">
        <is>
          <t>-</t>
        </is>
      </c>
      <c r="J67">
        <f>IF(OR(D67="",E67=""),0,IF(D67&gt;E67,3,IF(D67=E67,1,0)))</f>
        <v/>
      </c>
      <c r="K67">
        <f>IF(OR(D67="",E67=""),0,IF(E67&gt;D67,3,IF(D67=E67,1,0)))</f>
        <v/>
      </c>
      <c r="L67">
        <f>IF(OR(D67="",E67=""),0,D67)</f>
        <v/>
      </c>
      <c r="M67">
        <f>IF(OR(D67="",E67=""),0,E67)</f>
        <v/>
      </c>
    </row>
    <row r="68">
      <c r="A68" t="inlineStr">
        <is>
          <t>M067</t>
        </is>
      </c>
      <c r="B68" t="inlineStr">
        <is>
          <t>Grupo L</t>
        </is>
      </c>
      <c r="C68">
        <f>Porra_Grupos!C114</f>
        <v/>
      </c>
      <c r="D68">
        <f>IF(Porra_Grupos!D114="","",Porra_Grupos!D114)</f>
        <v/>
      </c>
      <c r="E68">
        <f>IF(Porra_Grupos!F114="","",Porra_Grupos!F114)</f>
        <v/>
      </c>
      <c r="F68">
        <f>Porra_Grupos!G114</f>
        <v/>
      </c>
      <c r="G68" t="inlineStr">
        <is>
          <t>-</t>
        </is>
      </c>
      <c r="H68" t="inlineStr">
        <is>
          <t>-</t>
        </is>
      </c>
      <c r="J68">
        <f>IF(OR(D68="",E68=""),0,IF(D68&gt;E68,3,IF(D68=E68,1,0)))</f>
        <v/>
      </c>
      <c r="K68">
        <f>IF(OR(D68="",E68=""),0,IF(E68&gt;D68,3,IF(D68=E68,1,0)))</f>
        <v/>
      </c>
      <c r="L68">
        <f>IF(OR(D68="",E68=""),0,D68)</f>
        <v/>
      </c>
      <c r="M68">
        <f>IF(OR(D68="",E68=""),0,E68)</f>
        <v/>
      </c>
    </row>
    <row r="69">
      <c r="A69" t="inlineStr">
        <is>
          <t>M068</t>
        </is>
      </c>
      <c r="B69" t="inlineStr">
        <is>
          <t>Grupo L</t>
        </is>
      </c>
      <c r="C69">
        <f>Porra_Grupos!C115</f>
        <v/>
      </c>
      <c r="D69">
        <f>IF(Porra_Grupos!D115="","",Porra_Grupos!D115)</f>
        <v/>
      </c>
      <c r="E69">
        <f>IF(Porra_Grupos!F115="","",Porra_Grupos!F115)</f>
        <v/>
      </c>
      <c r="F69">
        <f>Porra_Grupos!G115</f>
        <v/>
      </c>
      <c r="G69" t="inlineStr">
        <is>
          <t>-</t>
        </is>
      </c>
      <c r="H69" t="inlineStr">
        <is>
          <t>-</t>
        </is>
      </c>
      <c r="J69">
        <f>IF(OR(D69="",E69=""),0,IF(D69&gt;E69,3,IF(D69=E69,1,0)))</f>
        <v/>
      </c>
      <c r="K69">
        <f>IF(OR(D69="",E69=""),0,IF(E69&gt;D69,3,IF(D69=E69,1,0)))</f>
        <v/>
      </c>
      <c r="L69">
        <f>IF(OR(D69="",E69=""),0,D69)</f>
        <v/>
      </c>
      <c r="M69">
        <f>IF(OR(D69="",E69=""),0,E69)</f>
        <v/>
      </c>
    </row>
    <row r="70">
      <c r="A70" t="inlineStr">
        <is>
          <t>M069</t>
        </is>
      </c>
      <c r="B70" t="inlineStr">
        <is>
          <t>Grupo L</t>
        </is>
      </c>
      <c r="C70">
        <f>Porra_Grupos!C116</f>
        <v/>
      </c>
      <c r="D70">
        <f>IF(Porra_Grupos!D116="","",Porra_Grupos!D116)</f>
        <v/>
      </c>
      <c r="E70">
        <f>IF(Porra_Grupos!F116="","",Porra_Grupos!F116)</f>
        <v/>
      </c>
      <c r="F70">
        <f>Porra_Grupos!G116</f>
        <v/>
      </c>
      <c r="G70" t="inlineStr">
        <is>
          <t>-</t>
        </is>
      </c>
      <c r="H70" t="inlineStr">
        <is>
          <t>-</t>
        </is>
      </c>
      <c r="J70">
        <f>IF(OR(D70="",E70=""),0,IF(D70&gt;E70,3,IF(D70=E70,1,0)))</f>
        <v/>
      </c>
      <c r="K70">
        <f>IF(OR(D70="",E70=""),0,IF(E70&gt;D70,3,IF(D70=E70,1,0)))</f>
        <v/>
      </c>
      <c r="L70">
        <f>IF(OR(D70="",E70=""),0,D70)</f>
        <v/>
      </c>
      <c r="M70">
        <f>IF(OR(D70="",E70=""),0,E70)</f>
        <v/>
      </c>
    </row>
    <row r="71">
      <c r="A71" t="inlineStr">
        <is>
          <t>M070</t>
        </is>
      </c>
      <c r="B71" t="inlineStr">
        <is>
          <t>Grupo L</t>
        </is>
      </c>
      <c r="C71">
        <f>Porra_Grupos!C117</f>
        <v/>
      </c>
      <c r="D71">
        <f>IF(Porra_Grupos!D117="","",Porra_Grupos!D117)</f>
        <v/>
      </c>
      <c r="E71">
        <f>IF(Porra_Grupos!F117="","",Porra_Grupos!F117)</f>
        <v/>
      </c>
      <c r="F71">
        <f>Porra_Grupos!G117</f>
        <v/>
      </c>
      <c r="G71" t="inlineStr">
        <is>
          <t>-</t>
        </is>
      </c>
      <c r="H71" t="inlineStr">
        <is>
          <t>-</t>
        </is>
      </c>
      <c r="J71">
        <f>IF(OR(D71="",E71=""),0,IF(D71&gt;E71,3,IF(D71=E71,1,0)))</f>
        <v/>
      </c>
      <c r="K71">
        <f>IF(OR(D71="",E71=""),0,IF(E71&gt;D71,3,IF(D71=E71,1,0)))</f>
        <v/>
      </c>
      <c r="L71">
        <f>IF(OR(D71="",E71=""),0,D71)</f>
        <v/>
      </c>
      <c r="M71">
        <f>IF(OR(D71="",E71=""),0,E71)</f>
        <v/>
      </c>
    </row>
    <row r="72">
      <c r="A72" t="inlineStr">
        <is>
          <t>M071</t>
        </is>
      </c>
      <c r="B72" t="inlineStr">
        <is>
          <t>Grupo L</t>
        </is>
      </c>
      <c r="C72">
        <f>Porra_Grupos!C118</f>
        <v/>
      </c>
      <c r="D72">
        <f>IF(Porra_Grupos!D118="","",Porra_Grupos!D118)</f>
        <v/>
      </c>
      <c r="E72">
        <f>IF(Porra_Grupos!F118="","",Porra_Grupos!F118)</f>
        <v/>
      </c>
      <c r="F72">
        <f>Porra_Grupos!G118</f>
        <v/>
      </c>
      <c r="G72" t="inlineStr">
        <is>
          <t>-</t>
        </is>
      </c>
      <c r="H72" t="inlineStr">
        <is>
          <t>-</t>
        </is>
      </c>
      <c r="J72">
        <f>IF(OR(D72="",E72=""),0,IF(D72&gt;E72,3,IF(D72=E72,1,0)))</f>
        <v/>
      </c>
      <c r="K72">
        <f>IF(OR(D72="",E72=""),0,IF(E72&gt;D72,3,IF(D72=E72,1,0)))</f>
        <v/>
      </c>
      <c r="L72">
        <f>IF(OR(D72="",E72=""),0,D72)</f>
        <v/>
      </c>
      <c r="M72">
        <f>IF(OR(D72="",E72=""),0,E72)</f>
        <v/>
      </c>
    </row>
    <row r="73">
      <c r="A73" t="inlineStr">
        <is>
          <t>M072</t>
        </is>
      </c>
      <c r="B73" t="inlineStr">
        <is>
          <t>Grupo L</t>
        </is>
      </c>
      <c r="C73">
        <f>Porra_Grupos!C119</f>
        <v/>
      </c>
      <c r="D73">
        <f>IF(Porra_Grupos!D119="","",Porra_Grupos!D119)</f>
        <v/>
      </c>
      <c r="E73">
        <f>IF(Porra_Grupos!F119="","",Porra_Grupos!F119)</f>
        <v/>
      </c>
      <c r="F73">
        <f>Porra_Grupos!G119</f>
        <v/>
      </c>
      <c r="G73" t="inlineStr">
        <is>
          <t>-</t>
        </is>
      </c>
      <c r="H73" t="inlineStr">
        <is>
          <t>-</t>
        </is>
      </c>
      <c r="J73">
        <f>IF(OR(D73="",E73=""),0,IF(D73&gt;E73,3,IF(D73=E73,1,0)))</f>
        <v/>
      </c>
      <c r="K73">
        <f>IF(OR(D73="",E73=""),0,IF(E73&gt;D73,3,IF(D73=E73,1,0)))</f>
        <v/>
      </c>
      <c r="L73">
        <f>IF(OR(D73="",E73=""),0,D73)</f>
        <v/>
      </c>
      <c r="M73">
        <f>IF(OR(D73="",E73=""),0,E73)</f>
        <v/>
      </c>
    </row>
    <row r="79" ht="16" customHeight="1" s="47">
      <c r="I79" s="41" t="inlineStr">
        <is>
          <t>FIFA Rank</t>
        </is>
      </c>
      <c r="J79" s="42" t="inlineStr">
        <is>
          <t>Fair Play</t>
        </is>
      </c>
      <c r="K79" s="42" t="inlineStr">
        <is>
          <t>Desempate Manual</t>
        </is>
      </c>
      <c r="L79" s="59" t="inlineStr">
        <is>
          <t>Total GF</t>
        </is>
      </c>
      <c r="M79" s="59" t="inlineStr">
        <is>
          <t>Total GC</t>
        </is>
      </c>
    </row>
    <row r="80">
      <c r="A80" s="2" t="inlineStr">
        <is>
          <t>Grupo A</t>
        </is>
      </c>
    </row>
    <row r="81" ht="16" customHeight="1" s="47">
      <c r="A81" s="15" t="inlineStr">
        <is>
          <t>Mexico</t>
        </is>
      </c>
      <c r="B81" s="15">
        <f>SUMIFS(J$2:J$73, C$2:C$73, A81) + SUMIFS(K$2:K$73, F$2:F$73, A81)</f>
        <v/>
      </c>
      <c r="C81" s="15">
        <f>SUMIFS(L$2:L$73, C$2:C$73, A81) + SUMIFS(M$2:M$73, F$2:F$73, A81)</f>
        <v/>
      </c>
      <c r="D81" s="15">
        <f>SUMIFS(M$2:M$73, C$2:C$73, A81) + SUMIFS(L$2:L$73, F$2:F$73, A81)</f>
        <v/>
      </c>
      <c r="E81" s="15">
        <f>C81-D81</f>
        <v/>
      </c>
      <c r="F81" s="15">
        <f>B81+(E81+50)*0.001+C81*0.000001+K81*0.00000001+(100-J81)*0.0000000001+(300-I81)*0.000000000001</f>
        <v/>
      </c>
      <c r="G81" s="15">
        <f>RANK(F81, $F$81:$F$84)</f>
        <v/>
      </c>
      <c r="H81" s="15">
        <f>INDEX($A$81:$A$84, MATCH(1, $G$81:$G$84, 0))</f>
        <v/>
      </c>
      <c r="I81" s="15" t="n">
        <v>17</v>
      </c>
      <c r="J81" s="43" t="n">
        <v>0</v>
      </c>
      <c r="K81" s="43" t="n">
        <v>0</v>
      </c>
      <c r="L81" s="60">
        <f>C81 + SUMIFS(D$198:D$231, C$198:C$231, A81) + SUMIFS(E$198:E$231, F$198:F$231, A81)</f>
        <v/>
      </c>
      <c r="M81" s="60">
        <f>D81 + SUMIFS(E$198:E$231, C$198:C$231, A81) + SUMIFS(D$198:D$231, F$198:F$231, A81)</f>
        <v/>
      </c>
    </row>
    <row r="82" ht="16" customHeight="1" s="47">
      <c r="A82" s="15" t="inlineStr">
        <is>
          <t>Sudafrica</t>
        </is>
      </c>
      <c r="B82" s="15">
        <f>SUMIFS(J$2:J$73, C$2:C$73, A82) + SUMIFS(K$2:K$73, F$2:F$73, A82)</f>
        <v/>
      </c>
      <c r="C82" s="15">
        <f>SUMIFS(L$2:L$73, C$2:C$73, A82) + SUMIFS(M$2:M$73, F$2:F$73, A82)</f>
        <v/>
      </c>
      <c r="D82" s="15">
        <f>SUMIFS(M$2:M$73, C$2:C$73, A82) + SUMIFS(L$2:L$73, F$2:F$73, A82)</f>
        <v/>
      </c>
      <c r="E82" s="15">
        <f>C82-D82</f>
        <v/>
      </c>
      <c r="F82" s="15">
        <f>B82+(E82+50)*0.001+C82*0.000001+K82*0.00000001+(100-J82)*0.0000000001+(300-I82)*0.000000000001</f>
        <v/>
      </c>
      <c r="G82" s="15">
        <f>RANK(F82, $F$81:$F$84)</f>
        <v/>
      </c>
      <c r="H82" s="15">
        <f>INDEX($A$81:$A$84, MATCH(2, $G$81:$G$84, 0))</f>
        <v/>
      </c>
      <c r="I82" s="15" t="n">
        <v>59</v>
      </c>
      <c r="J82" s="43" t="n">
        <v>0</v>
      </c>
      <c r="K82" s="43" t="n">
        <v>0</v>
      </c>
      <c r="L82" s="60">
        <f>C82 + SUMIFS(D$198:D$231, C$198:C$231, A82) + SUMIFS(E$198:E$231, F$198:F$231, A82)</f>
        <v/>
      </c>
      <c r="M82" s="60">
        <f>D82 + SUMIFS(E$198:E$231, C$198:C$231, A82) + SUMIFS(D$198:D$231, F$198:F$231, A82)</f>
        <v/>
      </c>
    </row>
    <row r="83" ht="16" customHeight="1" s="47">
      <c r="A83" s="15" t="inlineStr">
        <is>
          <t>Corea del Sur</t>
        </is>
      </c>
      <c r="B83" s="15">
        <f>SUMIFS(J$2:J$73, C$2:C$73, A83) + SUMIFS(K$2:K$73, F$2:F$73, A83)</f>
        <v/>
      </c>
      <c r="C83" s="15">
        <f>SUMIFS(L$2:L$73, C$2:C$73, A83) + SUMIFS(M$2:M$73, F$2:F$73, A83)</f>
        <v/>
      </c>
      <c r="D83" s="15">
        <f>SUMIFS(M$2:M$73, C$2:C$73, A83) + SUMIFS(L$2:L$73, F$2:F$73, A83)</f>
        <v/>
      </c>
      <c r="E83" s="15">
        <f>C83-D83</f>
        <v/>
      </c>
      <c r="F83" s="15">
        <f>B83+(E83+50)*0.001+C83*0.000001+K83*0.00000001+(100-J83)*0.0000000001+(300-I83)*0.000000000001</f>
        <v/>
      </c>
      <c r="G83" s="15">
        <f>RANK(F83, $F$81:$F$84)</f>
        <v/>
      </c>
      <c r="H83" s="15">
        <f>INDEX($A$81:$A$84, MATCH(3, $G$81:$G$84, 0))</f>
        <v/>
      </c>
      <c r="I83" s="15" t="n">
        <v>24</v>
      </c>
      <c r="J83" s="43" t="n">
        <v>0</v>
      </c>
      <c r="K83" s="43" t="n">
        <v>0</v>
      </c>
      <c r="L83" s="60">
        <f>C83 + SUMIFS(D$198:D$231, C$198:C$231, A83) + SUMIFS(E$198:E$231, F$198:F$231, A83)</f>
        <v/>
      </c>
      <c r="M83" s="60">
        <f>D83 + SUMIFS(E$198:E$231, C$198:C$231, A83) + SUMIFS(D$198:D$231, F$198:F$231, A83)</f>
        <v/>
      </c>
    </row>
    <row r="84" ht="16" customHeight="1" s="47">
      <c r="A84" s="15" t="inlineStr">
        <is>
          <t>Rep. Checa</t>
        </is>
      </c>
      <c r="B84" s="15">
        <f>SUMIFS(J$2:J$73, C$2:C$73, A84) + SUMIFS(K$2:K$73, F$2:F$73, A84)</f>
        <v/>
      </c>
      <c r="C84" s="15">
        <f>SUMIFS(L$2:L$73, C$2:C$73, A84) + SUMIFS(M$2:M$73, F$2:F$73, A84)</f>
        <v/>
      </c>
      <c r="D84" s="15">
        <f>SUMIFS(M$2:M$73, C$2:C$73, A84) + SUMIFS(L$2:L$73, F$2:F$73, A84)</f>
        <v/>
      </c>
      <c r="E84" s="15">
        <f>C84-D84</f>
        <v/>
      </c>
      <c r="F84" s="15">
        <f>B84+(E84+50)*0.001+C84*0.000001+K84*0.00000001+(100-J84)*0.0000000001+(300-I84)*0.000000000001</f>
        <v/>
      </c>
      <c r="G84" s="15">
        <f>RANK(F84, $F$81:$F$84)</f>
        <v/>
      </c>
      <c r="H84" s="15">
        <f>INDEX($A$81:$A$84, MATCH(4, $G$81:$G$84, 0))</f>
        <v/>
      </c>
      <c r="I84" s="15" t="n">
        <v>36</v>
      </c>
      <c r="J84" s="43" t="n">
        <v>0</v>
      </c>
      <c r="K84" s="43" t="n">
        <v>0</v>
      </c>
      <c r="L84" s="60">
        <f>C84 + SUMIFS(D$198:D$231, C$198:C$231, A84) + SUMIFS(E$198:E$231, F$198:F$231, A84)</f>
        <v/>
      </c>
      <c r="M84" s="60">
        <f>D84 + SUMIFS(E$198:E$231, C$198:C$231, A84) + SUMIFS(D$198:D$231, F$198:F$231, A84)</f>
        <v/>
      </c>
    </row>
    <row r="86">
      <c r="A86" s="2" t="inlineStr">
        <is>
          <t>Grupo B</t>
        </is>
      </c>
    </row>
    <row r="87" ht="16" customHeight="1" s="47">
      <c r="A87" s="15" t="inlineStr">
        <is>
          <t>Canada</t>
        </is>
      </c>
      <c r="B87" s="15">
        <f>SUMIFS(J$2:J$73, C$2:C$73, A87) + SUMIFS(K$2:K$73, F$2:F$73, A87)</f>
        <v/>
      </c>
      <c r="C87" s="15">
        <f>SUMIFS(L$2:L$73, C$2:C$73, A87) + SUMIFS(M$2:M$73, F$2:F$73, A87)</f>
        <v/>
      </c>
      <c r="D87" s="15">
        <f>SUMIFS(M$2:M$73, C$2:C$73, A87) + SUMIFS(L$2:L$73, F$2:F$73, A87)</f>
        <v/>
      </c>
      <c r="E87" s="15">
        <f>C87-D87</f>
        <v/>
      </c>
      <c r="F87" s="15">
        <f>B87+(E87+50)*0.001+C87*0.000001+K87*0.00000001+(100-J87)*0.0000000001+(300-I87)*0.000000000001</f>
        <v/>
      </c>
      <c r="G87" s="15">
        <f>RANK(F87, $F$87:$F$90)</f>
        <v/>
      </c>
      <c r="H87" s="15">
        <f>INDEX($A$87:$A$90, MATCH(1, $G$87:$G$90, 0))</f>
        <v/>
      </c>
      <c r="I87" s="15" t="n">
        <v>40</v>
      </c>
      <c r="J87" s="43" t="n">
        <v>0</v>
      </c>
      <c r="K87" s="43" t="n">
        <v>0</v>
      </c>
      <c r="L87" s="60">
        <f>C87 + SUMIFS(D$198:D$231, C$198:C$231, A87) + SUMIFS(E$198:E$231, F$198:F$231, A87)</f>
        <v/>
      </c>
      <c r="M87" s="60">
        <f>D87 + SUMIFS(E$198:E$231, C$198:C$231, A87) + SUMIFS(D$198:D$231, F$198:F$231, A87)</f>
        <v/>
      </c>
    </row>
    <row r="88" ht="16" customHeight="1" s="47">
      <c r="A88" s="15" t="inlineStr">
        <is>
          <t>Bosnia y Herzegovina</t>
        </is>
      </c>
      <c r="B88" s="15">
        <f>SUMIFS(J$2:J$73, C$2:C$73, A88) + SUMIFS(K$2:K$73, F$2:F$73, A88)</f>
        <v/>
      </c>
      <c r="C88" s="15">
        <f>SUMIFS(L$2:L$73, C$2:C$73, A88) + SUMIFS(M$2:M$73, F$2:F$73, A88)</f>
        <v/>
      </c>
      <c r="D88" s="15">
        <f>SUMIFS(M$2:M$73, C$2:C$73, A88) + SUMIFS(L$2:L$73, F$2:F$73, A88)</f>
        <v/>
      </c>
      <c r="E88" s="15">
        <f>C88-D88</f>
        <v/>
      </c>
      <c r="F88" s="15">
        <f>B88+(E88+50)*0.001+C88*0.000001+K88*0.00000001+(100-J88)*0.0000000001+(300-I88)*0.000000000001</f>
        <v/>
      </c>
      <c r="G88" s="15">
        <f>RANK(F88, $F$87:$F$90)</f>
        <v/>
      </c>
      <c r="H88" s="15">
        <f>INDEX($A$87:$A$90, MATCH(2, $G$87:$G$90, 0))</f>
        <v/>
      </c>
      <c r="I88" s="15" t="n">
        <v>74</v>
      </c>
      <c r="J88" s="43" t="n">
        <v>0</v>
      </c>
      <c r="K88" s="43" t="n">
        <v>0</v>
      </c>
      <c r="L88" s="60">
        <f>C88 + SUMIFS(D$198:D$231, C$198:C$231, A88) + SUMIFS(E$198:E$231, F$198:F$231, A88)</f>
        <v/>
      </c>
      <c r="M88" s="60">
        <f>D88 + SUMIFS(E$198:E$231, C$198:C$231, A88) + SUMIFS(D$198:D$231, F$198:F$231, A88)</f>
        <v/>
      </c>
    </row>
    <row r="89" ht="16" customHeight="1" s="47">
      <c r="A89" s="15" t="inlineStr">
        <is>
          <t>Catar</t>
        </is>
      </c>
      <c r="B89" s="15">
        <f>SUMIFS(J$2:J$73, C$2:C$73, A89) + SUMIFS(K$2:K$73, F$2:F$73, A89)</f>
        <v/>
      </c>
      <c r="C89" s="15">
        <f>SUMIFS(L$2:L$73, C$2:C$73, A89) + SUMIFS(M$2:M$73, F$2:F$73, A89)</f>
        <v/>
      </c>
      <c r="D89" s="15">
        <f>SUMIFS(M$2:M$73, C$2:C$73, A89) + SUMIFS(L$2:L$73, F$2:F$73, A89)</f>
        <v/>
      </c>
      <c r="E89" s="15">
        <f>C89-D89</f>
        <v/>
      </c>
      <c r="F89" s="15">
        <f>B89+(E89+50)*0.001+C89*0.000001+K89*0.00000001+(100-J89)*0.0000000001+(300-I89)*0.000000000001</f>
        <v/>
      </c>
      <c r="G89" s="15">
        <f>RANK(F89, $F$87:$F$90)</f>
        <v/>
      </c>
      <c r="H89" s="15">
        <f>INDEX($A$87:$A$90, MATCH(3, $G$87:$G$90, 0))</f>
        <v/>
      </c>
      <c r="I89" s="15" t="n">
        <v>34</v>
      </c>
      <c r="J89" s="43" t="n">
        <v>0</v>
      </c>
      <c r="K89" s="43" t="n">
        <v>0</v>
      </c>
      <c r="L89" s="60">
        <f>C89 + SUMIFS(D$198:D$231, C$198:C$231, A89) + SUMIFS(E$198:E$231, F$198:F$231, A89)</f>
        <v/>
      </c>
      <c r="M89" s="60">
        <f>D89 + SUMIFS(E$198:E$231, C$198:C$231, A89) + SUMIFS(D$198:D$231, F$198:F$231, A89)</f>
        <v/>
      </c>
    </row>
    <row r="90" ht="16" customHeight="1" s="47">
      <c r="A90" s="15" t="inlineStr">
        <is>
          <t>Suiza</t>
        </is>
      </c>
      <c r="B90" s="15">
        <f>SUMIFS(J$2:J$73, C$2:C$73, A90) + SUMIFS(K$2:K$73, F$2:F$73, A90)</f>
        <v/>
      </c>
      <c r="C90" s="15">
        <f>SUMIFS(L$2:L$73, C$2:C$73, A90) + SUMIFS(M$2:M$73, F$2:F$73, A90)</f>
        <v/>
      </c>
      <c r="D90" s="15">
        <f>SUMIFS(M$2:M$73, C$2:C$73, A90) + SUMIFS(L$2:L$73, F$2:F$73, A90)</f>
        <v/>
      </c>
      <c r="E90" s="15">
        <f>C90-D90</f>
        <v/>
      </c>
      <c r="F90" s="15">
        <f>B90+(E90+50)*0.001+C90*0.000001+K90*0.00000001+(100-J90)*0.0000000001+(300-I90)*0.000000000001</f>
        <v/>
      </c>
      <c r="G90" s="15">
        <f>RANK(F90, $F$87:$F$90)</f>
        <v/>
      </c>
      <c r="H90" s="15">
        <f>INDEX($A$87:$A$90, MATCH(4, $G$87:$G$90, 0))</f>
        <v/>
      </c>
      <c r="I90" s="15" t="n">
        <v>15</v>
      </c>
      <c r="J90" s="43" t="n">
        <v>0</v>
      </c>
      <c r="K90" s="43" t="n">
        <v>0</v>
      </c>
      <c r="L90" s="60">
        <f>C90 + SUMIFS(D$198:D$231, C$198:C$231, A90) + SUMIFS(E$198:E$231, F$198:F$231, A90)</f>
        <v/>
      </c>
      <c r="M90" s="60">
        <f>D90 + SUMIFS(E$198:E$231, C$198:C$231, A90) + SUMIFS(D$198:D$231, F$198:F$231, A90)</f>
        <v/>
      </c>
    </row>
    <row r="92">
      <c r="A92" s="2" t="inlineStr">
        <is>
          <t>Grupo C</t>
        </is>
      </c>
    </row>
    <row r="93" ht="16" customHeight="1" s="47">
      <c r="A93" s="15" t="inlineStr">
        <is>
          <t>Brasil</t>
        </is>
      </c>
      <c r="B93" s="15">
        <f>SUMIFS(J$2:J$73, C$2:C$73, A93) + SUMIFS(K$2:K$73, F$2:F$73, A93)</f>
        <v/>
      </c>
      <c r="C93" s="15">
        <f>SUMIFS(L$2:L$73, C$2:C$73, A93) + SUMIFS(M$2:M$73, F$2:F$73, A93)</f>
        <v/>
      </c>
      <c r="D93" s="15">
        <f>SUMIFS(M$2:M$73, C$2:C$73, A93) + SUMIFS(L$2:L$73, F$2:F$73, A93)</f>
        <v/>
      </c>
      <c r="E93" s="15">
        <f>C93-D93</f>
        <v/>
      </c>
      <c r="F93" s="15">
        <f>B93+(E93+50)*0.001+C93*0.000001+K93*0.00000001+(100-J93)*0.0000000001+(300-I93)*0.000000000001</f>
        <v/>
      </c>
      <c r="G93" s="15">
        <f>RANK(F93, $F$93:$F$96)</f>
        <v/>
      </c>
      <c r="H93" s="15">
        <f>INDEX($A$93:$A$96, MATCH(1, $G$93:$G$96, 0))</f>
        <v/>
      </c>
      <c r="I93" s="15" t="n">
        <v>5</v>
      </c>
      <c r="J93" s="43" t="n">
        <v>0</v>
      </c>
      <c r="K93" s="43" t="n">
        <v>0</v>
      </c>
      <c r="L93" s="60">
        <f>C93 + SUMIFS(D$198:D$231, C$198:C$231, A93) + SUMIFS(E$198:E$231, F$198:F$231, A93)</f>
        <v/>
      </c>
      <c r="M93" s="60">
        <f>D93 + SUMIFS(E$198:E$231, C$198:C$231, A93) + SUMIFS(D$198:D$231, F$198:F$231, A93)</f>
        <v/>
      </c>
    </row>
    <row r="94" ht="16" customHeight="1" s="47">
      <c r="A94" s="15" t="inlineStr">
        <is>
          <t>Marruecos</t>
        </is>
      </c>
      <c r="B94" s="15">
        <f>SUMIFS(J$2:J$73, C$2:C$73, A94) + SUMIFS(K$2:K$73, F$2:F$73, A94)</f>
        <v/>
      </c>
      <c r="C94" s="15">
        <f>SUMIFS(L$2:L$73, C$2:C$73, A94) + SUMIFS(M$2:M$73, F$2:F$73, A94)</f>
        <v/>
      </c>
      <c r="D94" s="15">
        <f>SUMIFS(M$2:M$73, C$2:C$73, A94) + SUMIFS(L$2:L$73, F$2:F$73, A94)</f>
        <v/>
      </c>
      <c r="E94" s="15">
        <f>C94-D94</f>
        <v/>
      </c>
      <c r="F94" s="15">
        <f>B94+(E94+50)*0.001+C94*0.000001+K94*0.00000001+(100-J94)*0.0000000001+(300-I94)*0.000000000001</f>
        <v/>
      </c>
      <c r="G94" s="15">
        <f>RANK(F94, $F$93:$F$96)</f>
        <v/>
      </c>
      <c r="H94" s="15">
        <f>INDEX($A$93:$A$96, MATCH(2, $G$93:$G$96, 0))</f>
        <v/>
      </c>
      <c r="I94" s="15" t="n">
        <v>13</v>
      </c>
      <c r="J94" s="43" t="n">
        <v>0</v>
      </c>
      <c r="K94" s="43" t="n">
        <v>0</v>
      </c>
      <c r="L94" s="60">
        <f>C94 + SUMIFS(D$198:D$231, C$198:C$231, A94) + SUMIFS(E$198:E$231, F$198:F$231, A94)</f>
        <v/>
      </c>
      <c r="M94" s="60">
        <f>D94 + SUMIFS(E$198:E$231, C$198:C$231, A94) + SUMIFS(D$198:D$231, F$198:F$231, A94)</f>
        <v/>
      </c>
    </row>
    <row r="95" ht="16" customHeight="1" s="47">
      <c r="A95" s="15" t="inlineStr">
        <is>
          <t>Haiti</t>
        </is>
      </c>
      <c r="B95" s="15">
        <f>SUMIFS(J$2:J$73, C$2:C$73, A95) + SUMIFS(K$2:K$73, F$2:F$73, A95)</f>
        <v/>
      </c>
      <c r="C95" s="15">
        <f>SUMIFS(L$2:L$73, C$2:C$73, A95) + SUMIFS(M$2:M$73, F$2:F$73, A95)</f>
        <v/>
      </c>
      <c r="D95" s="15">
        <f>SUMIFS(M$2:M$73, C$2:C$73, A95) + SUMIFS(L$2:L$73, F$2:F$73, A95)</f>
        <v/>
      </c>
      <c r="E95" s="15">
        <f>C95-D95</f>
        <v/>
      </c>
      <c r="F95" s="15">
        <f>B95+(E95+50)*0.001+C95*0.000001+K95*0.00000001+(100-J95)*0.0000000001+(300-I95)*0.000000000001</f>
        <v/>
      </c>
      <c r="G95" s="15">
        <f>RANK(F95, $F$93:$F$96)</f>
        <v/>
      </c>
      <c r="H95" s="15">
        <f>INDEX($A$93:$A$96, MATCH(3, $G$93:$G$96, 0))</f>
        <v/>
      </c>
      <c r="I95" s="15" t="n">
        <v>86</v>
      </c>
      <c r="J95" s="43" t="n">
        <v>0</v>
      </c>
      <c r="K95" s="43" t="n">
        <v>0</v>
      </c>
      <c r="L95" s="60">
        <f>C95 + SUMIFS(D$198:D$231, C$198:C$231, A95) + SUMIFS(E$198:E$231, F$198:F$231, A95)</f>
        <v/>
      </c>
      <c r="M95" s="60">
        <f>D95 + SUMIFS(E$198:E$231, C$198:C$231, A95) + SUMIFS(D$198:D$231, F$198:F$231, A95)</f>
        <v/>
      </c>
    </row>
    <row r="96" ht="16" customHeight="1" s="47">
      <c r="A96" s="15" t="inlineStr">
        <is>
          <t>Escocia</t>
        </is>
      </c>
      <c r="B96" s="15">
        <f>SUMIFS(J$2:J$73, C$2:C$73, A96) + SUMIFS(K$2:K$73, F$2:F$73, A96)</f>
        <v/>
      </c>
      <c r="C96" s="15">
        <f>SUMIFS(L$2:L$73, C$2:C$73, A96) + SUMIFS(M$2:M$73, F$2:F$73, A96)</f>
        <v/>
      </c>
      <c r="D96" s="15">
        <f>SUMIFS(M$2:M$73, C$2:C$73, A96) + SUMIFS(L$2:L$73, F$2:F$73, A96)</f>
        <v/>
      </c>
      <c r="E96" s="15">
        <f>C96-D96</f>
        <v/>
      </c>
      <c r="F96" s="15">
        <f>B96+(E96+50)*0.001+C96*0.000001+K96*0.00000001+(100-J96)*0.0000000001+(300-I96)*0.000000000001</f>
        <v/>
      </c>
      <c r="G96" s="15">
        <f>RANK(F96, $F$93:$F$96)</f>
        <v/>
      </c>
      <c r="H96" s="15">
        <f>INDEX($A$93:$A$96, MATCH(4, $G$93:$G$96, 0))</f>
        <v/>
      </c>
      <c r="I96" s="15" t="n">
        <v>39</v>
      </c>
      <c r="J96" s="43" t="n">
        <v>0</v>
      </c>
      <c r="K96" s="43" t="n">
        <v>0</v>
      </c>
      <c r="L96" s="60">
        <f>C96 + SUMIFS(D$198:D$231, C$198:C$231, A96) + SUMIFS(E$198:E$231, F$198:F$231, A96)</f>
        <v/>
      </c>
      <c r="M96" s="60">
        <f>D96 + SUMIFS(E$198:E$231, C$198:C$231, A96) + SUMIFS(D$198:D$231, F$198:F$231, A96)</f>
        <v/>
      </c>
    </row>
    <row r="98">
      <c r="A98" s="2" t="inlineStr">
        <is>
          <t>Grupo D</t>
        </is>
      </c>
    </row>
    <row r="99" ht="16" customHeight="1" s="47">
      <c r="A99" s="15" t="inlineStr">
        <is>
          <t>Estados Unidos</t>
        </is>
      </c>
      <c r="B99" s="15">
        <f>SUMIFS(J$2:J$73, C$2:C$73, A99) + SUMIFS(K$2:K$73, F$2:F$73, A99)</f>
        <v/>
      </c>
      <c r="C99" s="15">
        <f>SUMIFS(L$2:L$73, C$2:C$73, A99) + SUMIFS(M$2:M$73, F$2:F$73, A99)</f>
        <v/>
      </c>
      <c r="D99" s="15">
        <f>SUMIFS(M$2:M$73, C$2:C$73, A99) + SUMIFS(L$2:L$73, F$2:F$73, A99)</f>
        <v/>
      </c>
      <c r="E99" s="15">
        <f>C99-D99</f>
        <v/>
      </c>
      <c r="F99" s="15">
        <f>B99+(E99+50)*0.001+C99*0.000001+K99*0.00000001+(100-J99)*0.0000000001+(300-I99)*0.000000000001</f>
        <v/>
      </c>
      <c r="G99" s="15">
        <f>RANK(F99, $F$99:$F$102)</f>
        <v/>
      </c>
      <c r="H99" s="15">
        <f>INDEX($A$99:$A$102, MATCH(1, $G$99:$G$102, 0))</f>
        <v/>
      </c>
      <c r="I99" s="15" t="n">
        <v>16</v>
      </c>
      <c r="J99" s="43" t="n">
        <v>0</v>
      </c>
      <c r="K99" s="43" t="n">
        <v>0</v>
      </c>
      <c r="L99" s="60">
        <f>C99 + SUMIFS(D$198:D$231, C$198:C$231, A99) + SUMIFS(E$198:E$231, F$198:F$231, A99)</f>
        <v/>
      </c>
      <c r="M99" s="60">
        <f>D99 + SUMIFS(E$198:E$231, C$198:C$231, A99) + SUMIFS(D$198:D$231, F$198:F$231, A99)</f>
        <v/>
      </c>
    </row>
    <row r="100" ht="16" customHeight="1" s="47">
      <c r="A100" s="15" t="inlineStr">
        <is>
          <t>Paraguay</t>
        </is>
      </c>
      <c r="B100" s="15">
        <f>SUMIFS(J$2:J$73, C$2:C$73, A100) + SUMIFS(K$2:K$73, F$2:F$73, A100)</f>
        <v/>
      </c>
      <c r="C100" s="15">
        <f>SUMIFS(L$2:L$73, C$2:C$73, A100) + SUMIFS(M$2:M$73, F$2:F$73, A100)</f>
        <v/>
      </c>
      <c r="D100" s="15">
        <f>SUMIFS(M$2:M$73, C$2:C$73, A100) + SUMIFS(L$2:L$73, F$2:F$73, A100)</f>
        <v/>
      </c>
      <c r="E100" s="15">
        <f>C100-D100</f>
        <v/>
      </c>
      <c r="F100" s="15">
        <f>B100+(E100+50)*0.001+C100*0.000001+K100*0.00000001+(100-J100)*0.0000000001+(300-I100)*0.000000000001</f>
        <v/>
      </c>
      <c r="G100" s="15">
        <f>RANK(F100, $F$99:$F$102)</f>
        <v/>
      </c>
      <c r="H100" s="15">
        <f>INDEX($A$99:$A$102, MATCH(2, $G$99:$G$102, 0))</f>
        <v/>
      </c>
      <c r="I100" s="15" t="n">
        <v>56</v>
      </c>
      <c r="J100" s="43" t="n">
        <v>0</v>
      </c>
      <c r="K100" s="43" t="n">
        <v>0</v>
      </c>
      <c r="L100" s="60">
        <f>C100 + SUMIFS(D$198:D$231, C$198:C$231, A100) + SUMIFS(E$198:E$231, F$198:F$231, A100)</f>
        <v/>
      </c>
      <c r="M100" s="60">
        <f>D100 + SUMIFS(E$198:E$231, C$198:C$231, A100) + SUMIFS(D$198:D$231, F$198:F$231, A100)</f>
        <v/>
      </c>
    </row>
    <row r="101" ht="16" customHeight="1" s="47">
      <c r="A101" s="15" t="inlineStr">
        <is>
          <t>Australia</t>
        </is>
      </c>
      <c r="B101" s="15">
        <f>SUMIFS(J$2:J$73, C$2:C$73, A101) + SUMIFS(K$2:K$73, F$2:F$73, A101)</f>
        <v/>
      </c>
      <c r="C101" s="15">
        <f>SUMIFS(L$2:L$73, C$2:C$73, A101) + SUMIFS(M$2:M$73, F$2:F$73, A101)</f>
        <v/>
      </c>
      <c r="D101" s="15">
        <f>SUMIFS(M$2:M$73, C$2:C$73, A101) + SUMIFS(L$2:L$73, F$2:F$73, A101)</f>
        <v/>
      </c>
      <c r="E101" s="15">
        <f>C101-D101</f>
        <v/>
      </c>
      <c r="F101" s="15">
        <f>B101+(E101+50)*0.001+C101*0.000001+K101*0.00000001+(100-J101)*0.0000000001+(300-I101)*0.000000000001</f>
        <v/>
      </c>
      <c r="G101" s="15">
        <f>RANK(F101, $F$99:$F$102)</f>
        <v/>
      </c>
      <c r="H101" s="15">
        <f>INDEX($A$99:$A$102, MATCH(3, $G$99:$G$102, 0))</f>
        <v/>
      </c>
      <c r="I101" s="15" t="n">
        <v>25</v>
      </c>
      <c r="J101" s="43" t="n">
        <v>0</v>
      </c>
      <c r="K101" s="43" t="n">
        <v>0</v>
      </c>
      <c r="L101" s="60">
        <f>C101 + SUMIFS(D$198:D$231, C$198:C$231, A101) + SUMIFS(E$198:E$231, F$198:F$231, A101)</f>
        <v/>
      </c>
      <c r="M101" s="60">
        <f>D101 + SUMIFS(E$198:E$231, C$198:C$231, A101) + SUMIFS(D$198:D$231, F$198:F$231, A101)</f>
        <v/>
      </c>
    </row>
    <row r="102" ht="16" customHeight="1" s="47">
      <c r="A102" s="15" t="inlineStr">
        <is>
          <t>Turquia</t>
        </is>
      </c>
      <c r="B102" s="15">
        <f>SUMIFS(J$2:J$73, C$2:C$73, A102) + SUMIFS(K$2:K$73, F$2:F$73, A102)</f>
        <v/>
      </c>
      <c r="C102" s="15">
        <f>SUMIFS(L$2:L$73, C$2:C$73, A102) + SUMIFS(M$2:M$73, F$2:F$73, A102)</f>
        <v/>
      </c>
      <c r="D102" s="15">
        <f>SUMIFS(M$2:M$73, C$2:C$73, A102) + SUMIFS(L$2:L$73, F$2:F$73, A102)</f>
        <v/>
      </c>
      <c r="E102" s="15">
        <f>C102-D102</f>
        <v/>
      </c>
      <c r="F102" s="15">
        <f>B102+(E102+50)*0.001+C102*0.000001+K102*0.00000001+(100-J102)*0.0000000001+(300-I102)*0.000000000001</f>
        <v/>
      </c>
      <c r="G102" s="15">
        <f>RANK(F102, $F$99:$F$102)</f>
        <v/>
      </c>
      <c r="H102" s="15">
        <f>INDEX($A$99:$A$102, MATCH(4, $G$99:$G$102, 0))</f>
        <v/>
      </c>
      <c r="I102" s="15" t="n">
        <v>35</v>
      </c>
      <c r="J102" s="43" t="n">
        <v>0</v>
      </c>
      <c r="K102" s="43" t="n">
        <v>0</v>
      </c>
      <c r="L102" s="60">
        <f>C102 + SUMIFS(D$198:D$231, C$198:C$231, A102) + SUMIFS(E$198:E$231, F$198:F$231, A102)</f>
        <v/>
      </c>
      <c r="M102" s="60">
        <f>D102 + SUMIFS(E$198:E$231, C$198:C$231, A102) + SUMIFS(D$198:D$231, F$198:F$231, A102)</f>
        <v/>
      </c>
    </row>
    <row r="104">
      <c r="A104" s="2" t="inlineStr">
        <is>
          <t>Grupo E</t>
        </is>
      </c>
    </row>
    <row r="105" ht="16" customHeight="1" s="47">
      <c r="A105" s="15" t="inlineStr">
        <is>
          <t>Alemania</t>
        </is>
      </c>
      <c r="B105" s="15">
        <f>SUMIFS(J$2:J$73, C$2:C$73, A105) + SUMIFS(K$2:K$73, F$2:F$73, A105)</f>
        <v/>
      </c>
      <c r="C105" s="15">
        <f>SUMIFS(L$2:L$73, C$2:C$73, A105) + SUMIFS(M$2:M$73, F$2:F$73, A105)</f>
        <v/>
      </c>
      <c r="D105" s="15">
        <f>SUMIFS(M$2:M$73, C$2:C$73, A105) + SUMIFS(L$2:L$73, F$2:F$73, A105)</f>
        <v/>
      </c>
      <c r="E105" s="15">
        <f>C105-D105</f>
        <v/>
      </c>
      <c r="F105" s="15">
        <f>B105+(E105+50)*0.001+C105*0.000001+K105*0.00000001+(100-J105)*0.0000000001+(300-I105)*0.000000000001</f>
        <v/>
      </c>
      <c r="G105" s="15">
        <f>RANK(F105, $F$105:$F$108)</f>
        <v/>
      </c>
      <c r="H105" s="15">
        <f>INDEX($A$105:$A$108, MATCH(1, $G$105:$G$108, 0))</f>
        <v/>
      </c>
      <c r="I105" s="15" t="n">
        <v>11</v>
      </c>
      <c r="J105" s="43" t="n">
        <v>0</v>
      </c>
      <c r="K105" s="43" t="n">
        <v>0</v>
      </c>
      <c r="L105" s="60">
        <f>C105 + SUMIFS(D$198:D$231, C$198:C$231, A105) + SUMIFS(E$198:E$231, F$198:F$231, A105)</f>
        <v/>
      </c>
      <c r="M105" s="60">
        <f>D105 + SUMIFS(E$198:E$231, C$198:C$231, A105) + SUMIFS(D$198:D$231, F$198:F$231, A105)</f>
        <v/>
      </c>
    </row>
    <row r="106" ht="16" customHeight="1" s="47">
      <c r="A106" s="15" t="inlineStr">
        <is>
          <t>Curazao</t>
        </is>
      </c>
      <c r="B106" s="15">
        <f>SUMIFS(J$2:J$73, C$2:C$73, A106) + SUMIFS(K$2:K$73, F$2:F$73, A106)</f>
        <v/>
      </c>
      <c r="C106" s="15">
        <f>SUMIFS(L$2:L$73, C$2:C$73, A106) + SUMIFS(M$2:M$73, F$2:F$73, A106)</f>
        <v/>
      </c>
      <c r="D106" s="15">
        <f>SUMIFS(M$2:M$73, C$2:C$73, A106) + SUMIFS(L$2:L$73, F$2:F$73, A106)</f>
        <v/>
      </c>
      <c r="E106" s="15">
        <f>C106-D106</f>
        <v/>
      </c>
      <c r="F106" s="15">
        <f>B106+(E106+50)*0.001+C106*0.000001+K106*0.00000001+(100-J106)*0.0000000001+(300-I106)*0.000000000001</f>
        <v/>
      </c>
      <c r="G106" s="15">
        <f>RANK(F106, $F$105:$F$108)</f>
        <v/>
      </c>
      <c r="H106" s="15">
        <f>INDEX($A$105:$A$108, MATCH(2, $G$105:$G$108, 0))</f>
        <v/>
      </c>
      <c r="I106" s="15" t="n">
        <v>90</v>
      </c>
      <c r="J106" s="43" t="n">
        <v>0</v>
      </c>
      <c r="K106" s="43" t="n">
        <v>0</v>
      </c>
      <c r="L106" s="60">
        <f>C106 + SUMIFS(D$198:D$231, C$198:C$231, A106) + SUMIFS(E$198:E$231, F$198:F$231, A106)</f>
        <v/>
      </c>
      <c r="M106" s="60">
        <f>D106 + SUMIFS(E$198:E$231, C$198:C$231, A106) + SUMIFS(D$198:D$231, F$198:F$231, A106)</f>
        <v/>
      </c>
    </row>
    <row r="107" ht="16" customHeight="1" s="47">
      <c r="A107" s="15" t="inlineStr">
        <is>
          <t>Costa de Marfil</t>
        </is>
      </c>
      <c r="B107" s="15">
        <f>SUMIFS(J$2:J$73, C$2:C$73, A107) + SUMIFS(K$2:K$73, F$2:F$73, A107)</f>
        <v/>
      </c>
      <c r="C107" s="15">
        <f>SUMIFS(L$2:L$73, C$2:C$73, A107) + SUMIFS(M$2:M$73, F$2:F$73, A107)</f>
        <v/>
      </c>
      <c r="D107" s="15">
        <f>SUMIFS(M$2:M$73, C$2:C$73, A107) + SUMIFS(L$2:L$73, F$2:F$73, A107)</f>
        <v/>
      </c>
      <c r="E107" s="15">
        <f>C107-D107</f>
        <v/>
      </c>
      <c r="F107" s="15">
        <f>B107+(E107+50)*0.001+C107*0.000001+K107*0.00000001+(100-J107)*0.0000000001+(300-I107)*0.000000000001</f>
        <v/>
      </c>
      <c r="G107" s="15">
        <f>RANK(F107, $F$105:$F$108)</f>
        <v/>
      </c>
      <c r="H107" s="15">
        <f>INDEX($A$105:$A$108, MATCH(3, $G$105:$G$108, 0))</f>
        <v/>
      </c>
      <c r="I107" s="15" t="n">
        <v>38</v>
      </c>
      <c r="J107" s="43" t="n">
        <v>0</v>
      </c>
      <c r="K107" s="43" t="n">
        <v>0</v>
      </c>
      <c r="L107" s="60">
        <f>C107 + SUMIFS(D$198:D$231, C$198:C$231, A107) + SUMIFS(E$198:E$231, F$198:F$231, A107)</f>
        <v/>
      </c>
      <c r="M107" s="60">
        <f>D107 + SUMIFS(E$198:E$231, C$198:C$231, A107) + SUMIFS(D$198:D$231, F$198:F$231, A107)</f>
        <v/>
      </c>
    </row>
    <row r="108" ht="16" customHeight="1" s="47">
      <c r="A108" s="15" t="inlineStr">
        <is>
          <t>Ecuador</t>
        </is>
      </c>
      <c r="B108" s="15">
        <f>SUMIFS(J$2:J$73, C$2:C$73, A108) + SUMIFS(K$2:K$73, F$2:F$73, A108)</f>
        <v/>
      </c>
      <c r="C108" s="15">
        <f>SUMIFS(L$2:L$73, C$2:C$73, A108) + SUMIFS(M$2:M$73, F$2:F$73, A108)</f>
        <v/>
      </c>
      <c r="D108" s="15">
        <f>SUMIFS(M$2:M$73, C$2:C$73, A108) + SUMIFS(L$2:L$73, F$2:F$73, A108)</f>
        <v/>
      </c>
      <c r="E108" s="15">
        <f>C108-D108</f>
        <v/>
      </c>
      <c r="F108" s="15">
        <f>B108+(E108+50)*0.001+C108*0.000001+K108*0.00000001+(100-J108)*0.0000000001+(300-I108)*0.000000000001</f>
        <v/>
      </c>
      <c r="G108" s="15">
        <f>RANK(F108, $F$105:$F$108)</f>
        <v/>
      </c>
      <c r="H108" s="15">
        <f>INDEX($A$105:$A$108, MATCH(4, $G$105:$G$108, 0))</f>
        <v/>
      </c>
      <c r="I108" s="15" t="n">
        <v>30</v>
      </c>
      <c r="J108" s="43" t="n">
        <v>0</v>
      </c>
      <c r="K108" s="43" t="n">
        <v>0</v>
      </c>
      <c r="L108" s="60">
        <f>C108 + SUMIFS(D$198:D$231, C$198:C$231, A108) + SUMIFS(E$198:E$231, F$198:F$231, A108)</f>
        <v/>
      </c>
      <c r="M108" s="60">
        <f>D108 + SUMIFS(E$198:E$231, C$198:C$231, A108) + SUMIFS(D$198:D$231, F$198:F$231, A108)</f>
        <v/>
      </c>
    </row>
    <row r="110">
      <c r="A110" s="2" t="inlineStr">
        <is>
          <t>Grupo F</t>
        </is>
      </c>
    </row>
    <row r="111" ht="16" customHeight="1" s="47">
      <c r="A111" s="15" t="inlineStr">
        <is>
          <t>Paises Bajos</t>
        </is>
      </c>
      <c r="B111" s="15">
        <f>SUMIFS(J$2:J$73, C$2:C$73, A111) + SUMIFS(K$2:K$73, F$2:F$73, A111)</f>
        <v/>
      </c>
      <c r="C111" s="15">
        <f>SUMIFS(L$2:L$73, C$2:C$73, A111) + SUMIFS(M$2:M$73, F$2:F$73, A111)</f>
        <v/>
      </c>
      <c r="D111" s="15">
        <f>SUMIFS(M$2:M$73, C$2:C$73, A111) + SUMIFS(L$2:L$73, F$2:F$73, A111)</f>
        <v/>
      </c>
      <c r="E111" s="15">
        <f>C111-D111</f>
        <v/>
      </c>
      <c r="F111" s="15">
        <f>B111+(E111+50)*0.001+C111*0.000001+K111*0.00000001+(100-J111)*0.0000000001+(300-I111)*0.000000000001</f>
        <v/>
      </c>
      <c r="G111" s="15">
        <f>RANK(F111, $F$111:$F$114)</f>
        <v/>
      </c>
      <c r="H111" s="15">
        <f>INDEX($A$111:$A$114, MATCH(1, $G$111:$G$114, 0))</f>
        <v/>
      </c>
      <c r="I111" s="15" t="n">
        <v>7</v>
      </c>
      <c r="J111" s="43" t="n">
        <v>0</v>
      </c>
      <c r="K111" s="43" t="n">
        <v>0</v>
      </c>
      <c r="L111" s="60">
        <f>C111 + SUMIFS(D$198:D$231, C$198:C$231, A111) + SUMIFS(E$198:E$231, F$198:F$231, A111)</f>
        <v/>
      </c>
      <c r="M111" s="60">
        <f>D111 + SUMIFS(E$198:E$231, C$198:C$231, A111) + SUMIFS(D$198:D$231, F$198:F$231, A111)</f>
        <v/>
      </c>
    </row>
    <row r="112" ht="16" customHeight="1" s="47">
      <c r="A112" s="15" t="inlineStr">
        <is>
          <t>Japon</t>
        </is>
      </c>
      <c r="B112" s="15">
        <f>SUMIFS(J$2:J$73, C$2:C$73, A112) + SUMIFS(K$2:K$73, F$2:F$73, A112)</f>
        <v/>
      </c>
      <c r="C112" s="15">
        <f>SUMIFS(L$2:L$73, C$2:C$73, A112) + SUMIFS(M$2:M$73, F$2:F$73, A112)</f>
        <v/>
      </c>
      <c r="D112" s="15">
        <f>SUMIFS(M$2:M$73, C$2:C$73, A112) + SUMIFS(L$2:L$73, F$2:F$73, A112)</f>
        <v/>
      </c>
      <c r="E112" s="15">
        <f>C112-D112</f>
        <v/>
      </c>
      <c r="F112" s="15">
        <f>B112+(E112+50)*0.001+C112*0.000001+K112*0.00000001+(100-J112)*0.0000000001+(300-I112)*0.000000000001</f>
        <v/>
      </c>
      <c r="G112" s="15">
        <f>RANK(F112, $F$111:$F$114)</f>
        <v/>
      </c>
      <c r="H112" s="15">
        <f>INDEX($A$111:$A$114, MATCH(2, $G$111:$G$114, 0))</f>
        <v/>
      </c>
      <c r="I112" s="15" t="n">
        <v>18</v>
      </c>
      <c r="J112" s="43" t="n">
        <v>0</v>
      </c>
      <c r="K112" s="43" t="n">
        <v>0</v>
      </c>
      <c r="L112" s="60">
        <f>C112 + SUMIFS(D$198:D$231, C$198:C$231, A112) + SUMIFS(E$198:E$231, F$198:F$231, A112)</f>
        <v/>
      </c>
      <c r="M112" s="60">
        <f>D112 + SUMIFS(E$198:E$231, C$198:C$231, A112) + SUMIFS(D$198:D$231, F$198:F$231, A112)</f>
        <v/>
      </c>
    </row>
    <row r="113" ht="16" customHeight="1" s="47">
      <c r="A113" s="15" t="inlineStr">
        <is>
          <t>Suecia</t>
        </is>
      </c>
      <c r="B113" s="15">
        <f>SUMIFS(J$2:J$73, C$2:C$73, A113) + SUMIFS(K$2:K$73, F$2:F$73, A113)</f>
        <v/>
      </c>
      <c r="C113" s="15">
        <f>SUMIFS(L$2:L$73, C$2:C$73, A113) + SUMIFS(M$2:M$73, F$2:F$73, A113)</f>
        <v/>
      </c>
      <c r="D113" s="15">
        <f>SUMIFS(M$2:M$73, C$2:C$73, A113) + SUMIFS(L$2:L$73, F$2:F$73, A113)</f>
        <v/>
      </c>
      <c r="E113" s="15">
        <f>C113-D113</f>
        <v/>
      </c>
      <c r="F113" s="15">
        <f>B113+(E113+50)*0.001+C113*0.000001+K113*0.00000001+(100-J113)*0.0000000001+(300-I113)*0.000000000001</f>
        <v/>
      </c>
      <c r="G113" s="15">
        <f>RANK(F113, $F$111:$F$114)</f>
        <v/>
      </c>
      <c r="H113" s="15">
        <f>INDEX($A$111:$A$114, MATCH(3, $G$111:$G$114, 0))</f>
        <v/>
      </c>
      <c r="I113" s="15" t="n">
        <v>23</v>
      </c>
      <c r="J113" s="43" t="n">
        <v>0</v>
      </c>
      <c r="K113" s="43" t="n">
        <v>0</v>
      </c>
      <c r="L113" s="60">
        <f>C113 + SUMIFS(D$198:D$231, C$198:C$231, A113) + SUMIFS(E$198:E$231, F$198:F$231, A113)</f>
        <v/>
      </c>
      <c r="M113" s="60">
        <f>D113 + SUMIFS(E$198:E$231, C$198:C$231, A113) + SUMIFS(D$198:D$231, F$198:F$231, A113)</f>
        <v/>
      </c>
    </row>
    <row r="114" ht="16" customHeight="1" s="47">
      <c r="A114" s="15" t="inlineStr">
        <is>
          <t>Tunez</t>
        </is>
      </c>
      <c r="B114" s="15">
        <f>SUMIFS(J$2:J$73, C$2:C$73, A114) + SUMIFS(K$2:K$73, F$2:F$73, A114)</f>
        <v/>
      </c>
      <c r="C114" s="15">
        <f>SUMIFS(L$2:L$73, C$2:C$73, A114) + SUMIFS(M$2:M$73, F$2:F$73, A114)</f>
        <v/>
      </c>
      <c r="D114" s="15">
        <f>SUMIFS(M$2:M$73, C$2:C$73, A114) + SUMIFS(L$2:L$73, F$2:F$73, A114)</f>
        <v/>
      </c>
      <c r="E114" s="15">
        <f>C114-D114</f>
        <v/>
      </c>
      <c r="F114" s="15">
        <f>B114+(E114+50)*0.001+C114*0.000001+K114*0.00000001+(100-J114)*0.0000000001+(300-I114)*0.000000000001</f>
        <v/>
      </c>
      <c r="G114" s="15">
        <f>RANK(F114, $F$111:$F$114)</f>
        <v/>
      </c>
      <c r="H114" s="15">
        <f>INDEX($A$111:$A$114, MATCH(4, $G$111:$G$114, 0))</f>
        <v/>
      </c>
      <c r="I114" s="15" t="n">
        <v>41</v>
      </c>
      <c r="J114" s="43" t="n">
        <v>0</v>
      </c>
      <c r="K114" s="43" t="n">
        <v>0</v>
      </c>
      <c r="L114" s="60">
        <f>C114 + SUMIFS(D$198:D$231, C$198:C$231, A114) + SUMIFS(E$198:E$231, F$198:F$231, A114)</f>
        <v/>
      </c>
      <c r="M114" s="60">
        <f>D114 + SUMIFS(E$198:E$231, C$198:C$231, A114) + SUMIFS(D$198:D$231, F$198:F$231, A114)</f>
        <v/>
      </c>
    </row>
    <row r="116">
      <c r="A116" s="2" t="inlineStr">
        <is>
          <t>Grupo G</t>
        </is>
      </c>
    </row>
    <row r="117" ht="16" customHeight="1" s="47">
      <c r="A117" s="15" t="inlineStr">
        <is>
          <t>Belgica</t>
        </is>
      </c>
      <c r="B117" s="15">
        <f>SUMIFS(J$2:J$73, C$2:C$73, A117) + SUMIFS(K$2:K$73, F$2:F$73, A117)</f>
        <v/>
      </c>
      <c r="C117" s="15">
        <f>SUMIFS(L$2:L$73, C$2:C$73, A117) + SUMIFS(M$2:M$73, F$2:F$73, A117)</f>
        <v/>
      </c>
      <c r="D117" s="15">
        <f>SUMIFS(M$2:M$73, C$2:C$73, A117) + SUMIFS(L$2:L$73, F$2:F$73, A117)</f>
        <v/>
      </c>
      <c r="E117" s="15">
        <f>C117-D117</f>
        <v/>
      </c>
      <c r="F117" s="15">
        <f>B117+(E117+50)*0.001+C117*0.000001+K117*0.00000001+(100-J117)*0.0000000001+(300-I117)*0.000000000001</f>
        <v/>
      </c>
      <c r="G117" s="15">
        <f>RANK(F117, $F$117:$F$120)</f>
        <v/>
      </c>
      <c r="H117" s="15">
        <f>INDEX($A$117:$A$120, MATCH(1, $G$117:$G$120, 0))</f>
        <v/>
      </c>
      <c r="I117" s="15" t="n">
        <v>6</v>
      </c>
      <c r="J117" s="43" t="n">
        <v>0</v>
      </c>
      <c r="K117" s="43" t="n">
        <v>0</v>
      </c>
      <c r="L117" s="60">
        <f>C117 + SUMIFS(D$198:D$231, C$198:C$231, A117) + SUMIFS(E$198:E$231, F$198:F$231, A117)</f>
        <v/>
      </c>
      <c r="M117" s="60">
        <f>D117 + SUMIFS(E$198:E$231, C$198:C$231, A117) + SUMIFS(D$198:D$231, F$198:F$231, A117)</f>
        <v/>
      </c>
    </row>
    <row r="118" ht="16" customHeight="1" s="47">
      <c r="A118" s="15" t="inlineStr">
        <is>
          <t>Egipto</t>
        </is>
      </c>
      <c r="B118" s="15">
        <f>SUMIFS(J$2:J$73, C$2:C$73, A118) + SUMIFS(K$2:K$73, F$2:F$73, A118)</f>
        <v/>
      </c>
      <c r="C118" s="15">
        <f>SUMIFS(L$2:L$73, C$2:C$73, A118) + SUMIFS(M$2:M$73, F$2:F$73, A118)</f>
        <v/>
      </c>
      <c r="D118" s="15">
        <f>SUMIFS(M$2:M$73, C$2:C$73, A118) + SUMIFS(L$2:L$73, F$2:F$73, A118)</f>
        <v/>
      </c>
      <c r="E118" s="15">
        <f>C118-D118</f>
        <v/>
      </c>
      <c r="F118" s="15">
        <f>B118+(E118+50)*0.001+C118*0.000001+K118*0.00000001+(100-J118)*0.0000000001+(300-I118)*0.000000000001</f>
        <v/>
      </c>
      <c r="G118" s="15">
        <f>RANK(F118, $F$117:$F$120)</f>
        <v/>
      </c>
      <c r="H118" s="15">
        <f>INDEX($A$117:$A$120, MATCH(2, $G$117:$G$120, 0))</f>
        <v/>
      </c>
      <c r="I118" s="15" t="n">
        <v>37</v>
      </c>
      <c r="J118" s="43" t="n">
        <v>0</v>
      </c>
      <c r="K118" s="43" t="n">
        <v>0</v>
      </c>
      <c r="L118" s="60">
        <f>C118 + SUMIFS(D$198:D$231, C$198:C$231, A118) + SUMIFS(E$198:E$231, F$198:F$231, A118)</f>
        <v/>
      </c>
      <c r="M118" s="60">
        <f>D118 + SUMIFS(E$198:E$231, C$198:C$231, A118) + SUMIFS(D$198:D$231, F$198:F$231, A118)</f>
        <v/>
      </c>
    </row>
    <row r="119" ht="16" customHeight="1" s="47">
      <c r="A119" s="15" t="inlineStr">
        <is>
          <t>Iran</t>
        </is>
      </c>
      <c r="B119" s="15">
        <f>SUMIFS(J$2:J$73, C$2:C$73, A119) + SUMIFS(K$2:K$73, F$2:F$73, A119)</f>
        <v/>
      </c>
      <c r="C119" s="15">
        <f>SUMIFS(L$2:L$73, C$2:C$73, A119) + SUMIFS(M$2:M$73, F$2:F$73, A119)</f>
        <v/>
      </c>
      <c r="D119" s="15">
        <f>SUMIFS(M$2:M$73, C$2:C$73, A119) + SUMIFS(L$2:L$73, F$2:F$73, A119)</f>
        <v/>
      </c>
      <c r="E119" s="15">
        <f>C119-D119</f>
        <v/>
      </c>
      <c r="F119" s="15">
        <f>B119+(E119+50)*0.001+C119*0.000001+K119*0.00000001+(100-J119)*0.0000000001+(300-I119)*0.000000000001</f>
        <v/>
      </c>
      <c r="G119" s="15">
        <f>RANK(F119, $F$117:$F$120)</f>
        <v/>
      </c>
      <c r="H119" s="15">
        <f>INDEX($A$117:$A$120, MATCH(3, $G$117:$G$120, 0))</f>
        <v/>
      </c>
      <c r="I119" s="15" t="n">
        <v>20</v>
      </c>
      <c r="J119" s="43" t="n">
        <v>0</v>
      </c>
      <c r="K119" s="43" t="n">
        <v>0</v>
      </c>
      <c r="L119" s="60">
        <f>C119 + SUMIFS(D$198:D$231, C$198:C$231, A119) + SUMIFS(E$198:E$231, F$198:F$231, A119)</f>
        <v/>
      </c>
      <c r="M119" s="60">
        <f>D119 + SUMIFS(E$198:E$231, C$198:C$231, A119) + SUMIFS(D$198:D$231, F$198:F$231, A119)</f>
        <v/>
      </c>
    </row>
    <row r="120" ht="16" customHeight="1" s="47">
      <c r="A120" s="15" t="inlineStr">
        <is>
          <t>Nueva Zelanda</t>
        </is>
      </c>
      <c r="B120" s="15">
        <f>SUMIFS(J$2:J$73, C$2:C$73, A120) + SUMIFS(K$2:K$73, F$2:F$73, A120)</f>
        <v/>
      </c>
      <c r="C120" s="15">
        <f>SUMIFS(L$2:L$73, C$2:C$73, A120) + SUMIFS(M$2:M$73, F$2:F$73, A120)</f>
        <v/>
      </c>
      <c r="D120" s="15">
        <f>SUMIFS(M$2:M$73, C$2:C$73, A120) + SUMIFS(L$2:L$73, F$2:F$73, A120)</f>
        <v/>
      </c>
      <c r="E120" s="15">
        <f>C120-D120</f>
        <v/>
      </c>
      <c r="F120" s="15">
        <f>B120+(E120+50)*0.001+C120*0.000001+K120*0.00000001+(100-J120)*0.0000000001+(300-I120)*0.000000000001</f>
        <v/>
      </c>
      <c r="G120" s="15">
        <f>RANK(F120, $F$117:$F$120)</f>
        <v/>
      </c>
      <c r="H120" s="15">
        <f>INDEX($A$117:$A$120, MATCH(4, $G$117:$G$120, 0))</f>
        <v/>
      </c>
      <c r="I120" s="15" t="n">
        <v>103</v>
      </c>
      <c r="J120" s="43" t="n">
        <v>0</v>
      </c>
      <c r="K120" s="43" t="n">
        <v>0</v>
      </c>
      <c r="L120" s="60">
        <f>C120 + SUMIFS(D$198:D$231, C$198:C$231, A120) + SUMIFS(E$198:E$231, F$198:F$231, A120)</f>
        <v/>
      </c>
      <c r="M120" s="60">
        <f>D120 + SUMIFS(E$198:E$231, C$198:C$231, A120) + SUMIFS(D$198:D$231, F$198:F$231, A120)</f>
        <v/>
      </c>
    </row>
    <row r="122">
      <c r="A122" s="2" t="inlineStr">
        <is>
          <t>Grupo H</t>
        </is>
      </c>
    </row>
    <row r="123" ht="16" customHeight="1" s="47">
      <c r="A123" s="15" t="inlineStr">
        <is>
          <t>Espana</t>
        </is>
      </c>
      <c r="B123" s="15">
        <f>SUMIFS(J$2:J$73, C$2:C$73, A123) + SUMIFS(K$2:K$73, F$2:F$73, A123)</f>
        <v/>
      </c>
      <c r="C123" s="15">
        <f>SUMIFS(L$2:L$73, C$2:C$73, A123) + SUMIFS(M$2:M$73, F$2:F$73, A123)</f>
        <v/>
      </c>
      <c r="D123" s="15">
        <f>SUMIFS(M$2:M$73, C$2:C$73, A123) + SUMIFS(L$2:L$73, F$2:F$73, A123)</f>
        <v/>
      </c>
      <c r="E123" s="15">
        <f>C123-D123</f>
        <v/>
      </c>
      <c r="F123" s="15">
        <f>B123+(E123+50)*0.001+C123*0.000001+K123*0.00000001+(100-J123)*0.0000000001+(300-I123)*0.000000000001</f>
        <v/>
      </c>
      <c r="G123" s="15">
        <f>RANK(F123, $F$123:$F$126)</f>
        <v/>
      </c>
      <c r="H123" s="15">
        <f>INDEX($A$123:$A$126, MATCH(1, $G$123:$G$126, 0))</f>
        <v/>
      </c>
      <c r="I123" s="15" t="n">
        <v>3</v>
      </c>
      <c r="J123" s="43" t="n">
        <v>0</v>
      </c>
      <c r="K123" s="43" t="n">
        <v>0</v>
      </c>
      <c r="L123" s="60">
        <f>C123 + SUMIFS(D$198:D$231, C$198:C$231, A123) + SUMIFS(E$198:E$231, F$198:F$231, A123)</f>
        <v/>
      </c>
      <c r="M123" s="60">
        <f>D123 + SUMIFS(E$198:E$231, C$198:C$231, A123) + SUMIFS(D$198:D$231, F$198:F$231, A123)</f>
        <v/>
      </c>
    </row>
    <row r="124" ht="16" customHeight="1" s="47">
      <c r="A124" s="15" t="inlineStr">
        <is>
          <t>Cabo Verde</t>
        </is>
      </c>
      <c r="B124" s="15">
        <f>SUMIFS(J$2:J$73, C$2:C$73, A124) + SUMIFS(K$2:K$73, F$2:F$73, A124)</f>
        <v/>
      </c>
      <c r="C124" s="15">
        <f>SUMIFS(L$2:L$73, C$2:C$73, A124) + SUMIFS(M$2:M$73, F$2:F$73, A124)</f>
        <v/>
      </c>
      <c r="D124" s="15">
        <f>SUMIFS(M$2:M$73, C$2:C$73, A124) + SUMIFS(L$2:L$73, F$2:F$73, A124)</f>
        <v/>
      </c>
      <c r="E124" s="15">
        <f>C124-D124</f>
        <v/>
      </c>
      <c r="F124" s="15">
        <f>B124+(E124+50)*0.001+C124*0.000001+K124*0.00000001+(100-J124)*0.0000000001+(300-I124)*0.000000000001</f>
        <v/>
      </c>
      <c r="G124" s="15">
        <f>RANK(F124, $F$123:$F$126)</f>
        <v/>
      </c>
      <c r="H124" s="15">
        <f>INDEX($A$123:$A$126, MATCH(2, $G$123:$G$126, 0))</f>
        <v/>
      </c>
      <c r="I124" s="15" t="n">
        <v>65</v>
      </c>
      <c r="J124" s="43" t="n">
        <v>0</v>
      </c>
      <c r="K124" s="43" t="n">
        <v>0</v>
      </c>
      <c r="L124" s="60">
        <f>C124 + SUMIFS(D$198:D$231, C$198:C$231, A124) + SUMIFS(E$198:E$231, F$198:F$231, A124)</f>
        <v/>
      </c>
      <c r="M124" s="60">
        <f>D124 + SUMIFS(E$198:E$231, C$198:C$231, A124) + SUMIFS(D$198:D$231, F$198:F$231, A124)</f>
        <v/>
      </c>
    </row>
    <row r="125" ht="16" customHeight="1" s="47">
      <c r="A125" s="15" t="inlineStr">
        <is>
          <t>Arabia Saudi</t>
        </is>
      </c>
      <c r="B125" s="15">
        <f>SUMIFS(J$2:J$73, C$2:C$73, A125) + SUMIFS(K$2:K$73, F$2:F$73, A125)</f>
        <v/>
      </c>
      <c r="C125" s="15">
        <f>SUMIFS(L$2:L$73, C$2:C$73, A125) + SUMIFS(M$2:M$73, F$2:F$73, A125)</f>
        <v/>
      </c>
      <c r="D125" s="15">
        <f>SUMIFS(M$2:M$73, C$2:C$73, A125) + SUMIFS(L$2:L$73, F$2:F$73, A125)</f>
        <v/>
      </c>
      <c r="E125" s="15">
        <f>C125-D125</f>
        <v/>
      </c>
      <c r="F125" s="15">
        <f>B125+(E125+50)*0.001+C125*0.000001+K125*0.00000001+(100-J125)*0.0000000001+(300-I125)*0.000000000001</f>
        <v/>
      </c>
      <c r="G125" s="15">
        <f>RANK(F125, $F$123:$F$126)</f>
        <v/>
      </c>
      <c r="H125" s="15">
        <f>INDEX($A$123:$A$126, MATCH(3, $G$123:$G$126, 0))</f>
        <v/>
      </c>
      <c r="I125" s="15" t="n">
        <v>53</v>
      </c>
      <c r="J125" s="43" t="n">
        <v>0</v>
      </c>
      <c r="K125" s="43" t="n">
        <v>0</v>
      </c>
      <c r="L125" s="60">
        <f>C125 + SUMIFS(D$198:D$231, C$198:C$231, A125) + SUMIFS(E$198:E$231, F$198:F$231, A125)</f>
        <v/>
      </c>
      <c r="M125" s="60">
        <f>D125 + SUMIFS(E$198:E$231, C$198:C$231, A125) + SUMIFS(D$198:D$231, F$198:F$231, A125)</f>
        <v/>
      </c>
    </row>
    <row r="126" ht="16" customHeight="1" s="47">
      <c r="A126" s="15" t="inlineStr">
        <is>
          <t>Uruguay</t>
        </is>
      </c>
      <c r="B126" s="15">
        <f>SUMIFS(J$2:J$73, C$2:C$73, A126) + SUMIFS(K$2:K$73, F$2:F$73, A126)</f>
        <v/>
      </c>
      <c r="C126" s="15">
        <f>SUMIFS(L$2:L$73, C$2:C$73, A126) + SUMIFS(M$2:M$73, F$2:F$73, A126)</f>
        <v/>
      </c>
      <c r="D126" s="15">
        <f>SUMIFS(M$2:M$73, C$2:C$73, A126) + SUMIFS(L$2:L$73, F$2:F$73, A126)</f>
        <v/>
      </c>
      <c r="E126" s="15">
        <f>C126-D126</f>
        <v/>
      </c>
      <c r="F126" s="15">
        <f>B126+(E126+50)*0.001+C126*0.000001+K126*0.00000001+(100-J126)*0.0000000001+(300-I126)*0.000000000001</f>
        <v/>
      </c>
      <c r="G126" s="15">
        <f>RANK(F126, $F$123:$F$126)</f>
        <v/>
      </c>
      <c r="H126" s="15">
        <f>INDEX($A$123:$A$126, MATCH(4, $G$123:$G$126, 0))</f>
        <v/>
      </c>
      <c r="I126" s="15" t="n">
        <v>14</v>
      </c>
      <c r="J126" s="43" t="n">
        <v>0</v>
      </c>
      <c r="K126" s="43" t="n">
        <v>0</v>
      </c>
      <c r="L126" s="60">
        <f>C126 + SUMIFS(D$198:D$231, C$198:C$231, A126) + SUMIFS(E$198:E$231, F$198:F$231, A126)</f>
        <v/>
      </c>
      <c r="M126" s="60">
        <f>D126 + SUMIFS(E$198:E$231, C$198:C$231, A126) + SUMIFS(D$198:D$231, F$198:F$231, A126)</f>
        <v/>
      </c>
    </row>
    <row r="128">
      <c r="A128" s="2" t="inlineStr">
        <is>
          <t>Grupo I</t>
        </is>
      </c>
    </row>
    <row r="129" ht="16" customHeight="1" s="47">
      <c r="A129" s="15" t="inlineStr">
        <is>
          <t>Francia</t>
        </is>
      </c>
      <c r="B129" s="15">
        <f>SUMIFS(J$2:J$73, C$2:C$73, A129) + SUMIFS(K$2:K$73, F$2:F$73, A129)</f>
        <v/>
      </c>
      <c r="C129" s="15">
        <f>SUMIFS(L$2:L$73, C$2:C$73, A129) + SUMIFS(M$2:M$73, F$2:F$73, A129)</f>
        <v/>
      </c>
      <c r="D129" s="15">
        <f>SUMIFS(M$2:M$73, C$2:C$73, A129) + SUMIFS(L$2:L$73, F$2:F$73, A129)</f>
        <v/>
      </c>
      <c r="E129" s="15">
        <f>C129-D129</f>
        <v/>
      </c>
      <c r="F129" s="15">
        <f>B129+(E129+50)*0.001+C129*0.000001+K129*0.00000001+(100-J129)*0.0000000001+(300-I129)*0.000000000001</f>
        <v/>
      </c>
      <c r="G129" s="15">
        <f>RANK(F129, $F$129:$F$132)</f>
        <v/>
      </c>
      <c r="H129" s="15">
        <f>INDEX($A$129:$A$132, MATCH(1, $G$129:$G$132, 0))</f>
        <v/>
      </c>
      <c r="I129" s="15" t="n">
        <v>2</v>
      </c>
      <c r="J129" s="43" t="n">
        <v>0</v>
      </c>
      <c r="K129" s="43" t="n">
        <v>0</v>
      </c>
      <c r="L129" s="60">
        <f>C129 + SUMIFS(D$198:D$231, C$198:C$231, A129) + SUMIFS(E$198:E$231, F$198:F$231, A129)</f>
        <v/>
      </c>
      <c r="M129" s="60">
        <f>D129 + SUMIFS(E$198:E$231, C$198:C$231, A129) + SUMIFS(D$198:D$231, F$198:F$231, A129)</f>
        <v/>
      </c>
    </row>
    <row r="130" ht="16" customHeight="1" s="47">
      <c r="A130" s="15" t="inlineStr">
        <is>
          <t>Senegal</t>
        </is>
      </c>
      <c r="B130" s="15">
        <f>SUMIFS(J$2:J$73, C$2:C$73, A130) + SUMIFS(K$2:K$73, F$2:F$73, A130)</f>
        <v/>
      </c>
      <c r="C130" s="15">
        <f>SUMIFS(L$2:L$73, C$2:C$73, A130) + SUMIFS(M$2:M$73, F$2:F$73, A130)</f>
        <v/>
      </c>
      <c r="D130" s="15">
        <f>SUMIFS(M$2:M$73, C$2:C$73, A130) + SUMIFS(L$2:L$73, F$2:F$73, A130)</f>
        <v/>
      </c>
      <c r="E130" s="15">
        <f>C130-D130</f>
        <v/>
      </c>
      <c r="F130" s="15">
        <f>B130+(E130+50)*0.001+C130*0.000001+K130*0.00000001+(100-J130)*0.0000000001+(300-I130)*0.000000000001</f>
        <v/>
      </c>
      <c r="G130" s="15">
        <f>RANK(F130, $F$129:$F$132)</f>
        <v/>
      </c>
      <c r="H130" s="15">
        <f>INDEX($A$129:$A$132, MATCH(2, $G$129:$G$132, 0))</f>
        <v/>
      </c>
      <c r="I130" s="15" t="n">
        <v>19</v>
      </c>
      <c r="J130" s="43" t="n">
        <v>0</v>
      </c>
      <c r="K130" s="43" t="n">
        <v>0</v>
      </c>
      <c r="L130" s="60">
        <f>C130 + SUMIFS(D$198:D$231, C$198:C$231, A130) + SUMIFS(E$198:E$231, F$198:F$231, A130)</f>
        <v/>
      </c>
      <c r="M130" s="60">
        <f>D130 + SUMIFS(E$198:E$231, C$198:C$231, A130) + SUMIFS(D$198:D$231, F$198:F$231, A130)</f>
        <v/>
      </c>
    </row>
    <row r="131" ht="16" customHeight="1" s="47">
      <c r="A131" s="15" t="inlineStr">
        <is>
          <t>Noruega</t>
        </is>
      </c>
      <c r="B131" s="15">
        <f>SUMIFS(J$2:J$73, C$2:C$73, A131) + SUMIFS(K$2:K$73, F$2:F$73, A131)</f>
        <v/>
      </c>
      <c r="C131" s="15">
        <f>SUMIFS(L$2:L$73, C$2:C$73, A131) + SUMIFS(M$2:M$73, F$2:F$73, A131)</f>
        <v/>
      </c>
      <c r="D131" s="15">
        <f>SUMIFS(M$2:M$73, C$2:C$73, A131) + SUMIFS(L$2:L$73, F$2:F$73, A131)</f>
        <v/>
      </c>
      <c r="E131" s="15">
        <f>C131-D131</f>
        <v/>
      </c>
      <c r="F131" s="15">
        <f>B131+(E131+50)*0.001+C131*0.000001+K131*0.00000001+(100-J131)*0.0000000001+(300-I131)*0.000000000001</f>
        <v/>
      </c>
      <c r="G131" s="15">
        <f>RANK(F131, $F$129:$F$132)</f>
        <v/>
      </c>
      <c r="H131" s="15">
        <f>INDEX($A$129:$A$132, MATCH(3, $G$129:$G$132, 0))</f>
        <v/>
      </c>
      <c r="I131" s="15" t="n">
        <v>45</v>
      </c>
      <c r="J131" s="43" t="n">
        <v>0</v>
      </c>
      <c r="K131" s="43" t="n">
        <v>0</v>
      </c>
      <c r="L131" s="60">
        <f>C131 + SUMIFS(D$198:D$231, C$198:C$231, A131) + SUMIFS(E$198:E$231, F$198:F$231, A131)</f>
        <v/>
      </c>
      <c r="M131" s="60">
        <f>D131 + SUMIFS(E$198:E$231, C$198:C$231, A131) + SUMIFS(D$198:D$231, F$198:F$231, A131)</f>
        <v/>
      </c>
    </row>
    <row r="132" ht="16" customHeight="1" s="47">
      <c r="A132" s="15" t="inlineStr">
        <is>
          <t>Irak</t>
        </is>
      </c>
      <c r="B132" s="15">
        <f>SUMIFS(J$2:J$73, C$2:C$73, A132) + SUMIFS(K$2:K$73, F$2:F$73, A132)</f>
        <v/>
      </c>
      <c r="C132" s="15">
        <f>SUMIFS(L$2:L$73, C$2:C$73, A132) + SUMIFS(M$2:M$73, F$2:F$73, A132)</f>
        <v/>
      </c>
      <c r="D132" s="15">
        <f>SUMIFS(M$2:M$73, C$2:C$73, A132) + SUMIFS(L$2:L$73, F$2:F$73, A132)</f>
        <v/>
      </c>
      <c r="E132" s="15">
        <f>C132-D132</f>
        <v/>
      </c>
      <c r="F132" s="15">
        <f>B132+(E132+50)*0.001+C132*0.000001+K132*0.00000001+(100-J132)*0.0000000001+(300-I132)*0.000000000001</f>
        <v/>
      </c>
      <c r="G132" s="15">
        <f>RANK(F132, $F$129:$F$132)</f>
        <v/>
      </c>
      <c r="H132" s="15">
        <f>INDEX($A$129:$A$132, MATCH(4, $G$129:$G$132, 0))</f>
        <v/>
      </c>
      <c r="I132" s="15" t="n">
        <v>55</v>
      </c>
      <c r="J132" s="43" t="n">
        <v>0</v>
      </c>
      <c r="K132" s="43" t="n">
        <v>0</v>
      </c>
      <c r="L132" s="60">
        <f>C132 + SUMIFS(D$198:D$231, C$198:C$231, A132) + SUMIFS(E$198:E$231, F$198:F$231, A132)</f>
        <v/>
      </c>
      <c r="M132" s="60">
        <f>D132 + SUMIFS(E$198:E$231, C$198:C$231, A132) + SUMIFS(D$198:D$231, F$198:F$231, A132)</f>
        <v/>
      </c>
    </row>
    <row r="134">
      <c r="A134" s="2" t="inlineStr">
        <is>
          <t>Grupo J</t>
        </is>
      </c>
    </row>
    <row r="135" ht="16" customHeight="1" s="47">
      <c r="A135" s="15" t="inlineStr">
        <is>
          <t>Argentina</t>
        </is>
      </c>
      <c r="B135" s="15">
        <f>SUMIFS(J$2:J$73, C$2:C$73, A135) + SUMIFS(K$2:K$73, F$2:F$73, A135)</f>
        <v/>
      </c>
      <c r="C135" s="15">
        <f>SUMIFS(L$2:L$73, C$2:C$73, A135) + SUMIFS(M$2:M$73, F$2:F$73, A135)</f>
        <v/>
      </c>
      <c r="D135" s="15">
        <f>SUMIFS(M$2:M$73, C$2:C$73, A135) + SUMIFS(L$2:L$73, F$2:F$73, A135)</f>
        <v/>
      </c>
      <c r="E135" s="15">
        <f>C135-D135</f>
        <v/>
      </c>
      <c r="F135" s="15">
        <f>B135+(E135+50)*0.001+C135*0.000001+K135*0.00000001+(100-J135)*0.0000000001+(300-I135)*0.000000000001</f>
        <v/>
      </c>
      <c r="G135" s="15">
        <f>RANK(F135, $F$135:$F$138)</f>
        <v/>
      </c>
      <c r="H135" s="15">
        <f>INDEX($A$135:$A$138, MATCH(1, $G$135:$G$138, 0))</f>
        <v/>
      </c>
      <c r="I135" s="15" t="n">
        <v>1</v>
      </c>
      <c r="J135" s="43" t="n">
        <v>0</v>
      </c>
      <c r="K135" s="43" t="n">
        <v>0</v>
      </c>
      <c r="L135" s="60">
        <f>C135 + SUMIFS(D$198:D$231, C$198:C$231, A135) + SUMIFS(E$198:E$231, F$198:F$231, A135)</f>
        <v/>
      </c>
      <c r="M135" s="60">
        <f>D135 + SUMIFS(E$198:E$231, C$198:C$231, A135) + SUMIFS(D$198:D$231, F$198:F$231, A135)</f>
        <v/>
      </c>
    </row>
    <row r="136" ht="16" customHeight="1" s="47">
      <c r="A136" s="15" t="inlineStr">
        <is>
          <t>Argelia</t>
        </is>
      </c>
      <c r="B136" s="15">
        <f>SUMIFS(J$2:J$73, C$2:C$73, A136) + SUMIFS(K$2:K$73, F$2:F$73, A136)</f>
        <v/>
      </c>
      <c r="C136" s="15">
        <f>SUMIFS(L$2:L$73, C$2:C$73, A136) + SUMIFS(M$2:M$73, F$2:F$73, A136)</f>
        <v/>
      </c>
      <c r="D136" s="15">
        <f>SUMIFS(M$2:M$73, C$2:C$73, A136) + SUMIFS(L$2:L$73, F$2:F$73, A136)</f>
        <v/>
      </c>
      <c r="E136" s="15">
        <f>C136-D136</f>
        <v/>
      </c>
      <c r="F136" s="15">
        <f>B136+(E136+50)*0.001+C136*0.000001+K136*0.00000001+(100-J136)*0.0000000001+(300-I136)*0.000000000001</f>
        <v/>
      </c>
      <c r="G136" s="15">
        <f>RANK(F136, $F$135:$F$138)</f>
        <v/>
      </c>
      <c r="H136" s="15">
        <f>INDEX($A$135:$A$138, MATCH(2, $G$135:$G$138, 0))</f>
        <v/>
      </c>
      <c r="I136" s="15" t="n">
        <v>44</v>
      </c>
      <c r="J136" s="43" t="n">
        <v>0</v>
      </c>
      <c r="K136" s="43" t="n">
        <v>0</v>
      </c>
      <c r="L136" s="60">
        <f>C136 + SUMIFS(D$198:D$231, C$198:C$231, A136) + SUMIFS(E$198:E$231, F$198:F$231, A136)</f>
        <v/>
      </c>
      <c r="M136" s="60">
        <f>D136 + SUMIFS(E$198:E$231, C$198:C$231, A136) + SUMIFS(D$198:D$231, F$198:F$231, A136)</f>
        <v/>
      </c>
    </row>
    <row r="137" ht="16" customHeight="1" s="47">
      <c r="A137" s="15" t="inlineStr">
        <is>
          <t>Austria</t>
        </is>
      </c>
      <c r="B137" s="15">
        <f>SUMIFS(J$2:J$73, C$2:C$73, A137) + SUMIFS(K$2:K$73, F$2:F$73, A137)</f>
        <v/>
      </c>
      <c r="C137" s="15">
        <f>SUMIFS(L$2:L$73, C$2:C$73, A137) + SUMIFS(M$2:M$73, F$2:F$73, A137)</f>
        <v/>
      </c>
      <c r="D137" s="15">
        <f>SUMIFS(M$2:M$73, C$2:C$73, A137) + SUMIFS(L$2:L$73, F$2:F$73, A137)</f>
        <v/>
      </c>
      <c r="E137" s="15">
        <f>C137-D137</f>
        <v/>
      </c>
      <c r="F137" s="15">
        <f>B137+(E137+50)*0.001+C137*0.000001+K137*0.00000001+(100-J137)*0.0000000001+(300-I137)*0.000000000001</f>
        <v/>
      </c>
      <c r="G137" s="15">
        <f>RANK(F137, $F$135:$F$138)</f>
        <v/>
      </c>
      <c r="H137" s="15">
        <f>INDEX($A$135:$A$138, MATCH(3, $G$135:$G$138, 0))</f>
        <v/>
      </c>
      <c r="I137" s="15" t="n">
        <v>22</v>
      </c>
      <c r="J137" s="43" t="n">
        <v>0</v>
      </c>
      <c r="K137" s="43" t="n">
        <v>0</v>
      </c>
      <c r="L137" s="60">
        <f>C137 + SUMIFS(D$198:D$231, C$198:C$231, A137) + SUMIFS(E$198:E$231, F$198:F$231, A137)</f>
        <v/>
      </c>
      <c r="M137" s="60">
        <f>D137 + SUMIFS(E$198:E$231, C$198:C$231, A137) + SUMIFS(D$198:D$231, F$198:F$231, A137)</f>
        <v/>
      </c>
    </row>
    <row r="138" ht="16" customHeight="1" s="47">
      <c r="A138" s="15" t="inlineStr">
        <is>
          <t>Jordania</t>
        </is>
      </c>
      <c r="B138" s="15">
        <f>SUMIFS(J$2:J$73, C$2:C$73, A138) + SUMIFS(K$2:K$73, F$2:F$73, A138)</f>
        <v/>
      </c>
      <c r="C138" s="15">
        <f>SUMIFS(L$2:L$73, C$2:C$73, A138) + SUMIFS(M$2:M$73, F$2:F$73, A138)</f>
        <v/>
      </c>
      <c r="D138" s="15">
        <f>SUMIFS(M$2:M$73, C$2:C$73, A138) + SUMIFS(L$2:L$73, F$2:F$73, A138)</f>
        <v/>
      </c>
      <c r="E138" s="15">
        <f>C138-D138</f>
        <v/>
      </c>
      <c r="F138" s="15">
        <f>B138+(E138+50)*0.001+C138*0.000001+K138*0.00000001+(100-J138)*0.0000000001+(300-I138)*0.000000000001</f>
        <v/>
      </c>
      <c r="G138" s="15">
        <f>RANK(F138, $F$135:$F$138)</f>
        <v/>
      </c>
      <c r="H138" s="15">
        <f>INDEX($A$135:$A$138, MATCH(4, $G$135:$G$138, 0))</f>
        <v/>
      </c>
      <c r="I138" s="15" t="n">
        <v>71</v>
      </c>
      <c r="J138" s="43" t="n">
        <v>0</v>
      </c>
      <c r="K138" s="43" t="n">
        <v>0</v>
      </c>
      <c r="L138" s="60">
        <f>C138 + SUMIFS(D$198:D$231, C$198:C$231, A138) + SUMIFS(E$198:E$231, F$198:F$231, A138)</f>
        <v/>
      </c>
      <c r="M138" s="60">
        <f>D138 + SUMIFS(E$198:E$231, C$198:C$231, A138) + SUMIFS(D$198:D$231, F$198:F$231, A138)</f>
        <v/>
      </c>
    </row>
    <row r="140">
      <c r="A140" s="2" t="inlineStr">
        <is>
          <t>Grupo K</t>
        </is>
      </c>
    </row>
    <row r="141" ht="16" customHeight="1" s="47">
      <c r="A141" s="15" t="inlineStr">
        <is>
          <t>Portugal</t>
        </is>
      </c>
      <c r="B141" s="15">
        <f>SUMIFS(J$2:J$73, C$2:C$73, A141) + SUMIFS(K$2:K$73, F$2:F$73, A141)</f>
        <v/>
      </c>
      <c r="C141" s="15">
        <f>SUMIFS(L$2:L$73, C$2:C$73, A141) + SUMIFS(M$2:M$73, F$2:F$73, A141)</f>
        <v/>
      </c>
      <c r="D141" s="15">
        <f>SUMIFS(M$2:M$73, C$2:C$73, A141) + SUMIFS(L$2:L$73, F$2:F$73, A141)</f>
        <v/>
      </c>
      <c r="E141" s="15">
        <f>C141-D141</f>
        <v/>
      </c>
      <c r="F141" s="15">
        <f>B141+(E141+50)*0.001+C141*0.000001+K141*0.00000001+(100-J141)*0.0000000001+(300-I141)*0.000000000001</f>
        <v/>
      </c>
      <c r="G141" s="15">
        <f>RANK(F141, $F$141:$F$144)</f>
        <v/>
      </c>
      <c r="H141" s="15">
        <f>INDEX($A$141:$A$144, MATCH(1, $G$141:$G$144, 0))</f>
        <v/>
      </c>
      <c r="I141" s="15" t="n">
        <v>8</v>
      </c>
      <c r="J141" s="43" t="n">
        <v>0</v>
      </c>
      <c r="K141" s="43" t="n">
        <v>0</v>
      </c>
      <c r="L141" s="60">
        <f>C141 + SUMIFS(D$198:D$231, C$198:C$231, A141) + SUMIFS(E$198:E$231, F$198:F$231, A141)</f>
        <v/>
      </c>
      <c r="M141" s="60">
        <f>D141 + SUMIFS(E$198:E$231, C$198:C$231, A141) + SUMIFS(D$198:D$231, F$198:F$231, A141)</f>
        <v/>
      </c>
    </row>
    <row r="142" ht="16" customHeight="1" s="47">
      <c r="A142" s="15" t="inlineStr">
        <is>
          <t>RD Congo</t>
        </is>
      </c>
      <c r="B142" s="15">
        <f>SUMIFS(J$2:J$73, C$2:C$73, A142) + SUMIFS(K$2:K$73, F$2:F$73, A142)</f>
        <v/>
      </c>
      <c r="C142" s="15">
        <f>SUMIFS(L$2:L$73, C$2:C$73, A142) + SUMIFS(M$2:M$73, F$2:F$73, A142)</f>
        <v/>
      </c>
      <c r="D142" s="15">
        <f>SUMIFS(M$2:M$73, C$2:C$73, A142) + SUMIFS(L$2:L$73, F$2:F$73, A142)</f>
        <v/>
      </c>
      <c r="E142" s="15">
        <f>C142-D142</f>
        <v/>
      </c>
      <c r="F142" s="15">
        <f>B142+(E142+50)*0.001+C142*0.000001+K142*0.00000001+(100-J142)*0.0000000001+(300-I142)*0.000000000001</f>
        <v/>
      </c>
      <c r="G142" s="15">
        <f>RANK(F142, $F$141:$F$144)</f>
        <v/>
      </c>
      <c r="H142" s="15">
        <f>INDEX($A$141:$A$144, MATCH(2, $G$141:$G$144, 0))</f>
        <v/>
      </c>
      <c r="I142" s="15" t="n">
        <v>62</v>
      </c>
      <c r="J142" s="43" t="n">
        <v>0</v>
      </c>
      <c r="K142" s="43" t="n">
        <v>0</v>
      </c>
      <c r="L142" s="60">
        <f>C142 + SUMIFS(D$198:D$231, C$198:C$231, A142) + SUMIFS(E$198:E$231, F$198:F$231, A142)</f>
        <v/>
      </c>
      <c r="M142" s="60">
        <f>D142 + SUMIFS(E$198:E$231, C$198:C$231, A142) + SUMIFS(D$198:D$231, F$198:F$231, A142)</f>
        <v/>
      </c>
    </row>
    <row r="143" ht="16" customHeight="1" s="47">
      <c r="A143" s="15" t="inlineStr">
        <is>
          <t>Uzbekistan</t>
        </is>
      </c>
      <c r="B143" s="15">
        <f>SUMIFS(J$2:J$73, C$2:C$73, A143) + SUMIFS(K$2:K$73, F$2:F$73, A143)</f>
        <v/>
      </c>
      <c r="C143" s="15">
        <f>SUMIFS(L$2:L$73, C$2:C$73, A143) + SUMIFS(M$2:M$73, F$2:F$73, A143)</f>
        <v/>
      </c>
      <c r="D143" s="15">
        <f>SUMIFS(M$2:M$73, C$2:C$73, A143) + SUMIFS(L$2:L$73, F$2:F$73, A143)</f>
        <v/>
      </c>
      <c r="E143" s="15">
        <f>C143-D143</f>
        <v/>
      </c>
      <c r="F143" s="15">
        <f>B143+(E143+50)*0.001+C143*0.000001+K143*0.00000001+(100-J143)*0.0000000001+(300-I143)*0.000000000001</f>
        <v/>
      </c>
      <c r="G143" s="15">
        <f>RANK(F143, $F$141:$F$144)</f>
        <v/>
      </c>
      <c r="H143" s="15">
        <f>INDEX($A$141:$A$144, MATCH(3, $G$141:$G$144, 0))</f>
        <v/>
      </c>
      <c r="I143" s="15" t="n">
        <v>66</v>
      </c>
      <c r="J143" s="43" t="n">
        <v>0</v>
      </c>
      <c r="K143" s="43" t="n">
        <v>0</v>
      </c>
      <c r="L143" s="60">
        <f>C143 + SUMIFS(D$198:D$231, C$198:C$231, A143) + SUMIFS(E$198:E$231, F$198:F$231, A143)</f>
        <v/>
      </c>
      <c r="M143" s="60">
        <f>D143 + SUMIFS(E$198:E$231, C$198:C$231, A143) + SUMIFS(D$198:D$231, F$198:F$231, A143)</f>
        <v/>
      </c>
    </row>
    <row r="144" ht="16" customHeight="1" s="47">
      <c r="A144" s="15" t="inlineStr">
        <is>
          <t>Colombia</t>
        </is>
      </c>
      <c r="B144" s="15">
        <f>SUMIFS(J$2:J$73, C$2:C$73, A144) + SUMIFS(K$2:K$73, F$2:F$73, A144)</f>
        <v/>
      </c>
      <c r="C144" s="15">
        <f>SUMIFS(L$2:L$73, C$2:C$73, A144) + SUMIFS(M$2:M$73, F$2:F$73, A144)</f>
        <v/>
      </c>
      <c r="D144" s="15">
        <f>SUMIFS(M$2:M$73, C$2:C$73, A144) + SUMIFS(L$2:L$73, F$2:F$73, A144)</f>
        <v/>
      </c>
      <c r="E144" s="15">
        <f>C144-D144</f>
        <v/>
      </c>
      <c r="F144" s="15">
        <f>B144+(E144+50)*0.001+C144*0.000001+K144*0.00000001+(100-J144)*0.0000000001+(300-I144)*0.000000000001</f>
        <v/>
      </c>
      <c r="G144" s="15">
        <f>RANK(F144, $F$141:$F$144)</f>
        <v/>
      </c>
      <c r="H144" s="15">
        <f>INDEX($A$141:$A$144, MATCH(4, $G$141:$G$144, 0))</f>
        <v/>
      </c>
      <c r="I144" s="15" t="n">
        <v>12</v>
      </c>
      <c r="J144" s="43" t="n">
        <v>0</v>
      </c>
      <c r="K144" s="43" t="n">
        <v>0</v>
      </c>
      <c r="L144" s="60">
        <f>C144 + SUMIFS(D$198:D$231, C$198:C$231, A144) + SUMIFS(E$198:E$231, F$198:F$231, A144)</f>
        <v/>
      </c>
      <c r="M144" s="60">
        <f>D144 + SUMIFS(E$198:E$231, C$198:C$231, A144) + SUMIFS(D$198:D$231, F$198:F$231, A144)</f>
        <v/>
      </c>
    </row>
    <row r="146">
      <c r="A146" s="2" t="inlineStr">
        <is>
          <t>Grupo L</t>
        </is>
      </c>
    </row>
    <row r="147" ht="16" customHeight="1" s="47">
      <c r="A147" s="15" t="inlineStr">
        <is>
          <t>Inglaterra</t>
        </is>
      </c>
      <c r="B147" s="15">
        <f>SUMIFS(J$2:J$73, C$2:C$73, A147) + SUMIFS(K$2:K$73, F$2:F$73, A147)</f>
        <v/>
      </c>
      <c r="C147" s="15">
        <f>SUMIFS(L$2:L$73, C$2:C$73, A147) + SUMIFS(M$2:M$73, F$2:F$73, A147)</f>
        <v/>
      </c>
      <c r="D147" s="15">
        <f>SUMIFS(M$2:M$73, C$2:C$73, A147) + SUMIFS(L$2:L$73, F$2:F$73, A147)</f>
        <v/>
      </c>
      <c r="E147" s="15">
        <f>C147-D147</f>
        <v/>
      </c>
      <c r="F147" s="15">
        <f>B147+(E147+50)*0.001+C147*0.000001+K147*0.00000001+(100-J147)*0.0000000001+(300-I147)*0.000000000001</f>
        <v/>
      </c>
      <c r="G147" s="15">
        <f>RANK(F147, $F$147:$F$150)</f>
        <v/>
      </c>
      <c r="H147" s="15">
        <f>INDEX($A$147:$A$150, MATCH(1, $G$147:$G$150, 0))</f>
        <v/>
      </c>
      <c r="I147" s="15" t="n">
        <v>4</v>
      </c>
      <c r="J147" s="43" t="n">
        <v>0</v>
      </c>
      <c r="K147" s="43" t="n">
        <v>0</v>
      </c>
      <c r="L147" s="60">
        <f>C147 + SUMIFS(D$198:D$231, C$198:C$231, A147) + SUMIFS(E$198:E$231, F$198:F$231, A147)</f>
        <v/>
      </c>
      <c r="M147" s="60">
        <f>D147 + SUMIFS(E$198:E$231, C$198:C$231, A147) + SUMIFS(D$198:D$231, F$198:F$231, A147)</f>
        <v/>
      </c>
    </row>
    <row r="148" ht="16" customHeight="1" s="47">
      <c r="A148" s="15" t="inlineStr">
        <is>
          <t>Croacia</t>
        </is>
      </c>
      <c r="B148" s="15">
        <f>SUMIFS(J$2:J$73, C$2:C$73, A148) + SUMIFS(K$2:K$73, F$2:F$73, A148)</f>
        <v/>
      </c>
      <c r="C148" s="15">
        <f>SUMIFS(L$2:L$73, C$2:C$73, A148) + SUMIFS(M$2:M$73, F$2:F$73, A148)</f>
        <v/>
      </c>
      <c r="D148" s="15">
        <f>SUMIFS(M$2:M$73, C$2:C$73, A148) + SUMIFS(L$2:L$73, F$2:F$73, A148)</f>
        <v/>
      </c>
      <c r="E148" s="15">
        <f>C148-D148</f>
        <v/>
      </c>
      <c r="F148" s="15">
        <f>B148+(E148+50)*0.001+C148*0.000001+K148*0.00000001+(100-J148)*0.0000000001+(300-I148)*0.000000000001</f>
        <v/>
      </c>
      <c r="G148" s="15">
        <f>RANK(F148, $F$147:$F$150)</f>
        <v/>
      </c>
      <c r="H148" s="15">
        <f>INDEX($A$147:$A$150, MATCH(2, $G$147:$G$150, 0))</f>
        <v/>
      </c>
      <c r="I148" s="15" t="n">
        <v>10</v>
      </c>
      <c r="J148" s="43" t="n">
        <v>0</v>
      </c>
      <c r="K148" s="43" t="n">
        <v>0</v>
      </c>
      <c r="L148" s="60">
        <f>C148 + SUMIFS(D$198:D$231, C$198:C$231, A148) + SUMIFS(E$198:E$231, F$198:F$231, A148)</f>
        <v/>
      </c>
      <c r="M148" s="60">
        <f>D148 + SUMIFS(E$198:E$231, C$198:C$231, A148) + SUMIFS(D$198:D$231, F$198:F$231, A148)</f>
        <v/>
      </c>
    </row>
    <row r="149" ht="16" customHeight="1" s="47">
      <c r="A149" s="15" t="inlineStr">
        <is>
          <t>Ghana</t>
        </is>
      </c>
      <c r="B149" s="15">
        <f>SUMIFS(J$2:J$73, C$2:C$73, A149) + SUMIFS(K$2:K$73, F$2:F$73, A149)</f>
        <v/>
      </c>
      <c r="C149" s="15">
        <f>SUMIFS(L$2:L$73, C$2:C$73, A149) + SUMIFS(M$2:M$73, F$2:F$73, A149)</f>
        <v/>
      </c>
      <c r="D149" s="15">
        <f>SUMIFS(M$2:M$73, C$2:C$73, A149) + SUMIFS(L$2:L$73, F$2:F$73, A149)</f>
        <v/>
      </c>
      <c r="E149" s="15">
        <f>C149-D149</f>
        <v/>
      </c>
      <c r="F149" s="15">
        <f>B149+(E149+50)*0.001+C149*0.000001+K149*0.00000001+(100-J149)*0.0000000001+(300-I149)*0.000000000001</f>
        <v/>
      </c>
      <c r="G149" s="15">
        <f>RANK(F149, $F$147:$F$150)</f>
        <v/>
      </c>
      <c r="H149" s="15">
        <f>INDEX($A$147:$A$150, MATCH(3, $G$147:$G$150, 0))</f>
        <v/>
      </c>
      <c r="I149" s="15" t="n">
        <v>64</v>
      </c>
      <c r="J149" s="43" t="n">
        <v>0</v>
      </c>
      <c r="K149" s="43" t="n">
        <v>0</v>
      </c>
      <c r="L149" s="60">
        <f>C149 + SUMIFS(D$198:D$231, C$198:C$231, A149) + SUMIFS(E$198:E$231, F$198:F$231, A149)</f>
        <v/>
      </c>
      <c r="M149" s="60">
        <f>D149 + SUMIFS(E$198:E$231, C$198:C$231, A149) + SUMIFS(D$198:D$231, F$198:F$231, A149)</f>
        <v/>
      </c>
    </row>
    <row r="150" ht="16" customHeight="1" s="47">
      <c r="A150" s="15" t="inlineStr">
        <is>
          <t>Panama</t>
        </is>
      </c>
      <c r="B150" s="15">
        <f>SUMIFS(J$2:J$73, C$2:C$73, A150) + SUMIFS(K$2:K$73, F$2:F$73, A150)</f>
        <v/>
      </c>
      <c r="C150" s="15">
        <f>SUMIFS(L$2:L$73, C$2:C$73, A150) + SUMIFS(M$2:M$73, F$2:F$73, A150)</f>
        <v/>
      </c>
      <c r="D150" s="15">
        <f>SUMIFS(M$2:M$73, C$2:C$73, A150) + SUMIFS(L$2:L$73, F$2:F$73, A150)</f>
        <v/>
      </c>
      <c r="E150" s="15">
        <f>C150-D150</f>
        <v/>
      </c>
      <c r="F150" s="15">
        <f>B150+(E150+50)*0.001+C150*0.000001+K150*0.00000001+(100-J150)*0.0000000001+(300-I150)*0.000000000001</f>
        <v/>
      </c>
      <c r="G150" s="15">
        <f>RANK(F150, $F$147:$F$150)</f>
        <v/>
      </c>
      <c r="H150" s="15">
        <f>INDEX($A$147:$A$150, MATCH(4, $G$147:$G$150, 0))</f>
        <v/>
      </c>
      <c r="I150" s="15" t="n">
        <v>43</v>
      </c>
      <c r="J150" s="43" t="n">
        <v>0</v>
      </c>
      <c r="K150" s="43" t="n">
        <v>0</v>
      </c>
      <c r="L150" s="60">
        <f>C150 + SUMIFS(D$198:D$231, C$198:C$231, A150) + SUMIFS(E$198:E$231, F$198:F$231, A150)</f>
        <v/>
      </c>
      <c r="M150" s="60">
        <f>D150 + SUMIFS(E$198:E$231, C$198:C$231, A150) + SUMIFS(D$198:D$231, F$198:F$231, A150)</f>
        <v/>
      </c>
    </row>
    <row r="159" ht="16" customHeight="1" s="47">
      <c r="I159" s="41" t="inlineStr">
        <is>
          <t>FIFA Rank</t>
        </is>
      </c>
      <c r="J159" s="41" t="inlineStr">
        <is>
          <t>Fair Play</t>
        </is>
      </c>
      <c r="K159" s="41" t="inlineStr">
        <is>
          <t>Desempate Manual</t>
        </is>
      </c>
    </row>
    <row r="160" ht="16" customHeight="1" s="47">
      <c r="A160" s="15" t="inlineStr">
        <is>
          <t>Grupo A</t>
        </is>
      </c>
      <c r="B160" s="15">
        <f>H83</f>
        <v/>
      </c>
      <c r="C160" s="15">
        <f>SUMIFS(B$81:B$151, A$81:A$151, B160)</f>
        <v/>
      </c>
      <c r="D160" s="15">
        <f>SUMIFS(C$81:C$151, A$81:A$151, B160)</f>
        <v/>
      </c>
      <c r="E160" s="15">
        <f>SUMIFS(E$81:E$151, A$81:A$151, B160)</f>
        <v/>
      </c>
      <c r="F160" s="15">
        <f>C160+(E160+50)*0.001+D160*0.000001+K160*0.00000001+(100-J160)*0.0000000001+(300-I160)*0.000000000001</f>
        <v/>
      </c>
      <c r="G160" s="15">
        <f>RANK(F160, $F$160:$F$171)</f>
        <v/>
      </c>
      <c r="H160" s="15">
        <f>INDEX($B$160:$B$171, MATCH(1, $G$160:$G$171, 0))</f>
        <v/>
      </c>
      <c r="I160" s="15">
        <f>SUMIFS(I$81:I$151, A$81:A$151, B160)</f>
        <v/>
      </c>
      <c r="J160" s="15">
        <f>SUMIFS(J$81:J$151, A$81:A$151, B160)</f>
        <v/>
      </c>
      <c r="K160" s="15">
        <f>SUMIFS(K$81:K$151, A$81:A$151, B160)</f>
        <v/>
      </c>
      <c r="L160" s="15" t="n"/>
      <c r="M160" s="15" t="n"/>
    </row>
    <row r="161" ht="16" customHeight="1" s="47">
      <c r="A161" s="15" t="inlineStr">
        <is>
          <t>Grupo B</t>
        </is>
      </c>
      <c r="B161" s="15">
        <f>H89</f>
        <v/>
      </c>
      <c r="C161" s="15">
        <f>SUMIFS(B$81:B$151, A$81:A$151, B161)</f>
        <v/>
      </c>
      <c r="D161" s="15">
        <f>SUMIFS(C$81:C$151, A$81:A$151, B161)</f>
        <v/>
      </c>
      <c r="E161" s="15">
        <f>SUMIFS(E$81:E$151, A$81:A$151, B161)</f>
        <v/>
      </c>
      <c r="F161" s="15">
        <f>C161+(E161+50)*0.001+D161*0.000001+K161*0.00000001+(100-J161)*0.0000000001+(300-I161)*0.000000000001</f>
        <v/>
      </c>
      <c r="G161" s="15">
        <f>RANK(F161, $F$160:$F$171)</f>
        <v/>
      </c>
      <c r="H161" s="15">
        <f>INDEX($B$160:$B$171, MATCH(2, $G$160:$G$171, 0))</f>
        <v/>
      </c>
      <c r="I161" s="15">
        <f>SUMIFS(I$81:I$151, A$81:A$151, B161)</f>
        <v/>
      </c>
      <c r="J161" s="15">
        <f>SUMIFS(J$81:J$151, A$81:A$151, B161)</f>
        <v/>
      </c>
      <c r="K161" s="15">
        <f>SUMIFS(K$81:K$151, A$81:A$151, B161)</f>
        <v/>
      </c>
      <c r="L161" s="15" t="n"/>
      <c r="M161" s="15" t="n"/>
    </row>
    <row r="162" ht="16" customHeight="1" s="47">
      <c r="A162" s="15" t="inlineStr">
        <is>
          <t>Grupo C</t>
        </is>
      </c>
      <c r="B162" s="15">
        <f>H95</f>
        <v/>
      </c>
      <c r="C162" s="15">
        <f>SUMIFS(B$81:B$151, A$81:A$151, B162)</f>
        <v/>
      </c>
      <c r="D162" s="15">
        <f>SUMIFS(C$81:C$151, A$81:A$151, B162)</f>
        <v/>
      </c>
      <c r="E162" s="15">
        <f>SUMIFS(E$81:E$151, A$81:A$151, B162)</f>
        <v/>
      </c>
      <c r="F162" s="15">
        <f>C162+(E162+50)*0.001+D162*0.000001+K162*0.00000001+(100-J162)*0.0000000001+(300-I162)*0.000000000001</f>
        <v/>
      </c>
      <c r="G162" s="15">
        <f>RANK(F162, $F$160:$F$171)</f>
        <v/>
      </c>
      <c r="H162" s="15">
        <f>INDEX($B$160:$B$171, MATCH(3, $G$160:$G$171, 0))</f>
        <v/>
      </c>
      <c r="I162" s="15">
        <f>SUMIFS(I$81:I$151, A$81:A$151, B162)</f>
        <v/>
      </c>
      <c r="J162" s="15">
        <f>SUMIFS(J$81:J$151, A$81:A$151, B162)</f>
        <v/>
      </c>
      <c r="K162" s="15">
        <f>SUMIFS(K$81:K$151, A$81:A$151, B162)</f>
        <v/>
      </c>
      <c r="L162" s="15" t="n"/>
      <c r="M162" s="15" t="n"/>
    </row>
    <row r="163" ht="16" customHeight="1" s="47">
      <c r="A163" s="15" t="inlineStr">
        <is>
          <t>Grupo D</t>
        </is>
      </c>
      <c r="B163" s="15">
        <f>H101</f>
        <v/>
      </c>
      <c r="C163" s="15">
        <f>SUMIFS(B$81:B$151, A$81:A$151, B163)</f>
        <v/>
      </c>
      <c r="D163" s="15">
        <f>SUMIFS(C$81:C$151, A$81:A$151, B163)</f>
        <v/>
      </c>
      <c r="E163" s="15">
        <f>SUMIFS(E$81:E$151, A$81:A$151, B163)</f>
        <v/>
      </c>
      <c r="F163" s="15">
        <f>C163+(E163+50)*0.001+D163*0.000001+K163*0.00000001+(100-J163)*0.0000000001+(300-I163)*0.000000000001</f>
        <v/>
      </c>
      <c r="G163" s="15">
        <f>RANK(F163, $F$160:$F$171)</f>
        <v/>
      </c>
      <c r="H163" s="15">
        <f>INDEX($B$160:$B$171, MATCH(4, $G$160:$G$171, 0))</f>
        <v/>
      </c>
      <c r="I163" s="15">
        <f>SUMIFS(I$81:I$151, A$81:A$151, B163)</f>
        <v/>
      </c>
      <c r="J163" s="15">
        <f>SUMIFS(J$81:J$151, A$81:A$151, B163)</f>
        <v/>
      </c>
      <c r="K163" s="15">
        <f>SUMIFS(K$81:K$151, A$81:A$151, B163)</f>
        <v/>
      </c>
      <c r="L163" s="15" t="n"/>
      <c r="M163" s="15" t="n"/>
    </row>
    <row r="164" ht="16" customHeight="1" s="47">
      <c r="A164" s="15" t="inlineStr">
        <is>
          <t>Grupo E</t>
        </is>
      </c>
      <c r="B164" s="15">
        <f>H107</f>
        <v/>
      </c>
      <c r="C164" s="15">
        <f>SUMIFS(B$81:B$151, A$81:A$151, B164)</f>
        <v/>
      </c>
      <c r="D164" s="15">
        <f>SUMIFS(C$81:C$151, A$81:A$151, B164)</f>
        <v/>
      </c>
      <c r="E164" s="15">
        <f>SUMIFS(E$81:E$151, A$81:A$151, B164)</f>
        <v/>
      </c>
      <c r="F164" s="15">
        <f>C164+(E164+50)*0.001+D164*0.000001+K164*0.00000001+(100-J164)*0.0000000001+(300-I164)*0.000000000001</f>
        <v/>
      </c>
      <c r="G164" s="15">
        <f>RANK(F164, $F$160:$F$171)</f>
        <v/>
      </c>
      <c r="H164" s="15">
        <f>INDEX($B$160:$B$171, MATCH(5, $G$160:$G$171, 0))</f>
        <v/>
      </c>
      <c r="I164" s="15">
        <f>SUMIFS(I$81:I$151, A$81:A$151, B164)</f>
        <v/>
      </c>
      <c r="J164" s="15">
        <f>SUMIFS(J$81:J$151, A$81:A$151, B164)</f>
        <v/>
      </c>
      <c r="K164" s="15">
        <f>SUMIFS(K$81:K$151, A$81:A$151, B164)</f>
        <v/>
      </c>
      <c r="L164" s="15" t="n"/>
      <c r="M164" s="15" t="n"/>
    </row>
    <row r="165" ht="16" customHeight="1" s="47">
      <c r="A165" s="15" t="inlineStr">
        <is>
          <t>Grupo F</t>
        </is>
      </c>
      <c r="B165" s="15">
        <f>H113</f>
        <v/>
      </c>
      <c r="C165" s="15">
        <f>SUMIFS(B$81:B$151, A$81:A$151, B165)</f>
        <v/>
      </c>
      <c r="D165" s="15">
        <f>SUMIFS(C$81:C$151, A$81:A$151, B165)</f>
        <v/>
      </c>
      <c r="E165" s="15">
        <f>SUMIFS(E$81:E$151, A$81:A$151, B165)</f>
        <v/>
      </c>
      <c r="F165" s="15">
        <f>C165+(E165+50)*0.001+D165*0.000001+K165*0.00000001+(100-J165)*0.0000000001+(300-I165)*0.000000000001</f>
        <v/>
      </c>
      <c r="G165" s="15">
        <f>RANK(F165, $F$160:$F$171)</f>
        <v/>
      </c>
      <c r="H165" s="15">
        <f>INDEX($B$160:$B$171, MATCH(6, $G$160:$G$171, 0))</f>
        <v/>
      </c>
      <c r="I165" s="15">
        <f>SUMIFS(I$81:I$151, A$81:A$151, B165)</f>
        <v/>
      </c>
      <c r="J165" s="15">
        <f>SUMIFS(J$81:J$151, A$81:A$151, B165)</f>
        <v/>
      </c>
      <c r="K165" s="15">
        <f>SUMIFS(K$81:K$151, A$81:A$151, B165)</f>
        <v/>
      </c>
      <c r="L165" s="15" t="n"/>
      <c r="M165" s="15" t="n"/>
    </row>
    <row r="166" ht="16" customHeight="1" s="47">
      <c r="A166" s="15" t="inlineStr">
        <is>
          <t>Grupo G</t>
        </is>
      </c>
      <c r="B166" s="15">
        <f>H119</f>
        <v/>
      </c>
      <c r="C166" s="15">
        <f>SUMIFS(B$81:B$151, A$81:A$151, B166)</f>
        <v/>
      </c>
      <c r="D166" s="15">
        <f>SUMIFS(C$81:C$151, A$81:A$151, B166)</f>
        <v/>
      </c>
      <c r="E166" s="15">
        <f>SUMIFS(E$81:E$151, A$81:A$151, B166)</f>
        <v/>
      </c>
      <c r="F166" s="15">
        <f>C166+(E166+50)*0.001+D166*0.000001+K166*0.00000001+(100-J166)*0.0000000001+(300-I166)*0.000000000001</f>
        <v/>
      </c>
      <c r="G166" s="15">
        <f>RANK(F166, $F$160:$F$171)</f>
        <v/>
      </c>
      <c r="H166" s="15">
        <f>INDEX($B$160:$B$171, MATCH(7, $G$160:$G$171, 0))</f>
        <v/>
      </c>
      <c r="I166" s="15">
        <f>SUMIFS(I$81:I$151, A$81:A$151, B166)</f>
        <v/>
      </c>
      <c r="J166" s="15">
        <f>SUMIFS(J$81:J$151, A$81:A$151, B166)</f>
        <v/>
      </c>
      <c r="K166" s="15">
        <f>SUMIFS(K$81:K$151, A$81:A$151, B166)</f>
        <v/>
      </c>
      <c r="L166" s="15" t="n"/>
      <c r="M166" s="15" t="n"/>
    </row>
    <row r="167" ht="16" customHeight="1" s="47">
      <c r="A167" s="15" t="inlineStr">
        <is>
          <t>Grupo H</t>
        </is>
      </c>
      <c r="B167" s="15">
        <f>H125</f>
        <v/>
      </c>
      <c r="C167" s="15">
        <f>SUMIFS(B$81:B$151, A$81:A$151, B167)</f>
        <v/>
      </c>
      <c r="D167" s="15">
        <f>SUMIFS(C$81:C$151, A$81:A$151, B167)</f>
        <v/>
      </c>
      <c r="E167" s="15">
        <f>SUMIFS(E$81:E$151, A$81:A$151, B167)</f>
        <v/>
      </c>
      <c r="F167" s="15">
        <f>C167+(E167+50)*0.001+D167*0.000001+K167*0.00000001+(100-J167)*0.0000000001+(300-I167)*0.000000000001</f>
        <v/>
      </c>
      <c r="G167" s="15">
        <f>RANK(F167, $F$160:$F$171)</f>
        <v/>
      </c>
      <c r="H167" s="15">
        <f>INDEX($B$160:$B$171, MATCH(8, $G$160:$G$171, 0))</f>
        <v/>
      </c>
      <c r="I167" s="15">
        <f>SUMIFS(I$81:I$151, A$81:A$151, B167)</f>
        <v/>
      </c>
      <c r="J167" s="15">
        <f>SUMIFS(J$81:J$151, A$81:A$151, B167)</f>
        <v/>
      </c>
      <c r="K167" s="15">
        <f>SUMIFS(K$81:K$151, A$81:A$151, B167)</f>
        <v/>
      </c>
      <c r="L167" s="15" t="n"/>
      <c r="M167" s="15" t="n"/>
    </row>
    <row r="168" ht="16" customHeight="1" s="47">
      <c r="A168" s="15" t="inlineStr">
        <is>
          <t>Grupo I</t>
        </is>
      </c>
      <c r="B168" s="15">
        <f>H131</f>
        <v/>
      </c>
      <c r="C168" s="15">
        <f>SUMIFS(B$81:B$151, A$81:A$151, B168)</f>
        <v/>
      </c>
      <c r="D168" s="15">
        <f>SUMIFS(C$81:C$151, A$81:A$151, B168)</f>
        <v/>
      </c>
      <c r="E168" s="15">
        <f>SUMIFS(E$81:E$151, A$81:A$151, B168)</f>
        <v/>
      </c>
      <c r="F168" s="15">
        <f>C168+(E168+50)*0.001+D168*0.000001+K168*0.00000001+(100-J168)*0.0000000001+(300-I168)*0.000000000001</f>
        <v/>
      </c>
      <c r="G168" s="15">
        <f>RANK(F168, $F$160:$F$171)</f>
        <v/>
      </c>
      <c r="H168" s="15">
        <f>INDEX($B$160:$B$171, MATCH(9, $G$160:$G$171, 0))</f>
        <v/>
      </c>
      <c r="I168" s="15">
        <f>SUMIFS(I$81:I$151, A$81:A$151, B168)</f>
        <v/>
      </c>
      <c r="J168" s="15">
        <f>SUMIFS(J$81:J$151, A$81:A$151, B168)</f>
        <v/>
      </c>
      <c r="K168" s="15">
        <f>SUMIFS(K$81:K$151, A$81:A$151, B168)</f>
        <v/>
      </c>
      <c r="L168" s="15" t="n"/>
      <c r="M168" s="15" t="n"/>
    </row>
    <row r="169" ht="16" customHeight="1" s="47">
      <c r="A169" s="15" t="inlineStr">
        <is>
          <t>Grupo J</t>
        </is>
      </c>
      <c r="B169" s="15">
        <f>H137</f>
        <v/>
      </c>
      <c r="C169" s="15">
        <f>SUMIFS(B$81:B$151, A$81:A$151, B169)</f>
        <v/>
      </c>
      <c r="D169" s="15">
        <f>SUMIFS(C$81:C$151, A$81:A$151, B169)</f>
        <v/>
      </c>
      <c r="E169" s="15">
        <f>SUMIFS(E$81:E$151, A$81:A$151, B169)</f>
        <v/>
      </c>
      <c r="F169" s="15">
        <f>C169+(E169+50)*0.001+D169*0.000001+K169*0.00000001+(100-J169)*0.0000000001+(300-I169)*0.000000000001</f>
        <v/>
      </c>
      <c r="G169" s="15">
        <f>RANK(F169, $F$160:$F$171)</f>
        <v/>
      </c>
      <c r="H169" s="15">
        <f>INDEX($B$160:$B$171, MATCH(10, $G$160:$G$171, 0))</f>
        <v/>
      </c>
      <c r="I169" s="15">
        <f>SUMIFS(I$81:I$151, A$81:A$151, B169)</f>
        <v/>
      </c>
      <c r="J169" s="15">
        <f>SUMIFS(J$81:J$151, A$81:A$151, B169)</f>
        <v/>
      </c>
      <c r="K169" s="15">
        <f>SUMIFS(K$81:K$151, A$81:A$151, B169)</f>
        <v/>
      </c>
      <c r="L169" s="15" t="n"/>
      <c r="M169" s="15" t="n"/>
    </row>
    <row r="170" ht="16" customHeight="1" s="47">
      <c r="A170" s="15" t="inlineStr">
        <is>
          <t>Grupo K</t>
        </is>
      </c>
      <c r="B170" s="15">
        <f>H143</f>
        <v/>
      </c>
      <c r="C170" s="15">
        <f>SUMIFS(B$81:B$151, A$81:A$151, B170)</f>
        <v/>
      </c>
      <c r="D170" s="15">
        <f>SUMIFS(C$81:C$151, A$81:A$151, B170)</f>
        <v/>
      </c>
      <c r="E170" s="15">
        <f>SUMIFS(E$81:E$151, A$81:A$151, B170)</f>
        <v/>
      </c>
      <c r="F170" s="15">
        <f>C170+(E170+50)*0.001+D170*0.000001+K170*0.00000001+(100-J170)*0.0000000001+(300-I170)*0.000000000001</f>
        <v/>
      </c>
      <c r="G170" s="15">
        <f>RANK(F170, $F$160:$F$171)</f>
        <v/>
      </c>
      <c r="H170" s="15">
        <f>INDEX($B$160:$B$171, MATCH(11, $G$160:$G$171, 0))</f>
        <v/>
      </c>
      <c r="I170" s="15">
        <f>SUMIFS(I$81:I$151, A$81:A$151, B170)</f>
        <v/>
      </c>
      <c r="J170" s="15">
        <f>SUMIFS(J$81:J$151, A$81:A$151, B170)</f>
        <v/>
      </c>
      <c r="K170" s="15">
        <f>SUMIFS(K$81:K$151, A$81:A$151, B170)</f>
        <v/>
      </c>
      <c r="L170" s="15" t="n"/>
      <c r="M170" s="15" t="n"/>
    </row>
    <row r="171" ht="16" customHeight="1" s="47">
      <c r="A171" s="15" t="inlineStr">
        <is>
          <t>Grupo L</t>
        </is>
      </c>
      <c r="B171" s="15">
        <f>H149</f>
        <v/>
      </c>
      <c r="C171" s="15">
        <f>SUMIFS(B$81:B$151, A$81:A$151, B171)</f>
        <v/>
      </c>
      <c r="D171" s="15">
        <f>SUMIFS(C$81:C$151, A$81:A$151, B171)</f>
        <v/>
      </c>
      <c r="E171" s="15">
        <f>SUMIFS(E$81:E$151, A$81:A$151, B171)</f>
        <v/>
      </c>
      <c r="F171" s="15">
        <f>C171+(E171+50)*0.001+D171*0.000001+K171*0.00000001+(100-J171)*0.0000000001+(300-I171)*0.000000000001</f>
        <v/>
      </c>
      <c r="G171" s="15">
        <f>RANK(F171, $F$160:$F$171)</f>
        <v/>
      </c>
      <c r="H171" s="15">
        <f>INDEX($B$160:$B$171, MATCH(12, $G$160:$G$171, 0))</f>
        <v/>
      </c>
      <c r="I171" s="15">
        <f>SUMIFS(I$81:I$151, A$81:A$151, B171)</f>
        <v/>
      </c>
      <c r="J171" s="15">
        <f>SUMIFS(J$81:J$151, A$81:A$151, B171)</f>
        <v/>
      </c>
      <c r="K171" s="15">
        <f>SUMIFS(K$81:K$151, A$81:A$151, B171)</f>
        <v/>
      </c>
      <c r="L171" s="15" t="n"/>
      <c r="M171" s="15" t="n"/>
    </row>
    <row r="200">
      <c r="A200" t="inlineStr">
        <is>
          <t>M73</t>
        </is>
      </c>
      <c r="B200" t="inlineStr">
        <is>
          <t>Dieciseisavos</t>
        </is>
      </c>
      <c r="C200">
        <f>Llave_Final!D6</f>
        <v/>
      </c>
      <c r="D200">
        <f>Llave_Final!E6</f>
        <v/>
      </c>
      <c r="E200">
        <f>Llave_Final!E7</f>
        <v/>
      </c>
      <c r="F200">
        <f>Llave_Final!D7</f>
        <v/>
      </c>
      <c r="G200">
        <f>Llave_Final!F6</f>
        <v/>
      </c>
      <c r="H200">
        <f>Llave_Final!F7</f>
        <v/>
      </c>
      <c r="I200">
        <f>IF(OR(D200="",E200=""),"",IF(D200&gt;E200,C200,IF(E200&gt;D200,F200,IF(G200&gt;H200,C200,F200))))</f>
        <v/>
      </c>
    </row>
    <row r="201">
      <c r="A201" t="inlineStr">
        <is>
          <t>M74</t>
        </is>
      </c>
      <c r="B201" t="inlineStr">
        <is>
          <t>Dieciseisavos</t>
        </is>
      </c>
      <c r="C201">
        <f>Llave_Final!D12</f>
        <v/>
      </c>
      <c r="D201">
        <f>Llave_Final!E12</f>
        <v/>
      </c>
      <c r="E201">
        <f>Llave_Final!E13</f>
        <v/>
      </c>
      <c r="F201">
        <f>Llave_Final!D13</f>
        <v/>
      </c>
      <c r="G201">
        <f>Llave_Final!F12</f>
        <v/>
      </c>
      <c r="H201">
        <f>Llave_Final!F13</f>
        <v/>
      </c>
      <c r="I201">
        <f>IF(OR(D201="",E201=""),"",IF(D201&gt;E201,C201,IF(E201&gt;D201,F201,IF(G201&gt;H201,C201,F201))))</f>
        <v/>
      </c>
    </row>
    <row r="202">
      <c r="A202" t="inlineStr">
        <is>
          <t>M75</t>
        </is>
      </c>
      <c r="B202" t="inlineStr">
        <is>
          <t>Dieciseisavos</t>
        </is>
      </c>
      <c r="C202">
        <f>Llave_Final!D18</f>
        <v/>
      </c>
      <c r="D202">
        <f>Llave_Final!E18</f>
        <v/>
      </c>
      <c r="E202">
        <f>Llave_Final!E19</f>
        <v/>
      </c>
      <c r="F202">
        <f>Llave_Final!D19</f>
        <v/>
      </c>
      <c r="G202">
        <f>Llave_Final!F18</f>
        <v/>
      </c>
      <c r="H202">
        <f>Llave_Final!F19</f>
        <v/>
      </c>
      <c r="I202">
        <f>IF(OR(D202="",E202=""),"",IF(D202&gt;E202,C202,IF(E202&gt;D202,F202,IF(G202&gt;H202,C202,F202))))</f>
        <v/>
      </c>
    </row>
    <row r="203">
      <c r="A203" t="inlineStr">
        <is>
          <t>M76</t>
        </is>
      </c>
      <c r="B203" t="inlineStr">
        <is>
          <t>Dieciseisavos</t>
        </is>
      </c>
      <c r="C203">
        <f>Llave_Final!D24</f>
        <v/>
      </c>
      <c r="D203">
        <f>Llave_Final!E24</f>
        <v/>
      </c>
      <c r="E203">
        <f>Llave_Final!E25</f>
        <v/>
      </c>
      <c r="F203">
        <f>Llave_Final!D25</f>
        <v/>
      </c>
      <c r="G203">
        <f>Llave_Final!F24</f>
        <v/>
      </c>
      <c r="H203">
        <f>Llave_Final!F25</f>
        <v/>
      </c>
      <c r="I203">
        <f>IF(OR(D203="",E203=""),"",IF(D203&gt;E203,C203,IF(E203&gt;D203,F203,IF(G203&gt;H203,C203,F203))))</f>
        <v/>
      </c>
    </row>
    <row r="204">
      <c r="A204" t="inlineStr">
        <is>
          <t>M77</t>
        </is>
      </c>
      <c r="B204" t="inlineStr">
        <is>
          <t>Dieciseisavos</t>
        </is>
      </c>
      <c r="C204">
        <f>Llave_Final!D30</f>
        <v/>
      </c>
      <c r="D204">
        <f>Llave_Final!E30</f>
        <v/>
      </c>
      <c r="E204">
        <f>Llave_Final!E31</f>
        <v/>
      </c>
      <c r="F204">
        <f>Llave_Final!D31</f>
        <v/>
      </c>
      <c r="G204">
        <f>Llave_Final!F30</f>
        <v/>
      </c>
      <c r="H204">
        <f>Llave_Final!F31</f>
        <v/>
      </c>
      <c r="I204">
        <f>IF(OR(D204="",E204=""),"",IF(D204&gt;E204,C204,IF(E204&gt;D204,F204,IF(G204&gt;H204,C204,F204))))</f>
        <v/>
      </c>
    </row>
    <row r="205">
      <c r="A205" t="inlineStr">
        <is>
          <t>M78</t>
        </is>
      </c>
      <c r="B205" t="inlineStr">
        <is>
          <t>Dieciseisavos</t>
        </is>
      </c>
      <c r="C205">
        <f>Llave_Final!D36</f>
        <v/>
      </c>
      <c r="D205">
        <f>Llave_Final!E36</f>
        <v/>
      </c>
      <c r="E205">
        <f>Llave_Final!E37</f>
        <v/>
      </c>
      <c r="F205">
        <f>Llave_Final!D37</f>
        <v/>
      </c>
      <c r="G205">
        <f>Llave_Final!F36</f>
        <v/>
      </c>
      <c r="H205">
        <f>Llave_Final!F37</f>
        <v/>
      </c>
      <c r="I205">
        <f>IF(OR(D205="",E205=""),"",IF(D205&gt;E205,C205,IF(E205&gt;D205,F205,IF(G205&gt;H205,C205,F205))))</f>
        <v/>
      </c>
    </row>
    <row r="206">
      <c r="A206" t="inlineStr">
        <is>
          <t>M79</t>
        </is>
      </c>
      <c r="B206" t="inlineStr">
        <is>
          <t>Dieciseisavos</t>
        </is>
      </c>
      <c r="C206">
        <f>Llave_Final!D42</f>
        <v/>
      </c>
      <c r="D206">
        <f>Llave_Final!E42</f>
        <v/>
      </c>
      <c r="E206">
        <f>Llave_Final!E43</f>
        <v/>
      </c>
      <c r="F206">
        <f>Llave_Final!D43</f>
        <v/>
      </c>
      <c r="G206">
        <f>Llave_Final!F42</f>
        <v/>
      </c>
      <c r="H206">
        <f>Llave_Final!F43</f>
        <v/>
      </c>
      <c r="I206">
        <f>IF(OR(D206="",E206=""),"",IF(D206&gt;E206,C206,IF(E206&gt;D206,F206,IF(G206&gt;H206,C206,F206))))</f>
        <v/>
      </c>
    </row>
    <row r="207">
      <c r="A207" t="inlineStr">
        <is>
          <t>M80</t>
        </is>
      </c>
      <c r="B207" t="inlineStr">
        <is>
          <t>Dieciseisavos</t>
        </is>
      </c>
      <c r="C207">
        <f>Llave_Final!D48</f>
        <v/>
      </c>
      <c r="D207">
        <f>Llave_Final!E48</f>
        <v/>
      </c>
      <c r="E207">
        <f>Llave_Final!E49</f>
        <v/>
      </c>
      <c r="F207">
        <f>Llave_Final!D49</f>
        <v/>
      </c>
      <c r="G207">
        <f>Llave_Final!F48</f>
        <v/>
      </c>
      <c r="H207">
        <f>Llave_Final!F49</f>
        <v/>
      </c>
      <c r="I207">
        <f>IF(OR(D207="",E207=""),"",IF(D207&gt;E207,C207,IF(E207&gt;D207,F207,IF(G207&gt;H207,C207,F207))))</f>
        <v/>
      </c>
    </row>
    <row r="208">
      <c r="A208" t="inlineStr">
        <is>
          <t>M81</t>
        </is>
      </c>
      <c r="B208" t="inlineStr">
        <is>
          <t>Dieciseisavos</t>
        </is>
      </c>
      <c r="C208">
        <f>Llave_Final!D54</f>
        <v/>
      </c>
      <c r="D208">
        <f>Llave_Final!E54</f>
        <v/>
      </c>
      <c r="E208">
        <f>Llave_Final!E55</f>
        <v/>
      </c>
      <c r="F208">
        <f>Llave_Final!D55</f>
        <v/>
      </c>
      <c r="G208">
        <f>Llave_Final!F54</f>
        <v/>
      </c>
      <c r="H208">
        <f>Llave_Final!F55</f>
        <v/>
      </c>
      <c r="I208">
        <f>IF(OR(D208="",E208=""),"",IF(D208&gt;E208,C208,IF(E208&gt;D208,F208,IF(G208&gt;H208,C208,F208))))</f>
        <v/>
      </c>
    </row>
    <row r="209">
      <c r="A209" t="inlineStr">
        <is>
          <t>M82</t>
        </is>
      </c>
      <c r="B209" t="inlineStr">
        <is>
          <t>Dieciseisavos</t>
        </is>
      </c>
      <c r="C209">
        <f>Llave_Final!D60</f>
        <v/>
      </c>
      <c r="D209">
        <f>Llave_Final!E60</f>
        <v/>
      </c>
      <c r="E209">
        <f>Llave_Final!E61</f>
        <v/>
      </c>
      <c r="F209">
        <f>Llave_Final!D61</f>
        <v/>
      </c>
      <c r="G209">
        <f>Llave_Final!F60</f>
        <v/>
      </c>
      <c r="H209">
        <f>Llave_Final!F61</f>
        <v/>
      </c>
      <c r="I209">
        <f>IF(OR(D209="",E209=""),"",IF(D209&gt;E209,C209,IF(E209&gt;D209,F209,IF(G209&gt;H209,C209,F209))))</f>
        <v/>
      </c>
    </row>
    <row r="210">
      <c r="A210" t="inlineStr">
        <is>
          <t>M83</t>
        </is>
      </c>
      <c r="B210" t="inlineStr">
        <is>
          <t>Dieciseisavos</t>
        </is>
      </c>
      <c r="C210">
        <f>Llave_Final!D66</f>
        <v/>
      </c>
      <c r="D210">
        <f>Llave_Final!E66</f>
        <v/>
      </c>
      <c r="E210">
        <f>Llave_Final!E67</f>
        <v/>
      </c>
      <c r="F210">
        <f>Llave_Final!D67</f>
        <v/>
      </c>
      <c r="G210">
        <f>Llave_Final!F66</f>
        <v/>
      </c>
      <c r="H210">
        <f>Llave_Final!F67</f>
        <v/>
      </c>
      <c r="I210">
        <f>IF(OR(D210="",E210=""),"",IF(D210&gt;E210,C210,IF(E210&gt;D210,F210,IF(G210&gt;H210,C210,F210))))</f>
        <v/>
      </c>
    </row>
    <row r="211">
      <c r="A211" t="inlineStr">
        <is>
          <t>M84</t>
        </is>
      </c>
      <c r="B211" t="inlineStr">
        <is>
          <t>Dieciseisavos</t>
        </is>
      </c>
      <c r="C211">
        <f>Llave_Final!D72</f>
        <v/>
      </c>
      <c r="D211">
        <f>Llave_Final!E72</f>
        <v/>
      </c>
      <c r="E211">
        <f>Llave_Final!E73</f>
        <v/>
      </c>
      <c r="F211">
        <f>Llave_Final!D73</f>
        <v/>
      </c>
      <c r="G211">
        <f>Llave_Final!F72</f>
        <v/>
      </c>
      <c r="H211">
        <f>Llave_Final!F73</f>
        <v/>
      </c>
      <c r="I211">
        <f>IF(OR(D211="",E211=""),"",IF(D211&gt;E211,C211,IF(E211&gt;D211,F211,IF(G211&gt;H211,C211,F211))))</f>
        <v/>
      </c>
    </row>
    <row r="212">
      <c r="A212" t="inlineStr">
        <is>
          <t>M85</t>
        </is>
      </c>
      <c r="B212" t="inlineStr">
        <is>
          <t>Dieciseisavos</t>
        </is>
      </c>
      <c r="C212">
        <f>Llave_Final!D78</f>
        <v/>
      </c>
      <c r="D212">
        <f>Llave_Final!E78</f>
        <v/>
      </c>
      <c r="E212">
        <f>Llave_Final!E79</f>
        <v/>
      </c>
      <c r="F212">
        <f>Llave_Final!D79</f>
        <v/>
      </c>
      <c r="G212">
        <f>Llave_Final!F78</f>
        <v/>
      </c>
      <c r="H212">
        <f>Llave_Final!F79</f>
        <v/>
      </c>
      <c r="I212">
        <f>IF(OR(D212="",E212=""),"",IF(D212&gt;E212,C212,IF(E212&gt;D212,F212,IF(G212&gt;H212,C212,F212))))</f>
        <v/>
      </c>
    </row>
    <row r="213">
      <c r="A213" t="inlineStr">
        <is>
          <t>M86</t>
        </is>
      </c>
      <c r="B213" t="inlineStr">
        <is>
          <t>Dieciseisavos</t>
        </is>
      </c>
      <c r="C213">
        <f>Llave_Final!D84</f>
        <v/>
      </c>
      <c r="D213">
        <f>Llave_Final!E84</f>
        <v/>
      </c>
      <c r="E213">
        <f>Llave_Final!E85</f>
        <v/>
      </c>
      <c r="F213">
        <f>Llave_Final!D85</f>
        <v/>
      </c>
      <c r="G213">
        <f>Llave_Final!F84</f>
        <v/>
      </c>
      <c r="H213">
        <f>Llave_Final!F85</f>
        <v/>
      </c>
      <c r="I213">
        <f>IF(OR(D213="",E213=""),"",IF(D213&gt;E213,C213,IF(E213&gt;D213,F213,IF(G213&gt;H213,C213,F213))))</f>
        <v/>
      </c>
    </row>
    <row r="214">
      <c r="A214" t="inlineStr">
        <is>
          <t>M87</t>
        </is>
      </c>
      <c r="B214" t="inlineStr">
        <is>
          <t>Dieciseisavos</t>
        </is>
      </c>
      <c r="C214">
        <f>Llave_Final!D90</f>
        <v/>
      </c>
      <c r="D214">
        <f>Llave_Final!E90</f>
        <v/>
      </c>
      <c r="E214">
        <f>Llave_Final!E91</f>
        <v/>
      </c>
      <c r="F214">
        <f>Llave_Final!D91</f>
        <v/>
      </c>
      <c r="G214">
        <f>Llave_Final!F90</f>
        <v/>
      </c>
      <c r="H214">
        <f>Llave_Final!F91</f>
        <v/>
      </c>
      <c r="I214">
        <f>IF(OR(D214="",E214=""),"",IF(D214&gt;E214,C214,IF(E214&gt;D214,F214,IF(G214&gt;H214,C214,F214))))</f>
        <v/>
      </c>
    </row>
    <row r="215">
      <c r="A215" t="inlineStr">
        <is>
          <t>M88</t>
        </is>
      </c>
      <c r="B215" t="inlineStr">
        <is>
          <t>Dieciseisavos</t>
        </is>
      </c>
      <c r="C215">
        <f>Llave_Final!D96</f>
        <v/>
      </c>
      <c r="D215">
        <f>Llave_Final!E96</f>
        <v/>
      </c>
      <c r="E215">
        <f>Llave_Final!E97</f>
        <v/>
      </c>
      <c r="F215">
        <f>Llave_Final!D97</f>
        <v/>
      </c>
      <c r="G215">
        <f>Llave_Final!F96</f>
        <v/>
      </c>
      <c r="H215">
        <f>Llave_Final!F97</f>
        <v/>
      </c>
      <c r="I215">
        <f>IF(OR(D215="",E215=""),"",IF(D215&gt;E215,C215,IF(E215&gt;D215,F215,IF(G215&gt;H215,C215,F215))))</f>
        <v/>
      </c>
    </row>
    <row r="216">
      <c r="A216" t="inlineStr">
        <is>
          <t>M89</t>
        </is>
      </c>
      <c r="B216" t="inlineStr">
        <is>
          <t>Octavos</t>
        </is>
      </c>
      <c r="C216">
        <f>Llave_Final!J9</f>
        <v/>
      </c>
      <c r="D216">
        <f>Llave_Final!K9</f>
        <v/>
      </c>
      <c r="E216">
        <f>Llave_Final!K10</f>
        <v/>
      </c>
      <c r="F216">
        <f>Llave_Final!J10</f>
        <v/>
      </c>
      <c r="G216">
        <f>Llave_Final!L9</f>
        <v/>
      </c>
      <c r="H216">
        <f>Llave_Final!L10</f>
        <v/>
      </c>
      <c r="I216">
        <f>IF(OR(D216="",E216=""),"",IF(D216&gt;E216,C216,IF(E216&gt;D216,F216,IF(G216&gt;H216,C216,F216))))</f>
        <v/>
      </c>
    </row>
    <row r="217">
      <c r="A217" t="inlineStr">
        <is>
          <t>M90</t>
        </is>
      </c>
      <c r="B217" t="inlineStr">
        <is>
          <t>Octavos</t>
        </is>
      </c>
      <c r="C217">
        <f>Llave_Final!J21</f>
        <v/>
      </c>
      <c r="D217">
        <f>Llave_Final!K21</f>
        <v/>
      </c>
      <c r="E217">
        <f>Llave_Final!K22</f>
        <v/>
      </c>
      <c r="F217">
        <f>Llave_Final!J22</f>
        <v/>
      </c>
      <c r="G217">
        <f>Llave_Final!L21</f>
        <v/>
      </c>
      <c r="H217">
        <f>Llave_Final!L22</f>
        <v/>
      </c>
      <c r="I217">
        <f>IF(OR(D217="",E217=""),"",IF(D217&gt;E217,C217,IF(E217&gt;D217,F217,IF(G217&gt;H217,C217,F217))))</f>
        <v/>
      </c>
    </row>
    <row r="218">
      <c r="A218" t="inlineStr">
        <is>
          <t>M91</t>
        </is>
      </c>
      <c r="B218" t="inlineStr">
        <is>
          <t>Octavos</t>
        </is>
      </c>
      <c r="C218">
        <f>Llave_Final!J33</f>
        <v/>
      </c>
      <c r="D218">
        <f>Llave_Final!K33</f>
        <v/>
      </c>
      <c r="E218">
        <f>Llave_Final!K34</f>
        <v/>
      </c>
      <c r="F218">
        <f>Llave_Final!J34</f>
        <v/>
      </c>
      <c r="G218">
        <f>Llave_Final!L33</f>
        <v/>
      </c>
      <c r="H218">
        <f>Llave_Final!L34</f>
        <v/>
      </c>
      <c r="I218">
        <f>IF(OR(D218="",E218=""),"",IF(D218&gt;E218,C218,IF(E218&gt;D218,F218,IF(G218&gt;H218,C218,F218))))</f>
        <v/>
      </c>
    </row>
    <row r="219">
      <c r="A219" t="inlineStr">
        <is>
          <t>M92</t>
        </is>
      </c>
      <c r="B219" t="inlineStr">
        <is>
          <t>Octavos</t>
        </is>
      </c>
      <c r="C219">
        <f>Llave_Final!J45</f>
        <v/>
      </c>
      <c r="D219">
        <f>Llave_Final!K45</f>
        <v/>
      </c>
      <c r="E219">
        <f>Llave_Final!K46</f>
        <v/>
      </c>
      <c r="F219">
        <f>Llave_Final!J46</f>
        <v/>
      </c>
      <c r="G219">
        <f>Llave_Final!L45</f>
        <v/>
      </c>
      <c r="H219">
        <f>Llave_Final!L46</f>
        <v/>
      </c>
      <c r="I219">
        <f>IF(OR(D219="",E219=""),"",IF(D219&gt;E219,C219,IF(E219&gt;D219,F219,IF(G219&gt;H219,C219,F219))))</f>
        <v/>
      </c>
    </row>
    <row r="220">
      <c r="A220" t="inlineStr">
        <is>
          <t>M93</t>
        </is>
      </c>
      <c r="B220" t="inlineStr">
        <is>
          <t>Octavos</t>
        </is>
      </c>
      <c r="C220">
        <f>Llave_Final!J57</f>
        <v/>
      </c>
      <c r="D220">
        <f>Llave_Final!K57</f>
        <v/>
      </c>
      <c r="E220">
        <f>Llave_Final!K58</f>
        <v/>
      </c>
      <c r="F220">
        <f>Llave_Final!J58</f>
        <v/>
      </c>
      <c r="G220">
        <f>Llave_Final!L57</f>
        <v/>
      </c>
      <c r="H220">
        <f>Llave_Final!L58</f>
        <v/>
      </c>
      <c r="I220">
        <f>IF(OR(D220="",E220=""),"",IF(D220&gt;E220,C220,IF(E220&gt;D220,F220,IF(G220&gt;H220,C220,F220))))</f>
        <v/>
      </c>
    </row>
    <row r="221">
      <c r="A221" t="inlineStr">
        <is>
          <t>M94</t>
        </is>
      </c>
      <c r="B221" t="inlineStr">
        <is>
          <t>Octavos</t>
        </is>
      </c>
      <c r="C221">
        <f>Llave_Final!J69</f>
        <v/>
      </c>
      <c r="D221">
        <f>Llave_Final!K69</f>
        <v/>
      </c>
      <c r="E221">
        <f>Llave_Final!K70</f>
        <v/>
      </c>
      <c r="F221">
        <f>Llave_Final!J70</f>
        <v/>
      </c>
      <c r="G221">
        <f>Llave_Final!L69</f>
        <v/>
      </c>
      <c r="H221">
        <f>Llave_Final!L70</f>
        <v/>
      </c>
      <c r="I221">
        <f>IF(OR(D221="",E221=""),"",IF(D221&gt;E221,C221,IF(E221&gt;D221,F221,IF(G221&gt;H221,C221,F221))))</f>
        <v/>
      </c>
    </row>
    <row r="222">
      <c r="A222" t="inlineStr">
        <is>
          <t>M95</t>
        </is>
      </c>
      <c r="B222" t="inlineStr">
        <is>
          <t>Octavos</t>
        </is>
      </c>
      <c r="C222">
        <f>Llave_Final!J81</f>
        <v/>
      </c>
      <c r="D222">
        <f>Llave_Final!K81</f>
        <v/>
      </c>
      <c r="E222">
        <f>Llave_Final!K82</f>
        <v/>
      </c>
      <c r="F222">
        <f>Llave_Final!J82</f>
        <v/>
      </c>
      <c r="G222">
        <f>Llave_Final!L81</f>
        <v/>
      </c>
      <c r="H222">
        <f>Llave_Final!L82</f>
        <v/>
      </c>
      <c r="I222">
        <f>IF(OR(D222="",E222=""),"",IF(D222&gt;E222,C222,IF(E222&gt;D222,F222,IF(G222&gt;H222,C222,F222))))</f>
        <v/>
      </c>
    </row>
    <row r="223">
      <c r="A223" t="inlineStr">
        <is>
          <t>M96</t>
        </is>
      </c>
      <c r="B223" t="inlineStr">
        <is>
          <t>Octavos</t>
        </is>
      </c>
      <c r="C223">
        <f>Llave_Final!J93</f>
        <v/>
      </c>
      <c r="D223">
        <f>Llave_Final!K93</f>
        <v/>
      </c>
      <c r="E223">
        <f>Llave_Final!K94</f>
        <v/>
      </c>
      <c r="F223">
        <f>Llave_Final!J94</f>
        <v/>
      </c>
      <c r="G223">
        <f>Llave_Final!L93</f>
        <v/>
      </c>
      <c r="H223">
        <f>Llave_Final!L94</f>
        <v/>
      </c>
      <c r="I223">
        <f>IF(OR(D223="",E223=""),"",IF(D223&gt;E223,C223,IF(E223&gt;D223,F223,IF(G223&gt;H223,C223,F223))))</f>
        <v/>
      </c>
    </row>
    <row r="224">
      <c r="A224" t="inlineStr">
        <is>
          <t>M97</t>
        </is>
      </c>
      <c r="B224" t="inlineStr">
        <is>
          <t>Cuartos</t>
        </is>
      </c>
      <c r="C224">
        <f>Llave_Final!P15</f>
        <v/>
      </c>
      <c r="D224">
        <f>Llave_Final!Q15</f>
        <v/>
      </c>
      <c r="E224">
        <f>Llave_Final!Q16</f>
        <v/>
      </c>
      <c r="F224">
        <f>Llave_Final!P16</f>
        <v/>
      </c>
      <c r="G224">
        <f>Llave_Final!R15</f>
        <v/>
      </c>
      <c r="H224">
        <f>Llave_Final!R16</f>
        <v/>
      </c>
      <c r="I224">
        <f>IF(OR(D224="",E224=""),"",IF(D224&gt;E224,C224,IF(E224&gt;D224,F224,IF(G224&gt;H224,C224,F224))))</f>
        <v/>
      </c>
    </row>
    <row r="225">
      <c r="A225" t="inlineStr">
        <is>
          <t>M98</t>
        </is>
      </c>
      <c r="B225" t="inlineStr">
        <is>
          <t>Cuartos</t>
        </is>
      </c>
      <c r="C225">
        <f>Llave_Final!P39</f>
        <v/>
      </c>
      <c r="D225">
        <f>Llave_Final!Q39</f>
        <v/>
      </c>
      <c r="E225">
        <f>Llave_Final!Q40</f>
        <v/>
      </c>
      <c r="F225">
        <f>Llave_Final!P40</f>
        <v/>
      </c>
      <c r="G225">
        <f>Llave_Final!R39</f>
        <v/>
      </c>
      <c r="H225">
        <f>Llave_Final!R40</f>
        <v/>
      </c>
      <c r="I225">
        <f>IF(OR(D225="",E225=""),"",IF(D225&gt;E225,C225,IF(E225&gt;D225,F225,IF(G225&gt;H225,C225,F225))))</f>
        <v/>
      </c>
    </row>
    <row r="226">
      <c r="A226" t="inlineStr">
        <is>
          <t>M99</t>
        </is>
      </c>
      <c r="B226" t="inlineStr">
        <is>
          <t>Cuartos</t>
        </is>
      </c>
      <c r="C226">
        <f>Llave_Final!P53</f>
        <v/>
      </c>
      <c r="D226">
        <f>Llave_Final!Q53</f>
        <v/>
      </c>
      <c r="E226">
        <f>Llave_Final!Q54</f>
        <v/>
      </c>
      <c r="F226">
        <f>Llave_Final!P54</f>
        <v/>
      </c>
      <c r="G226">
        <f>Llave_Final!R53</f>
        <v/>
      </c>
      <c r="H226">
        <f>Llave_Final!R54</f>
        <v/>
      </c>
      <c r="I226">
        <f>IF(OR(D226="",E226=""),"",IF(D226&gt;E226,C226,IF(E226&gt;D226,F226,IF(G226&gt;H226,C226,F226))))</f>
        <v/>
      </c>
    </row>
    <row r="227">
      <c r="A227" t="inlineStr">
        <is>
          <t>M100</t>
        </is>
      </c>
      <c r="B227" t="inlineStr">
        <is>
          <t>Cuartos</t>
        </is>
      </c>
      <c r="C227">
        <f>Llave_Final!P77</f>
        <v/>
      </c>
      <c r="D227">
        <f>Llave_Final!Q77</f>
        <v/>
      </c>
      <c r="E227">
        <f>Llave_Final!Q78</f>
        <v/>
      </c>
      <c r="F227">
        <f>Llave_Final!P78</f>
        <v/>
      </c>
      <c r="G227">
        <f>Llave_Final!R77</f>
        <v/>
      </c>
      <c r="H227">
        <f>Llave_Final!R78</f>
        <v/>
      </c>
      <c r="I227">
        <f>IF(OR(D227="",E227=""),"",IF(D227&gt;E227,C227,IF(E227&gt;D227,F227,IF(G227&gt;H227,C227,F227))))</f>
        <v/>
      </c>
    </row>
    <row r="228">
      <c r="A228" t="inlineStr">
        <is>
          <t>M101</t>
        </is>
      </c>
      <c r="B228" t="inlineStr">
        <is>
          <t>Semifinales</t>
        </is>
      </c>
      <c r="C228">
        <f>Llave_Final!V27</f>
        <v/>
      </c>
      <c r="D228">
        <f>Llave_Final!W27</f>
        <v/>
      </c>
      <c r="E228">
        <f>Llave_Final!W28</f>
        <v/>
      </c>
      <c r="F228">
        <f>Llave_Final!V28</f>
        <v/>
      </c>
      <c r="G228">
        <f>Llave_Final!X27</f>
        <v/>
      </c>
      <c r="H228">
        <f>Llave_Final!X28</f>
        <v/>
      </c>
      <c r="I228">
        <f>IF(OR(D228="",E228=""),"",IF(D228&gt;E228,C228,IF(E228&gt;D228,F228,IF(G228&gt;H228,C228,F228))))</f>
        <v/>
      </c>
    </row>
    <row r="229">
      <c r="A229" t="inlineStr">
        <is>
          <t>M102</t>
        </is>
      </c>
      <c r="B229" t="inlineStr">
        <is>
          <t>Semifinales</t>
        </is>
      </c>
      <c r="C229">
        <f>Llave_Final!V65</f>
        <v/>
      </c>
      <c r="D229">
        <f>Llave_Final!W65</f>
        <v/>
      </c>
      <c r="E229">
        <f>Llave_Final!W66</f>
        <v/>
      </c>
      <c r="F229">
        <f>Llave_Final!V66</f>
        <v/>
      </c>
      <c r="G229">
        <f>Llave_Final!X65</f>
        <v/>
      </c>
      <c r="H229">
        <f>Llave_Final!X66</f>
        <v/>
      </c>
      <c r="I229">
        <f>IF(OR(D229="",E229=""),"",IF(D229&gt;E229,C229,IF(E229&gt;D229,F229,IF(G229&gt;H229,C229,F229))))</f>
        <v/>
      </c>
    </row>
    <row r="230">
      <c r="A230" t="inlineStr">
        <is>
          <t>M103</t>
        </is>
      </c>
      <c r="B230" t="inlineStr">
        <is>
          <t>Finales</t>
        </is>
      </c>
      <c r="C230">
        <f>Llave_Final!AB52</f>
        <v/>
      </c>
      <c r="D230">
        <f>Llave_Final!AC52</f>
        <v/>
      </c>
      <c r="E230">
        <f>Llave_Final!AC53</f>
        <v/>
      </c>
      <c r="F230">
        <f>Llave_Final!AB53</f>
        <v/>
      </c>
      <c r="G230">
        <f>Llave_Final!AD52</f>
        <v/>
      </c>
      <c r="H230">
        <f>Llave_Final!AD53</f>
        <v/>
      </c>
      <c r="I230">
        <f>IF(OR(D230="",E230=""),"",IF(D230&gt;E230,C230,IF(E230&gt;D230,F230,IF(G230&gt;H230,C230,F230))))</f>
        <v/>
      </c>
    </row>
    <row r="231">
      <c r="A231" t="inlineStr">
        <is>
          <t>M104</t>
        </is>
      </c>
      <c r="B231" t="inlineStr">
        <is>
          <t>Finales</t>
        </is>
      </c>
      <c r="C231">
        <f>Llave_Final!AB46</f>
        <v/>
      </c>
      <c r="D231">
        <f>Llave_Final!AC46</f>
        <v/>
      </c>
      <c r="E231">
        <f>Llave_Final!AC47</f>
        <v/>
      </c>
      <c r="F231">
        <f>Llave_Final!AB47</f>
        <v/>
      </c>
      <c r="G231">
        <f>Llave_Final!AD46</f>
        <v/>
      </c>
      <c r="H231">
        <f>Llave_Final!AD47</f>
        <v/>
      </c>
      <c r="I231">
        <f>IF(OR(D231="",E231=""),"",IF(D231&gt;E231,C231,IF(E231&gt;D231,F231,IF(G231&gt;H231,C231,F231))))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BD5E0"/>
    <outlinePr summaryBelow="1" summaryRight="1"/>
    <pageSetUpPr/>
  </sheetPr>
  <dimension ref="A1:O105"/>
  <sheetViews>
    <sheetView workbookViewId="0">
      <selection activeCell="A1" sqref="A1"/>
    </sheetView>
  </sheetViews>
  <sheetFormatPr baseColWidth="10" defaultColWidth="8.7265625" defaultRowHeight="14.5"/>
  <cols>
    <col width="15" customWidth="1" style="47" min="1" max="1"/>
    <col width="13" customWidth="1" style="47" min="2" max="2"/>
    <col width="10" customWidth="1" style="47" min="3" max="3"/>
    <col width="15" customWidth="1" style="47" min="4" max="4"/>
    <col width="19" customWidth="1" style="47" min="5" max="5"/>
    <col width="14" customWidth="1" style="47" min="6" max="6"/>
    <col width="18" customWidth="1" style="47" min="7" max="7"/>
    <col width="17" customWidth="1" style="47" min="8" max="8"/>
    <col width="21" customWidth="1" style="47" min="9" max="9"/>
    <col width="12" customWidth="1" style="47" min="10" max="10"/>
    <col width="14" customWidth="1" style="47" min="11" max="11"/>
    <col width="15" customWidth="1" style="47" min="12" max="12"/>
    <col width="13" customWidth="1" style="47" min="13" max="15"/>
  </cols>
  <sheetData>
    <row r="1">
      <c r="A1" s="50" t="inlineStr">
        <is>
          <t>Participante</t>
        </is>
      </c>
      <c r="B1" s="50" t="inlineStr">
        <is>
          <t>ID Partido</t>
        </is>
      </c>
      <c r="C1" s="50" t="inlineStr">
        <is>
          <t>Fase</t>
        </is>
      </c>
      <c r="D1" s="50" t="inlineStr">
        <is>
          <t>Equipo Local</t>
        </is>
      </c>
      <c r="E1" s="50" t="inlineStr">
        <is>
          <t>Equipo Visitante</t>
        </is>
      </c>
      <c r="F1" s="50" t="inlineStr">
        <is>
          <t>Goles Local</t>
        </is>
      </c>
      <c r="G1" s="50" t="inlineStr">
        <is>
          <t>Goles Visitante</t>
        </is>
      </c>
      <c r="H1" s="50" t="inlineStr">
        <is>
          <t>Penaltis Local</t>
        </is>
      </c>
      <c r="I1" s="50" t="inlineStr">
        <is>
          <t>Penaltis Visitante</t>
        </is>
      </c>
      <c r="J1" s="50" t="inlineStr">
        <is>
          <t>Balon Oro</t>
        </is>
      </c>
      <c r="K1" s="50" t="inlineStr">
        <is>
          <t>Balon Plata</t>
        </is>
      </c>
      <c r="L1" s="50" t="inlineStr">
        <is>
          <t>Balon Bronce</t>
        </is>
      </c>
      <c r="M1" s="50" t="inlineStr">
        <is>
          <t>Goleador 1</t>
        </is>
      </c>
      <c r="N1" s="50" t="inlineStr">
        <is>
          <t>Goleador 2</t>
        </is>
      </c>
      <c r="O1" s="50" t="inlineStr">
        <is>
          <t>Goleador 3</t>
        </is>
      </c>
    </row>
    <row r="2">
      <c r="A2" s="8">
        <f>Porra_Grupos!$K$2</f>
        <v/>
      </c>
      <c r="B2" s="8">
        <f>Calculos_Internos!A2</f>
        <v/>
      </c>
      <c r="C2" s="8">
        <f>Calculos_Internos!B2</f>
        <v/>
      </c>
      <c r="D2" s="9">
        <f>Calculos_Internos!C2</f>
        <v/>
      </c>
      <c r="E2" s="9">
        <f>Calculos_Internos!F2</f>
        <v/>
      </c>
      <c r="F2" s="8">
        <f>Calculos_Internos!D2</f>
        <v/>
      </c>
      <c r="G2" s="8">
        <f>Calculos_Internos!E2</f>
        <v/>
      </c>
      <c r="H2" s="8">
        <f>IF(Calculos_Internos!G2="-", "-", Calculos_Internos!G2)</f>
        <v/>
      </c>
      <c r="I2" s="8">
        <f>IF(Calculos_Internos!H2="-", "-", Calculos_Internos!H2)</f>
        <v/>
      </c>
      <c r="J2" s="12">
        <f>Porra_Grupos!$D$6</f>
        <v/>
      </c>
      <c r="K2" s="12">
        <f>Porra_Grupos!$D$7</f>
        <v/>
      </c>
      <c r="L2" s="12">
        <f>Porra_Grupos!$D$8</f>
        <v/>
      </c>
      <c r="M2" s="12">
        <f>Porra_Grupos!$D$9</f>
        <v/>
      </c>
      <c r="N2" s="12">
        <f>Porra_Grupos!$D$10</f>
        <v/>
      </c>
      <c r="O2" s="12">
        <f>Porra_Grupos!$D$11</f>
        <v/>
      </c>
    </row>
    <row r="3">
      <c r="A3" s="6">
        <f>Porra_Grupos!$K$2</f>
        <v/>
      </c>
      <c r="B3" s="6">
        <f>Calculos_Internos!A3</f>
        <v/>
      </c>
      <c r="C3" s="6">
        <f>Calculos_Internos!B3</f>
        <v/>
      </c>
      <c r="D3" s="7">
        <f>Calculos_Internos!C3</f>
        <v/>
      </c>
      <c r="E3" s="7">
        <f>Calculos_Internos!F3</f>
        <v/>
      </c>
      <c r="F3" s="6">
        <f>Calculos_Internos!D3</f>
        <v/>
      </c>
      <c r="G3" s="6">
        <f>Calculos_Internos!E3</f>
        <v/>
      </c>
      <c r="H3" s="6">
        <f>IF(Calculos_Internos!G3="-", "-", Calculos_Internos!G3)</f>
        <v/>
      </c>
      <c r="I3" s="6">
        <f>IF(Calculos_Internos!H3="-", "-", Calculos_Internos!H3)</f>
        <v/>
      </c>
      <c r="J3" s="4">
        <f>Porra_Grupos!$D$6</f>
        <v/>
      </c>
      <c r="K3" s="4">
        <f>Porra_Grupos!$D$7</f>
        <v/>
      </c>
      <c r="L3" s="4">
        <f>Porra_Grupos!$D$8</f>
        <v/>
      </c>
      <c r="M3" s="4">
        <f>Porra_Grupos!$D$9</f>
        <v/>
      </c>
      <c r="N3" s="4">
        <f>Porra_Grupos!$D$10</f>
        <v/>
      </c>
      <c r="O3" s="4">
        <f>Porra_Grupos!$D$11</f>
        <v/>
      </c>
    </row>
    <row r="4">
      <c r="A4" s="8">
        <f>Porra_Grupos!$K$2</f>
        <v/>
      </c>
      <c r="B4" s="8">
        <f>Calculos_Internos!A4</f>
        <v/>
      </c>
      <c r="C4" s="8">
        <f>Calculos_Internos!B4</f>
        <v/>
      </c>
      <c r="D4" s="9">
        <f>Calculos_Internos!C4</f>
        <v/>
      </c>
      <c r="E4" s="9">
        <f>Calculos_Internos!F4</f>
        <v/>
      </c>
      <c r="F4" s="8">
        <f>Calculos_Internos!D4</f>
        <v/>
      </c>
      <c r="G4" s="8">
        <f>Calculos_Internos!E4</f>
        <v/>
      </c>
      <c r="H4" s="8">
        <f>IF(Calculos_Internos!G4="-", "-", Calculos_Internos!G4)</f>
        <v/>
      </c>
      <c r="I4" s="8">
        <f>IF(Calculos_Internos!H4="-", "-", Calculos_Internos!H4)</f>
        <v/>
      </c>
      <c r="J4" s="12">
        <f>Porra_Grupos!$D$6</f>
        <v/>
      </c>
      <c r="K4" s="12">
        <f>Porra_Grupos!$D$7</f>
        <v/>
      </c>
      <c r="L4" s="12">
        <f>Porra_Grupos!$D$8</f>
        <v/>
      </c>
      <c r="M4" s="12">
        <f>Porra_Grupos!$D$9</f>
        <v/>
      </c>
      <c r="N4" s="12">
        <f>Porra_Grupos!$D$10</f>
        <v/>
      </c>
      <c r="O4" s="12">
        <f>Porra_Grupos!$D$11</f>
        <v/>
      </c>
    </row>
    <row r="5">
      <c r="A5" s="6">
        <f>Porra_Grupos!$K$2</f>
        <v/>
      </c>
      <c r="B5" s="6">
        <f>Calculos_Internos!A5</f>
        <v/>
      </c>
      <c r="C5" s="6">
        <f>Calculos_Internos!B5</f>
        <v/>
      </c>
      <c r="D5" s="7">
        <f>Calculos_Internos!C5</f>
        <v/>
      </c>
      <c r="E5" s="7">
        <f>Calculos_Internos!F5</f>
        <v/>
      </c>
      <c r="F5" s="6">
        <f>Calculos_Internos!D5</f>
        <v/>
      </c>
      <c r="G5" s="6">
        <f>Calculos_Internos!E5</f>
        <v/>
      </c>
      <c r="H5" s="6">
        <f>IF(Calculos_Internos!G5="-", "-", Calculos_Internos!G5)</f>
        <v/>
      </c>
      <c r="I5" s="6">
        <f>IF(Calculos_Internos!H5="-", "-", Calculos_Internos!H5)</f>
        <v/>
      </c>
      <c r="J5" s="4">
        <f>Porra_Grupos!$D$6</f>
        <v/>
      </c>
      <c r="K5" s="4">
        <f>Porra_Grupos!$D$7</f>
        <v/>
      </c>
      <c r="L5" s="4">
        <f>Porra_Grupos!$D$8</f>
        <v/>
      </c>
      <c r="M5" s="4">
        <f>Porra_Grupos!$D$9</f>
        <v/>
      </c>
      <c r="N5" s="4">
        <f>Porra_Grupos!$D$10</f>
        <v/>
      </c>
      <c r="O5" s="4">
        <f>Porra_Grupos!$D$11</f>
        <v/>
      </c>
    </row>
    <row r="6">
      <c r="A6" s="8">
        <f>Porra_Grupos!$K$2</f>
        <v/>
      </c>
      <c r="B6" s="8">
        <f>Calculos_Internos!A6</f>
        <v/>
      </c>
      <c r="C6" s="8">
        <f>Calculos_Internos!B6</f>
        <v/>
      </c>
      <c r="D6" s="9">
        <f>Calculos_Internos!C6</f>
        <v/>
      </c>
      <c r="E6" s="9">
        <f>Calculos_Internos!F6</f>
        <v/>
      </c>
      <c r="F6" s="8">
        <f>Calculos_Internos!D6</f>
        <v/>
      </c>
      <c r="G6" s="8">
        <f>Calculos_Internos!E6</f>
        <v/>
      </c>
      <c r="H6" s="8">
        <f>IF(Calculos_Internos!G6="-", "-", Calculos_Internos!G6)</f>
        <v/>
      </c>
      <c r="I6" s="8">
        <f>IF(Calculos_Internos!H6="-", "-", Calculos_Internos!H6)</f>
        <v/>
      </c>
      <c r="J6" s="12">
        <f>Porra_Grupos!$D$6</f>
        <v/>
      </c>
      <c r="K6" s="12">
        <f>Porra_Grupos!$D$7</f>
        <v/>
      </c>
      <c r="L6" s="12">
        <f>Porra_Grupos!$D$8</f>
        <v/>
      </c>
      <c r="M6" s="12">
        <f>Porra_Grupos!$D$9</f>
        <v/>
      </c>
      <c r="N6" s="12">
        <f>Porra_Grupos!$D$10</f>
        <v/>
      </c>
      <c r="O6" s="12">
        <f>Porra_Grupos!$D$11</f>
        <v/>
      </c>
    </row>
    <row r="7">
      <c r="A7" s="6">
        <f>Porra_Grupos!$K$2</f>
        <v/>
      </c>
      <c r="B7" s="6">
        <f>Calculos_Internos!A7</f>
        <v/>
      </c>
      <c r="C7" s="6">
        <f>Calculos_Internos!B7</f>
        <v/>
      </c>
      <c r="D7" s="7">
        <f>Calculos_Internos!C7</f>
        <v/>
      </c>
      <c r="E7" s="7">
        <f>Calculos_Internos!F7</f>
        <v/>
      </c>
      <c r="F7" s="6">
        <f>Calculos_Internos!D7</f>
        <v/>
      </c>
      <c r="G7" s="6">
        <f>Calculos_Internos!E7</f>
        <v/>
      </c>
      <c r="H7" s="6">
        <f>IF(Calculos_Internos!G7="-", "-", Calculos_Internos!G7)</f>
        <v/>
      </c>
      <c r="I7" s="6">
        <f>IF(Calculos_Internos!H7="-", "-", Calculos_Internos!H7)</f>
        <v/>
      </c>
      <c r="J7" s="4">
        <f>Porra_Grupos!$D$6</f>
        <v/>
      </c>
      <c r="K7" s="4">
        <f>Porra_Grupos!$D$7</f>
        <v/>
      </c>
      <c r="L7" s="4">
        <f>Porra_Grupos!$D$8</f>
        <v/>
      </c>
      <c r="M7" s="4">
        <f>Porra_Grupos!$D$9</f>
        <v/>
      </c>
      <c r="N7" s="4">
        <f>Porra_Grupos!$D$10</f>
        <v/>
      </c>
      <c r="O7" s="4">
        <f>Porra_Grupos!$D$11</f>
        <v/>
      </c>
    </row>
    <row r="8">
      <c r="A8" s="8">
        <f>Porra_Grupos!$K$2</f>
        <v/>
      </c>
      <c r="B8" s="8">
        <f>Calculos_Internos!A8</f>
        <v/>
      </c>
      <c r="C8" s="8">
        <f>Calculos_Internos!B8</f>
        <v/>
      </c>
      <c r="D8" s="9">
        <f>Calculos_Internos!C8</f>
        <v/>
      </c>
      <c r="E8" s="9">
        <f>Calculos_Internos!F8</f>
        <v/>
      </c>
      <c r="F8" s="8">
        <f>Calculos_Internos!D8</f>
        <v/>
      </c>
      <c r="G8" s="8">
        <f>Calculos_Internos!E8</f>
        <v/>
      </c>
      <c r="H8" s="8">
        <f>IF(Calculos_Internos!G8="-", "-", Calculos_Internos!G8)</f>
        <v/>
      </c>
      <c r="I8" s="8">
        <f>IF(Calculos_Internos!H8="-", "-", Calculos_Internos!H8)</f>
        <v/>
      </c>
      <c r="J8" s="12">
        <f>Porra_Grupos!$D$6</f>
        <v/>
      </c>
      <c r="K8" s="12">
        <f>Porra_Grupos!$D$7</f>
        <v/>
      </c>
      <c r="L8" s="12">
        <f>Porra_Grupos!$D$8</f>
        <v/>
      </c>
      <c r="M8" s="12">
        <f>Porra_Grupos!$D$9</f>
        <v/>
      </c>
      <c r="N8" s="12">
        <f>Porra_Grupos!$D$10</f>
        <v/>
      </c>
      <c r="O8" s="12">
        <f>Porra_Grupos!$D$11</f>
        <v/>
      </c>
    </row>
    <row r="9">
      <c r="A9" s="6">
        <f>Porra_Grupos!$K$2</f>
        <v/>
      </c>
      <c r="B9" s="6">
        <f>Calculos_Internos!A9</f>
        <v/>
      </c>
      <c r="C9" s="6">
        <f>Calculos_Internos!B9</f>
        <v/>
      </c>
      <c r="D9" s="7">
        <f>Calculos_Internos!C9</f>
        <v/>
      </c>
      <c r="E9" s="7">
        <f>Calculos_Internos!F9</f>
        <v/>
      </c>
      <c r="F9" s="6">
        <f>Calculos_Internos!D9</f>
        <v/>
      </c>
      <c r="G9" s="6">
        <f>Calculos_Internos!E9</f>
        <v/>
      </c>
      <c r="H9" s="6">
        <f>IF(Calculos_Internos!G9="-", "-", Calculos_Internos!G9)</f>
        <v/>
      </c>
      <c r="I9" s="6">
        <f>IF(Calculos_Internos!H9="-", "-", Calculos_Internos!H9)</f>
        <v/>
      </c>
      <c r="J9" s="4">
        <f>Porra_Grupos!$D$6</f>
        <v/>
      </c>
      <c r="K9" s="4">
        <f>Porra_Grupos!$D$7</f>
        <v/>
      </c>
      <c r="L9" s="4">
        <f>Porra_Grupos!$D$8</f>
        <v/>
      </c>
      <c r="M9" s="4">
        <f>Porra_Grupos!$D$9</f>
        <v/>
      </c>
      <c r="N9" s="4">
        <f>Porra_Grupos!$D$10</f>
        <v/>
      </c>
      <c r="O9" s="4">
        <f>Porra_Grupos!$D$11</f>
        <v/>
      </c>
    </row>
    <row r="10">
      <c r="A10" s="8">
        <f>Porra_Grupos!$K$2</f>
        <v/>
      </c>
      <c r="B10" s="8">
        <f>Calculos_Internos!A10</f>
        <v/>
      </c>
      <c r="C10" s="8">
        <f>Calculos_Internos!B10</f>
        <v/>
      </c>
      <c r="D10" s="9">
        <f>Calculos_Internos!C10</f>
        <v/>
      </c>
      <c r="E10" s="9">
        <f>Calculos_Internos!F10</f>
        <v/>
      </c>
      <c r="F10" s="8">
        <f>Calculos_Internos!D10</f>
        <v/>
      </c>
      <c r="G10" s="8">
        <f>Calculos_Internos!E10</f>
        <v/>
      </c>
      <c r="H10" s="8">
        <f>IF(Calculos_Internos!G10="-", "-", Calculos_Internos!G10)</f>
        <v/>
      </c>
      <c r="I10" s="8">
        <f>IF(Calculos_Internos!H10="-", "-", Calculos_Internos!H10)</f>
        <v/>
      </c>
      <c r="J10" s="12">
        <f>Porra_Grupos!$D$6</f>
        <v/>
      </c>
      <c r="K10" s="12">
        <f>Porra_Grupos!$D$7</f>
        <v/>
      </c>
      <c r="L10" s="12">
        <f>Porra_Grupos!$D$8</f>
        <v/>
      </c>
      <c r="M10" s="12">
        <f>Porra_Grupos!$D$9</f>
        <v/>
      </c>
      <c r="N10" s="12">
        <f>Porra_Grupos!$D$10</f>
        <v/>
      </c>
      <c r="O10" s="12">
        <f>Porra_Grupos!$D$11</f>
        <v/>
      </c>
    </row>
    <row r="11">
      <c r="A11" s="6">
        <f>Porra_Grupos!$K$2</f>
        <v/>
      </c>
      <c r="B11" s="6">
        <f>Calculos_Internos!A11</f>
        <v/>
      </c>
      <c r="C11" s="6">
        <f>Calculos_Internos!B11</f>
        <v/>
      </c>
      <c r="D11" s="7">
        <f>Calculos_Internos!C11</f>
        <v/>
      </c>
      <c r="E11" s="7">
        <f>Calculos_Internos!F11</f>
        <v/>
      </c>
      <c r="F11" s="6">
        <f>Calculos_Internos!D11</f>
        <v/>
      </c>
      <c r="G11" s="6">
        <f>Calculos_Internos!E11</f>
        <v/>
      </c>
      <c r="H11" s="6">
        <f>IF(Calculos_Internos!G11="-", "-", Calculos_Internos!G11)</f>
        <v/>
      </c>
      <c r="I11" s="6">
        <f>IF(Calculos_Internos!H11="-", "-", Calculos_Internos!H11)</f>
        <v/>
      </c>
      <c r="J11" s="4">
        <f>Porra_Grupos!$D$6</f>
        <v/>
      </c>
      <c r="K11" s="4">
        <f>Porra_Grupos!$D$7</f>
        <v/>
      </c>
      <c r="L11" s="4">
        <f>Porra_Grupos!$D$8</f>
        <v/>
      </c>
      <c r="M11" s="4">
        <f>Porra_Grupos!$D$9</f>
        <v/>
      </c>
      <c r="N11" s="4">
        <f>Porra_Grupos!$D$10</f>
        <v/>
      </c>
      <c r="O11" s="4">
        <f>Porra_Grupos!$D$11</f>
        <v/>
      </c>
    </row>
    <row r="12">
      <c r="A12" s="8">
        <f>Porra_Grupos!$K$2</f>
        <v/>
      </c>
      <c r="B12" s="8">
        <f>Calculos_Internos!A12</f>
        <v/>
      </c>
      <c r="C12" s="8">
        <f>Calculos_Internos!B12</f>
        <v/>
      </c>
      <c r="D12" s="9">
        <f>Calculos_Internos!C12</f>
        <v/>
      </c>
      <c r="E12" s="9">
        <f>Calculos_Internos!F12</f>
        <v/>
      </c>
      <c r="F12" s="8">
        <f>Calculos_Internos!D12</f>
        <v/>
      </c>
      <c r="G12" s="8">
        <f>Calculos_Internos!E12</f>
        <v/>
      </c>
      <c r="H12" s="8">
        <f>IF(Calculos_Internos!G12="-", "-", Calculos_Internos!G12)</f>
        <v/>
      </c>
      <c r="I12" s="8">
        <f>IF(Calculos_Internos!H12="-", "-", Calculos_Internos!H12)</f>
        <v/>
      </c>
      <c r="J12" s="12">
        <f>Porra_Grupos!$D$6</f>
        <v/>
      </c>
      <c r="K12" s="12">
        <f>Porra_Grupos!$D$7</f>
        <v/>
      </c>
      <c r="L12" s="12">
        <f>Porra_Grupos!$D$8</f>
        <v/>
      </c>
      <c r="M12" s="12">
        <f>Porra_Grupos!$D$9</f>
        <v/>
      </c>
      <c r="N12" s="12">
        <f>Porra_Grupos!$D$10</f>
        <v/>
      </c>
      <c r="O12" s="12">
        <f>Porra_Grupos!$D$11</f>
        <v/>
      </c>
    </row>
    <row r="13">
      <c r="A13" s="6">
        <f>Porra_Grupos!$K$2</f>
        <v/>
      </c>
      <c r="B13" s="6">
        <f>Calculos_Internos!A13</f>
        <v/>
      </c>
      <c r="C13" s="6">
        <f>Calculos_Internos!B13</f>
        <v/>
      </c>
      <c r="D13" s="7">
        <f>Calculos_Internos!C13</f>
        <v/>
      </c>
      <c r="E13" s="7">
        <f>Calculos_Internos!F13</f>
        <v/>
      </c>
      <c r="F13" s="6">
        <f>Calculos_Internos!D13</f>
        <v/>
      </c>
      <c r="G13" s="6">
        <f>Calculos_Internos!E13</f>
        <v/>
      </c>
      <c r="H13" s="6">
        <f>IF(Calculos_Internos!G13="-", "-", Calculos_Internos!G13)</f>
        <v/>
      </c>
      <c r="I13" s="6">
        <f>IF(Calculos_Internos!H13="-", "-", Calculos_Internos!H13)</f>
        <v/>
      </c>
      <c r="J13" s="4">
        <f>Porra_Grupos!$D$6</f>
        <v/>
      </c>
      <c r="K13" s="4">
        <f>Porra_Grupos!$D$7</f>
        <v/>
      </c>
      <c r="L13" s="4">
        <f>Porra_Grupos!$D$8</f>
        <v/>
      </c>
      <c r="M13" s="4">
        <f>Porra_Grupos!$D$9</f>
        <v/>
      </c>
      <c r="N13" s="4">
        <f>Porra_Grupos!$D$10</f>
        <v/>
      </c>
      <c r="O13" s="4">
        <f>Porra_Grupos!$D$11</f>
        <v/>
      </c>
    </row>
    <row r="14">
      <c r="A14" s="8">
        <f>Porra_Grupos!$K$2</f>
        <v/>
      </c>
      <c r="B14" s="8">
        <f>Calculos_Internos!A14</f>
        <v/>
      </c>
      <c r="C14" s="8">
        <f>Calculos_Internos!B14</f>
        <v/>
      </c>
      <c r="D14" s="9">
        <f>Calculos_Internos!C14</f>
        <v/>
      </c>
      <c r="E14" s="9">
        <f>Calculos_Internos!F14</f>
        <v/>
      </c>
      <c r="F14" s="8">
        <f>Calculos_Internos!D14</f>
        <v/>
      </c>
      <c r="G14" s="8">
        <f>Calculos_Internos!E14</f>
        <v/>
      </c>
      <c r="H14" s="8">
        <f>IF(Calculos_Internos!G14="-", "-", Calculos_Internos!G14)</f>
        <v/>
      </c>
      <c r="I14" s="8">
        <f>IF(Calculos_Internos!H14="-", "-", Calculos_Internos!H14)</f>
        <v/>
      </c>
      <c r="J14" s="12">
        <f>Porra_Grupos!$D$6</f>
        <v/>
      </c>
      <c r="K14" s="12">
        <f>Porra_Grupos!$D$7</f>
        <v/>
      </c>
      <c r="L14" s="12">
        <f>Porra_Grupos!$D$8</f>
        <v/>
      </c>
      <c r="M14" s="12">
        <f>Porra_Grupos!$D$9</f>
        <v/>
      </c>
      <c r="N14" s="12">
        <f>Porra_Grupos!$D$10</f>
        <v/>
      </c>
      <c r="O14" s="12">
        <f>Porra_Grupos!$D$11</f>
        <v/>
      </c>
    </row>
    <row r="15">
      <c r="A15" s="6">
        <f>Porra_Grupos!$K$2</f>
        <v/>
      </c>
      <c r="B15" s="6">
        <f>Calculos_Internos!A15</f>
        <v/>
      </c>
      <c r="C15" s="6">
        <f>Calculos_Internos!B15</f>
        <v/>
      </c>
      <c r="D15" s="7">
        <f>Calculos_Internos!C15</f>
        <v/>
      </c>
      <c r="E15" s="7">
        <f>Calculos_Internos!F15</f>
        <v/>
      </c>
      <c r="F15" s="6">
        <f>Calculos_Internos!D15</f>
        <v/>
      </c>
      <c r="G15" s="6">
        <f>Calculos_Internos!E15</f>
        <v/>
      </c>
      <c r="H15" s="6">
        <f>IF(Calculos_Internos!G15="-", "-", Calculos_Internos!G15)</f>
        <v/>
      </c>
      <c r="I15" s="6">
        <f>IF(Calculos_Internos!H15="-", "-", Calculos_Internos!H15)</f>
        <v/>
      </c>
      <c r="J15" s="4">
        <f>Porra_Grupos!$D$6</f>
        <v/>
      </c>
      <c r="K15" s="4">
        <f>Porra_Grupos!$D$7</f>
        <v/>
      </c>
      <c r="L15" s="4">
        <f>Porra_Grupos!$D$8</f>
        <v/>
      </c>
      <c r="M15" s="4">
        <f>Porra_Grupos!$D$9</f>
        <v/>
      </c>
      <c r="N15" s="4">
        <f>Porra_Grupos!$D$10</f>
        <v/>
      </c>
      <c r="O15" s="4">
        <f>Porra_Grupos!$D$11</f>
        <v/>
      </c>
    </row>
    <row r="16">
      <c r="A16" s="8">
        <f>Porra_Grupos!$K$2</f>
        <v/>
      </c>
      <c r="B16" s="8">
        <f>Calculos_Internos!A16</f>
        <v/>
      </c>
      <c r="C16" s="8">
        <f>Calculos_Internos!B16</f>
        <v/>
      </c>
      <c r="D16" s="9">
        <f>Calculos_Internos!C16</f>
        <v/>
      </c>
      <c r="E16" s="9">
        <f>Calculos_Internos!F16</f>
        <v/>
      </c>
      <c r="F16" s="8">
        <f>Calculos_Internos!D16</f>
        <v/>
      </c>
      <c r="G16" s="8">
        <f>Calculos_Internos!E16</f>
        <v/>
      </c>
      <c r="H16" s="8">
        <f>IF(Calculos_Internos!G16="-", "-", Calculos_Internos!G16)</f>
        <v/>
      </c>
      <c r="I16" s="8">
        <f>IF(Calculos_Internos!H16="-", "-", Calculos_Internos!H16)</f>
        <v/>
      </c>
      <c r="J16" s="12">
        <f>Porra_Grupos!$D$6</f>
        <v/>
      </c>
      <c r="K16" s="12">
        <f>Porra_Grupos!$D$7</f>
        <v/>
      </c>
      <c r="L16" s="12">
        <f>Porra_Grupos!$D$8</f>
        <v/>
      </c>
      <c r="M16" s="12">
        <f>Porra_Grupos!$D$9</f>
        <v/>
      </c>
      <c r="N16" s="12">
        <f>Porra_Grupos!$D$10</f>
        <v/>
      </c>
      <c r="O16" s="12">
        <f>Porra_Grupos!$D$11</f>
        <v/>
      </c>
    </row>
    <row r="17">
      <c r="A17" s="6">
        <f>Porra_Grupos!$K$2</f>
        <v/>
      </c>
      <c r="B17" s="6">
        <f>Calculos_Internos!A17</f>
        <v/>
      </c>
      <c r="C17" s="6">
        <f>Calculos_Internos!B17</f>
        <v/>
      </c>
      <c r="D17" s="7">
        <f>Calculos_Internos!C17</f>
        <v/>
      </c>
      <c r="E17" s="7">
        <f>Calculos_Internos!F17</f>
        <v/>
      </c>
      <c r="F17" s="6">
        <f>Calculos_Internos!D17</f>
        <v/>
      </c>
      <c r="G17" s="6">
        <f>Calculos_Internos!E17</f>
        <v/>
      </c>
      <c r="H17" s="6">
        <f>IF(Calculos_Internos!G17="-", "-", Calculos_Internos!G17)</f>
        <v/>
      </c>
      <c r="I17" s="6">
        <f>IF(Calculos_Internos!H17="-", "-", Calculos_Internos!H17)</f>
        <v/>
      </c>
      <c r="J17" s="4">
        <f>Porra_Grupos!$D$6</f>
        <v/>
      </c>
      <c r="K17" s="4">
        <f>Porra_Grupos!$D$7</f>
        <v/>
      </c>
      <c r="L17" s="4">
        <f>Porra_Grupos!$D$8</f>
        <v/>
      </c>
      <c r="M17" s="4">
        <f>Porra_Grupos!$D$9</f>
        <v/>
      </c>
      <c r="N17" s="4">
        <f>Porra_Grupos!$D$10</f>
        <v/>
      </c>
      <c r="O17" s="4">
        <f>Porra_Grupos!$D$11</f>
        <v/>
      </c>
    </row>
    <row r="18">
      <c r="A18" s="8">
        <f>Porra_Grupos!$K$2</f>
        <v/>
      </c>
      <c r="B18" s="8">
        <f>Calculos_Internos!A18</f>
        <v/>
      </c>
      <c r="C18" s="8">
        <f>Calculos_Internos!B18</f>
        <v/>
      </c>
      <c r="D18" s="9">
        <f>Calculos_Internos!C18</f>
        <v/>
      </c>
      <c r="E18" s="9">
        <f>Calculos_Internos!F18</f>
        <v/>
      </c>
      <c r="F18" s="8">
        <f>Calculos_Internos!D18</f>
        <v/>
      </c>
      <c r="G18" s="8">
        <f>Calculos_Internos!E18</f>
        <v/>
      </c>
      <c r="H18" s="8">
        <f>IF(Calculos_Internos!G18="-", "-", Calculos_Internos!G18)</f>
        <v/>
      </c>
      <c r="I18" s="8">
        <f>IF(Calculos_Internos!H18="-", "-", Calculos_Internos!H18)</f>
        <v/>
      </c>
      <c r="J18" s="12">
        <f>Porra_Grupos!$D$6</f>
        <v/>
      </c>
      <c r="K18" s="12">
        <f>Porra_Grupos!$D$7</f>
        <v/>
      </c>
      <c r="L18" s="12">
        <f>Porra_Grupos!$D$8</f>
        <v/>
      </c>
      <c r="M18" s="12">
        <f>Porra_Grupos!$D$9</f>
        <v/>
      </c>
      <c r="N18" s="12">
        <f>Porra_Grupos!$D$10</f>
        <v/>
      </c>
      <c r="O18" s="12">
        <f>Porra_Grupos!$D$11</f>
        <v/>
      </c>
    </row>
    <row r="19">
      <c r="A19" s="6">
        <f>Porra_Grupos!$K$2</f>
        <v/>
      </c>
      <c r="B19" s="6">
        <f>Calculos_Internos!A19</f>
        <v/>
      </c>
      <c r="C19" s="6">
        <f>Calculos_Internos!B19</f>
        <v/>
      </c>
      <c r="D19" s="7">
        <f>Calculos_Internos!C19</f>
        <v/>
      </c>
      <c r="E19" s="7">
        <f>Calculos_Internos!F19</f>
        <v/>
      </c>
      <c r="F19" s="6">
        <f>Calculos_Internos!D19</f>
        <v/>
      </c>
      <c r="G19" s="6">
        <f>Calculos_Internos!E19</f>
        <v/>
      </c>
      <c r="H19" s="6">
        <f>IF(Calculos_Internos!G19="-", "-", Calculos_Internos!G19)</f>
        <v/>
      </c>
      <c r="I19" s="6">
        <f>IF(Calculos_Internos!H19="-", "-", Calculos_Internos!H19)</f>
        <v/>
      </c>
      <c r="J19" s="4">
        <f>Porra_Grupos!$D$6</f>
        <v/>
      </c>
      <c r="K19" s="4">
        <f>Porra_Grupos!$D$7</f>
        <v/>
      </c>
      <c r="L19" s="4">
        <f>Porra_Grupos!$D$8</f>
        <v/>
      </c>
      <c r="M19" s="4">
        <f>Porra_Grupos!$D$9</f>
        <v/>
      </c>
      <c r="N19" s="4">
        <f>Porra_Grupos!$D$10</f>
        <v/>
      </c>
      <c r="O19" s="4">
        <f>Porra_Grupos!$D$11</f>
        <v/>
      </c>
    </row>
    <row r="20">
      <c r="A20" s="8">
        <f>Porra_Grupos!$K$2</f>
        <v/>
      </c>
      <c r="B20" s="8">
        <f>Calculos_Internos!A20</f>
        <v/>
      </c>
      <c r="C20" s="8">
        <f>Calculos_Internos!B20</f>
        <v/>
      </c>
      <c r="D20" s="9">
        <f>Calculos_Internos!C20</f>
        <v/>
      </c>
      <c r="E20" s="9">
        <f>Calculos_Internos!F20</f>
        <v/>
      </c>
      <c r="F20" s="8">
        <f>Calculos_Internos!D20</f>
        <v/>
      </c>
      <c r="G20" s="8">
        <f>Calculos_Internos!E20</f>
        <v/>
      </c>
      <c r="H20" s="8">
        <f>IF(Calculos_Internos!G20="-", "-", Calculos_Internos!G20)</f>
        <v/>
      </c>
      <c r="I20" s="8">
        <f>IF(Calculos_Internos!H20="-", "-", Calculos_Internos!H20)</f>
        <v/>
      </c>
      <c r="J20" s="12">
        <f>Porra_Grupos!$D$6</f>
        <v/>
      </c>
      <c r="K20" s="12">
        <f>Porra_Grupos!$D$7</f>
        <v/>
      </c>
      <c r="L20" s="12">
        <f>Porra_Grupos!$D$8</f>
        <v/>
      </c>
      <c r="M20" s="12">
        <f>Porra_Grupos!$D$9</f>
        <v/>
      </c>
      <c r="N20" s="12">
        <f>Porra_Grupos!$D$10</f>
        <v/>
      </c>
      <c r="O20" s="12">
        <f>Porra_Grupos!$D$11</f>
        <v/>
      </c>
    </row>
    <row r="21">
      <c r="A21" s="6">
        <f>Porra_Grupos!$K$2</f>
        <v/>
      </c>
      <c r="B21" s="6">
        <f>Calculos_Internos!A21</f>
        <v/>
      </c>
      <c r="C21" s="6">
        <f>Calculos_Internos!B21</f>
        <v/>
      </c>
      <c r="D21" s="7">
        <f>Calculos_Internos!C21</f>
        <v/>
      </c>
      <c r="E21" s="7">
        <f>Calculos_Internos!F21</f>
        <v/>
      </c>
      <c r="F21" s="6">
        <f>Calculos_Internos!D21</f>
        <v/>
      </c>
      <c r="G21" s="6">
        <f>Calculos_Internos!E21</f>
        <v/>
      </c>
      <c r="H21" s="6">
        <f>IF(Calculos_Internos!G21="-", "-", Calculos_Internos!G21)</f>
        <v/>
      </c>
      <c r="I21" s="6">
        <f>IF(Calculos_Internos!H21="-", "-", Calculos_Internos!H21)</f>
        <v/>
      </c>
      <c r="J21" s="4">
        <f>Porra_Grupos!$D$6</f>
        <v/>
      </c>
      <c r="K21" s="4">
        <f>Porra_Grupos!$D$7</f>
        <v/>
      </c>
      <c r="L21" s="4">
        <f>Porra_Grupos!$D$8</f>
        <v/>
      </c>
      <c r="M21" s="4">
        <f>Porra_Grupos!$D$9</f>
        <v/>
      </c>
      <c r="N21" s="4">
        <f>Porra_Grupos!$D$10</f>
        <v/>
      </c>
      <c r="O21" s="4">
        <f>Porra_Grupos!$D$11</f>
        <v/>
      </c>
    </row>
    <row r="22">
      <c r="A22" s="8">
        <f>Porra_Grupos!$K$2</f>
        <v/>
      </c>
      <c r="B22" s="8">
        <f>Calculos_Internos!A22</f>
        <v/>
      </c>
      <c r="C22" s="8">
        <f>Calculos_Internos!B22</f>
        <v/>
      </c>
      <c r="D22" s="9">
        <f>Calculos_Internos!C22</f>
        <v/>
      </c>
      <c r="E22" s="9">
        <f>Calculos_Internos!F22</f>
        <v/>
      </c>
      <c r="F22" s="8">
        <f>Calculos_Internos!D22</f>
        <v/>
      </c>
      <c r="G22" s="8">
        <f>Calculos_Internos!E22</f>
        <v/>
      </c>
      <c r="H22" s="8">
        <f>IF(Calculos_Internos!G22="-", "-", Calculos_Internos!G22)</f>
        <v/>
      </c>
      <c r="I22" s="8">
        <f>IF(Calculos_Internos!H22="-", "-", Calculos_Internos!H22)</f>
        <v/>
      </c>
      <c r="J22" s="12">
        <f>Porra_Grupos!$D$6</f>
        <v/>
      </c>
      <c r="K22" s="12">
        <f>Porra_Grupos!$D$7</f>
        <v/>
      </c>
      <c r="L22" s="12">
        <f>Porra_Grupos!$D$8</f>
        <v/>
      </c>
      <c r="M22" s="12">
        <f>Porra_Grupos!$D$9</f>
        <v/>
      </c>
      <c r="N22" s="12">
        <f>Porra_Grupos!$D$10</f>
        <v/>
      </c>
      <c r="O22" s="12">
        <f>Porra_Grupos!$D$11</f>
        <v/>
      </c>
    </row>
    <row r="23">
      <c r="A23" s="6">
        <f>Porra_Grupos!$K$2</f>
        <v/>
      </c>
      <c r="B23" s="6">
        <f>Calculos_Internos!A23</f>
        <v/>
      </c>
      <c r="C23" s="6">
        <f>Calculos_Internos!B23</f>
        <v/>
      </c>
      <c r="D23" s="7">
        <f>Calculos_Internos!C23</f>
        <v/>
      </c>
      <c r="E23" s="7">
        <f>Calculos_Internos!F23</f>
        <v/>
      </c>
      <c r="F23" s="6">
        <f>Calculos_Internos!D23</f>
        <v/>
      </c>
      <c r="G23" s="6">
        <f>Calculos_Internos!E23</f>
        <v/>
      </c>
      <c r="H23" s="6">
        <f>IF(Calculos_Internos!G23="-", "-", Calculos_Internos!G23)</f>
        <v/>
      </c>
      <c r="I23" s="6">
        <f>IF(Calculos_Internos!H23="-", "-", Calculos_Internos!H23)</f>
        <v/>
      </c>
      <c r="J23" s="4">
        <f>Porra_Grupos!$D$6</f>
        <v/>
      </c>
      <c r="K23" s="4">
        <f>Porra_Grupos!$D$7</f>
        <v/>
      </c>
      <c r="L23" s="4">
        <f>Porra_Grupos!$D$8</f>
        <v/>
      </c>
      <c r="M23" s="4">
        <f>Porra_Grupos!$D$9</f>
        <v/>
      </c>
      <c r="N23" s="4">
        <f>Porra_Grupos!$D$10</f>
        <v/>
      </c>
      <c r="O23" s="4">
        <f>Porra_Grupos!$D$11</f>
        <v/>
      </c>
    </row>
    <row r="24">
      <c r="A24" s="8">
        <f>Porra_Grupos!$K$2</f>
        <v/>
      </c>
      <c r="B24" s="8">
        <f>Calculos_Internos!A24</f>
        <v/>
      </c>
      <c r="C24" s="8">
        <f>Calculos_Internos!B24</f>
        <v/>
      </c>
      <c r="D24" s="9">
        <f>Calculos_Internos!C24</f>
        <v/>
      </c>
      <c r="E24" s="9">
        <f>Calculos_Internos!F24</f>
        <v/>
      </c>
      <c r="F24" s="8">
        <f>Calculos_Internos!D24</f>
        <v/>
      </c>
      <c r="G24" s="8">
        <f>Calculos_Internos!E24</f>
        <v/>
      </c>
      <c r="H24" s="8">
        <f>IF(Calculos_Internos!G24="-", "-", Calculos_Internos!G24)</f>
        <v/>
      </c>
      <c r="I24" s="8">
        <f>IF(Calculos_Internos!H24="-", "-", Calculos_Internos!H24)</f>
        <v/>
      </c>
      <c r="J24" s="12">
        <f>Porra_Grupos!$D$6</f>
        <v/>
      </c>
      <c r="K24" s="12">
        <f>Porra_Grupos!$D$7</f>
        <v/>
      </c>
      <c r="L24" s="12">
        <f>Porra_Grupos!$D$8</f>
        <v/>
      </c>
      <c r="M24" s="12">
        <f>Porra_Grupos!$D$9</f>
        <v/>
      </c>
      <c r="N24" s="12">
        <f>Porra_Grupos!$D$10</f>
        <v/>
      </c>
      <c r="O24" s="12">
        <f>Porra_Grupos!$D$11</f>
        <v/>
      </c>
    </row>
    <row r="25">
      <c r="A25" s="6">
        <f>Porra_Grupos!$K$2</f>
        <v/>
      </c>
      <c r="B25" s="6">
        <f>Calculos_Internos!A25</f>
        <v/>
      </c>
      <c r="C25" s="6">
        <f>Calculos_Internos!B25</f>
        <v/>
      </c>
      <c r="D25" s="7">
        <f>Calculos_Internos!C25</f>
        <v/>
      </c>
      <c r="E25" s="7">
        <f>Calculos_Internos!F25</f>
        <v/>
      </c>
      <c r="F25" s="6">
        <f>Calculos_Internos!D25</f>
        <v/>
      </c>
      <c r="G25" s="6">
        <f>Calculos_Internos!E25</f>
        <v/>
      </c>
      <c r="H25" s="6">
        <f>IF(Calculos_Internos!G25="-", "-", Calculos_Internos!G25)</f>
        <v/>
      </c>
      <c r="I25" s="6">
        <f>IF(Calculos_Internos!H25="-", "-", Calculos_Internos!H25)</f>
        <v/>
      </c>
      <c r="J25" s="4">
        <f>Porra_Grupos!$D$6</f>
        <v/>
      </c>
      <c r="K25" s="4">
        <f>Porra_Grupos!$D$7</f>
        <v/>
      </c>
      <c r="L25" s="4">
        <f>Porra_Grupos!$D$8</f>
        <v/>
      </c>
      <c r="M25" s="4">
        <f>Porra_Grupos!$D$9</f>
        <v/>
      </c>
      <c r="N25" s="4">
        <f>Porra_Grupos!$D$10</f>
        <v/>
      </c>
      <c r="O25" s="4">
        <f>Porra_Grupos!$D$11</f>
        <v/>
      </c>
    </row>
    <row r="26">
      <c r="A26" s="8">
        <f>Porra_Grupos!$K$2</f>
        <v/>
      </c>
      <c r="B26" s="8">
        <f>Calculos_Internos!A26</f>
        <v/>
      </c>
      <c r="C26" s="8">
        <f>Calculos_Internos!B26</f>
        <v/>
      </c>
      <c r="D26" s="9">
        <f>Calculos_Internos!C26</f>
        <v/>
      </c>
      <c r="E26" s="9">
        <f>Calculos_Internos!F26</f>
        <v/>
      </c>
      <c r="F26" s="8">
        <f>Calculos_Internos!D26</f>
        <v/>
      </c>
      <c r="G26" s="8">
        <f>Calculos_Internos!E26</f>
        <v/>
      </c>
      <c r="H26" s="8">
        <f>IF(Calculos_Internos!G26="-", "-", Calculos_Internos!G26)</f>
        <v/>
      </c>
      <c r="I26" s="8">
        <f>IF(Calculos_Internos!H26="-", "-", Calculos_Internos!H26)</f>
        <v/>
      </c>
      <c r="J26" s="12">
        <f>Porra_Grupos!$D$6</f>
        <v/>
      </c>
      <c r="K26" s="12">
        <f>Porra_Grupos!$D$7</f>
        <v/>
      </c>
      <c r="L26" s="12">
        <f>Porra_Grupos!$D$8</f>
        <v/>
      </c>
      <c r="M26" s="12">
        <f>Porra_Grupos!$D$9</f>
        <v/>
      </c>
      <c r="N26" s="12">
        <f>Porra_Grupos!$D$10</f>
        <v/>
      </c>
      <c r="O26" s="12">
        <f>Porra_Grupos!$D$11</f>
        <v/>
      </c>
    </row>
    <row r="27">
      <c r="A27" s="6">
        <f>Porra_Grupos!$K$2</f>
        <v/>
      </c>
      <c r="B27" s="6">
        <f>Calculos_Internos!A27</f>
        <v/>
      </c>
      <c r="C27" s="6">
        <f>Calculos_Internos!B27</f>
        <v/>
      </c>
      <c r="D27" s="7">
        <f>Calculos_Internos!C27</f>
        <v/>
      </c>
      <c r="E27" s="7">
        <f>Calculos_Internos!F27</f>
        <v/>
      </c>
      <c r="F27" s="6">
        <f>Calculos_Internos!D27</f>
        <v/>
      </c>
      <c r="G27" s="6">
        <f>Calculos_Internos!E27</f>
        <v/>
      </c>
      <c r="H27" s="6">
        <f>IF(Calculos_Internos!G27="-", "-", Calculos_Internos!G27)</f>
        <v/>
      </c>
      <c r="I27" s="6">
        <f>IF(Calculos_Internos!H27="-", "-", Calculos_Internos!H27)</f>
        <v/>
      </c>
      <c r="J27" s="4">
        <f>Porra_Grupos!$D$6</f>
        <v/>
      </c>
      <c r="K27" s="4">
        <f>Porra_Grupos!$D$7</f>
        <v/>
      </c>
      <c r="L27" s="4">
        <f>Porra_Grupos!$D$8</f>
        <v/>
      </c>
      <c r="M27" s="4">
        <f>Porra_Grupos!$D$9</f>
        <v/>
      </c>
      <c r="N27" s="4">
        <f>Porra_Grupos!$D$10</f>
        <v/>
      </c>
      <c r="O27" s="4">
        <f>Porra_Grupos!$D$11</f>
        <v/>
      </c>
    </row>
    <row r="28">
      <c r="A28" s="8">
        <f>Porra_Grupos!$K$2</f>
        <v/>
      </c>
      <c r="B28" s="8">
        <f>Calculos_Internos!A28</f>
        <v/>
      </c>
      <c r="C28" s="8">
        <f>Calculos_Internos!B28</f>
        <v/>
      </c>
      <c r="D28" s="9">
        <f>Calculos_Internos!C28</f>
        <v/>
      </c>
      <c r="E28" s="9">
        <f>Calculos_Internos!F28</f>
        <v/>
      </c>
      <c r="F28" s="8">
        <f>Calculos_Internos!D28</f>
        <v/>
      </c>
      <c r="G28" s="8">
        <f>Calculos_Internos!E28</f>
        <v/>
      </c>
      <c r="H28" s="8">
        <f>IF(Calculos_Internos!G28="-", "-", Calculos_Internos!G28)</f>
        <v/>
      </c>
      <c r="I28" s="8">
        <f>IF(Calculos_Internos!H28="-", "-", Calculos_Internos!H28)</f>
        <v/>
      </c>
      <c r="J28" s="12">
        <f>Porra_Grupos!$D$6</f>
        <v/>
      </c>
      <c r="K28" s="12">
        <f>Porra_Grupos!$D$7</f>
        <v/>
      </c>
      <c r="L28" s="12">
        <f>Porra_Grupos!$D$8</f>
        <v/>
      </c>
      <c r="M28" s="12">
        <f>Porra_Grupos!$D$9</f>
        <v/>
      </c>
      <c r="N28" s="12">
        <f>Porra_Grupos!$D$10</f>
        <v/>
      </c>
      <c r="O28" s="12">
        <f>Porra_Grupos!$D$11</f>
        <v/>
      </c>
    </row>
    <row r="29">
      <c r="A29" s="6">
        <f>Porra_Grupos!$K$2</f>
        <v/>
      </c>
      <c r="B29" s="6">
        <f>Calculos_Internos!A29</f>
        <v/>
      </c>
      <c r="C29" s="6">
        <f>Calculos_Internos!B29</f>
        <v/>
      </c>
      <c r="D29" s="7">
        <f>Calculos_Internos!C29</f>
        <v/>
      </c>
      <c r="E29" s="7">
        <f>Calculos_Internos!F29</f>
        <v/>
      </c>
      <c r="F29" s="6">
        <f>Calculos_Internos!D29</f>
        <v/>
      </c>
      <c r="G29" s="6">
        <f>Calculos_Internos!E29</f>
        <v/>
      </c>
      <c r="H29" s="6">
        <f>IF(Calculos_Internos!G29="-", "-", Calculos_Internos!G29)</f>
        <v/>
      </c>
      <c r="I29" s="6">
        <f>IF(Calculos_Internos!H29="-", "-", Calculos_Internos!H29)</f>
        <v/>
      </c>
      <c r="J29" s="4">
        <f>Porra_Grupos!$D$6</f>
        <v/>
      </c>
      <c r="K29" s="4">
        <f>Porra_Grupos!$D$7</f>
        <v/>
      </c>
      <c r="L29" s="4">
        <f>Porra_Grupos!$D$8</f>
        <v/>
      </c>
      <c r="M29" s="4">
        <f>Porra_Grupos!$D$9</f>
        <v/>
      </c>
      <c r="N29" s="4">
        <f>Porra_Grupos!$D$10</f>
        <v/>
      </c>
      <c r="O29" s="4">
        <f>Porra_Grupos!$D$11</f>
        <v/>
      </c>
    </row>
    <row r="30">
      <c r="A30" s="8">
        <f>Porra_Grupos!$K$2</f>
        <v/>
      </c>
      <c r="B30" s="8">
        <f>Calculos_Internos!A30</f>
        <v/>
      </c>
      <c r="C30" s="8">
        <f>Calculos_Internos!B30</f>
        <v/>
      </c>
      <c r="D30" s="9">
        <f>Calculos_Internos!C30</f>
        <v/>
      </c>
      <c r="E30" s="9">
        <f>Calculos_Internos!F30</f>
        <v/>
      </c>
      <c r="F30" s="8">
        <f>Calculos_Internos!D30</f>
        <v/>
      </c>
      <c r="G30" s="8">
        <f>Calculos_Internos!E30</f>
        <v/>
      </c>
      <c r="H30" s="8">
        <f>IF(Calculos_Internos!G30="-", "-", Calculos_Internos!G30)</f>
        <v/>
      </c>
      <c r="I30" s="8">
        <f>IF(Calculos_Internos!H30="-", "-", Calculos_Internos!H30)</f>
        <v/>
      </c>
      <c r="J30" s="12">
        <f>Porra_Grupos!$D$6</f>
        <v/>
      </c>
      <c r="K30" s="12">
        <f>Porra_Grupos!$D$7</f>
        <v/>
      </c>
      <c r="L30" s="12">
        <f>Porra_Grupos!$D$8</f>
        <v/>
      </c>
      <c r="M30" s="12">
        <f>Porra_Grupos!$D$9</f>
        <v/>
      </c>
      <c r="N30" s="12">
        <f>Porra_Grupos!$D$10</f>
        <v/>
      </c>
      <c r="O30" s="12">
        <f>Porra_Grupos!$D$11</f>
        <v/>
      </c>
    </row>
    <row r="31">
      <c r="A31" s="6">
        <f>Porra_Grupos!$K$2</f>
        <v/>
      </c>
      <c r="B31" s="6">
        <f>Calculos_Internos!A31</f>
        <v/>
      </c>
      <c r="C31" s="6">
        <f>Calculos_Internos!B31</f>
        <v/>
      </c>
      <c r="D31" s="7">
        <f>Calculos_Internos!C31</f>
        <v/>
      </c>
      <c r="E31" s="7">
        <f>Calculos_Internos!F31</f>
        <v/>
      </c>
      <c r="F31" s="6">
        <f>Calculos_Internos!D31</f>
        <v/>
      </c>
      <c r="G31" s="6">
        <f>Calculos_Internos!E31</f>
        <v/>
      </c>
      <c r="H31" s="6">
        <f>IF(Calculos_Internos!G31="-", "-", Calculos_Internos!G31)</f>
        <v/>
      </c>
      <c r="I31" s="6">
        <f>IF(Calculos_Internos!H31="-", "-", Calculos_Internos!H31)</f>
        <v/>
      </c>
      <c r="J31" s="4">
        <f>Porra_Grupos!$D$6</f>
        <v/>
      </c>
      <c r="K31" s="4">
        <f>Porra_Grupos!$D$7</f>
        <v/>
      </c>
      <c r="L31" s="4">
        <f>Porra_Grupos!$D$8</f>
        <v/>
      </c>
      <c r="M31" s="4">
        <f>Porra_Grupos!$D$9</f>
        <v/>
      </c>
      <c r="N31" s="4">
        <f>Porra_Grupos!$D$10</f>
        <v/>
      </c>
      <c r="O31" s="4">
        <f>Porra_Grupos!$D$11</f>
        <v/>
      </c>
    </row>
    <row r="32">
      <c r="A32" s="8">
        <f>Porra_Grupos!$K$2</f>
        <v/>
      </c>
      <c r="B32" s="8">
        <f>Calculos_Internos!A32</f>
        <v/>
      </c>
      <c r="C32" s="8">
        <f>Calculos_Internos!B32</f>
        <v/>
      </c>
      <c r="D32" s="9">
        <f>Calculos_Internos!C32</f>
        <v/>
      </c>
      <c r="E32" s="9">
        <f>Calculos_Internos!F32</f>
        <v/>
      </c>
      <c r="F32" s="8">
        <f>Calculos_Internos!D32</f>
        <v/>
      </c>
      <c r="G32" s="8">
        <f>Calculos_Internos!E32</f>
        <v/>
      </c>
      <c r="H32" s="8">
        <f>IF(Calculos_Internos!G32="-", "-", Calculos_Internos!G32)</f>
        <v/>
      </c>
      <c r="I32" s="8">
        <f>IF(Calculos_Internos!H32="-", "-", Calculos_Internos!H32)</f>
        <v/>
      </c>
      <c r="J32" s="12">
        <f>Porra_Grupos!$D$6</f>
        <v/>
      </c>
      <c r="K32" s="12">
        <f>Porra_Grupos!$D$7</f>
        <v/>
      </c>
      <c r="L32" s="12">
        <f>Porra_Grupos!$D$8</f>
        <v/>
      </c>
      <c r="M32" s="12">
        <f>Porra_Grupos!$D$9</f>
        <v/>
      </c>
      <c r="N32" s="12">
        <f>Porra_Grupos!$D$10</f>
        <v/>
      </c>
      <c r="O32" s="12">
        <f>Porra_Grupos!$D$11</f>
        <v/>
      </c>
    </row>
    <row r="33">
      <c r="A33" s="6">
        <f>Porra_Grupos!$K$2</f>
        <v/>
      </c>
      <c r="B33" s="6">
        <f>Calculos_Internos!A33</f>
        <v/>
      </c>
      <c r="C33" s="6">
        <f>Calculos_Internos!B33</f>
        <v/>
      </c>
      <c r="D33" s="7">
        <f>Calculos_Internos!C33</f>
        <v/>
      </c>
      <c r="E33" s="7">
        <f>Calculos_Internos!F33</f>
        <v/>
      </c>
      <c r="F33" s="6">
        <f>Calculos_Internos!D33</f>
        <v/>
      </c>
      <c r="G33" s="6">
        <f>Calculos_Internos!E33</f>
        <v/>
      </c>
      <c r="H33" s="6">
        <f>IF(Calculos_Internos!G33="-", "-", Calculos_Internos!G33)</f>
        <v/>
      </c>
      <c r="I33" s="6">
        <f>IF(Calculos_Internos!H33="-", "-", Calculos_Internos!H33)</f>
        <v/>
      </c>
      <c r="J33" s="4">
        <f>Porra_Grupos!$D$6</f>
        <v/>
      </c>
      <c r="K33" s="4">
        <f>Porra_Grupos!$D$7</f>
        <v/>
      </c>
      <c r="L33" s="4">
        <f>Porra_Grupos!$D$8</f>
        <v/>
      </c>
      <c r="M33" s="4">
        <f>Porra_Grupos!$D$9</f>
        <v/>
      </c>
      <c r="N33" s="4">
        <f>Porra_Grupos!$D$10</f>
        <v/>
      </c>
      <c r="O33" s="4">
        <f>Porra_Grupos!$D$11</f>
        <v/>
      </c>
    </row>
    <row r="34">
      <c r="A34" s="8">
        <f>Porra_Grupos!$K$2</f>
        <v/>
      </c>
      <c r="B34" s="8">
        <f>Calculos_Internos!A34</f>
        <v/>
      </c>
      <c r="C34" s="8">
        <f>Calculos_Internos!B34</f>
        <v/>
      </c>
      <c r="D34" s="9">
        <f>Calculos_Internos!C34</f>
        <v/>
      </c>
      <c r="E34" s="9">
        <f>Calculos_Internos!F34</f>
        <v/>
      </c>
      <c r="F34" s="8">
        <f>Calculos_Internos!D34</f>
        <v/>
      </c>
      <c r="G34" s="8">
        <f>Calculos_Internos!E34</f>
        <v/>
      </c>
      <c r="H34" s="8">
        <f>IF(Calculos_Internos!G34="-", "-", Calculos_Internos!G34)</f>
        <v/>
      </c>
      <c r="I34" s="8">
        <f>IF(Calculos_Internos!H34="-", "-", Calculos_Internos!H34)</f>
        <v/>
      </c>
      <c r="J34" s="12">
        <f>Porra_Grupos!$D$6</f>
        <v/>
      </c>
      <c r="K34" s="12">
        <f>Porra_Grupos!$D$7</f>
        <v/>
      </c>
      <c r="L34" s="12">
        <f>Porra_Grupos!$D$8</f>
        <v/>
      </c>
      <c r="M34" s="12">
        <f>Porra_Grupos!$D$9</f>
        <v/>
      </c>
      <c r="N34" s="12">
        <f>Porra_Grupos!$D$10</f>
        <v/>
      </c>
      <c r="O34" s="12">
        <f>Porra_Grupos!$D$11</f>
        <v/>
      </c>
    </row>
    <row r="35">
      <c r="A35" s="6">
        <f>Porra_Grupos!$K$2</f>
        <v/>
      </c>
      <c r="B35" s="6">
        <f>Calculos_Internos!A35</f>
        <v/>
      </c>
      <c r="C35" s="6">
        <f>Calculos_Internos!B35</f>
        <v/>
      </c>
      <c r="D35" s="7">
        <f>Calculos_Internos!C35</f>
        <v/>
      </c>
      <c r="E35" s="7">
        <f>Calculos_Internos!F35</f>
        <v/>
      </c>
      <c r="F35" s="6">
        <f>Calculos_Internos!D35</f>
        <v/>
      </c>
      <c r="G35" s="6">
        <f>Calculos_Internos!E35</f>
        <v/>
      </c>
      <c r="H35" s="6">
        <f>IF(Calculos_Internos!G35="-", "-", Calculos_Internos!G35)</f>
        <v/>
      </c>
      <c r="I35" s="6">
        <f>IF(Calculos_Internos!H35="-", "-", Calculos_Internos!H35)</f>
        <v/>
      </c>
      <c r="J35" s="4">
        <f>Porra_Grupos!$D$6</f>
        <v/>
      </c>
      <c r="K35" s="4">
        <f>Porra_Grupos!$D$7</f>
        <v/>
      </c>
      <c r="L35" s="4">
        <f>Porra_Grupos!$D$8</f>
        <v/>
      </c>
      <c r="M35" s="4">
        <f>Porra_Grupos!$D$9</f>
        <v/>
      </c>
      <c r="N35" s="4">
        <f>Porra_Grupos!$D$10</f>
        <v/>
      </c>
      <c r="O35" s="4">
        <f>Porra_Grupos!$D$11</f>
        <v/>
      </c>
    </row>
    <row r="36">
      <c r="A36" s="8">
        <f>Porra_Grupos!$K$2</f>
        <v/>
      </c>
      <c r="B36" s="8">
        <f>Calculos_Internos!A36</f>
        <v/>
      </c>
      <c r="C36" s="8">
        <f>Calculos_Internos!B36</f>
        <v/>
      </c>
      <c r="D36" s="9">
        <f>Calculos_Internos!C36</f>
        <v/>
      </c>
      <c r="E36" s="9">
        <f>Calculos_Internos!F36</f>
        <v/>
      </c>
      <c r="F36" s="8">
        <f>Calculos_Internos!D36</f>
        <v/>
      </c>
      <c r="G36" s="8">
        <f>Calculos_Internos!E36</f>
        <v/>
      </c>
      <c r="H36" s="8">
        <f>IF(Calculos_Internos!G36="-", "-", Calculos_Internos!G36)</f>
        <v/>
      </c>
      <c r="I36" s="8">
        <f>IF(Calculos_Internos!H36="-", "-", Calculos_Internos!H36)</f>
        <v/>
      </c>
      <c r="J36" s="12">
        <f>Porra_Grupos!$D$6</f>
        <v/>
      </c>
      <c r="K36" s="12">
        <f>Porra_Grupos!$D$7</f>
        <v/>
      </c>
      <c r="L36" s="12">
        <f>Porra_Grupos!$D$8</f>
        <v/>
      </c>
      <c r="M36" s="12">
        <f>Porra_Grupos!$D$9</f>
        <v/>
      </c>
      <c r="N36" s="12">
        <f>Porra_Grupos!$D$10</f>
        <v/>
      </c>
      <c r="O36" s="12">
        <f>Porra_Grupos!$D$11</f>
        <v/>
      </c>
    </row>
    <row r="37">
      <c r="A37" s="6">
        <f>Porra_Grupos!$K$2</f>
        <v/>
      </c>
      <c r="B37" s="6">
        <f>Calculos_Internos!A37</f>
        <v/>
      </c>
      <c r="C37" s="6">
        <f>Calculos_Internos!B37</f>
        <v/>
      </c>
      <c r="D37" s="7">
        <f>Calculos_Internos!C37</f>
        <v/>
      </c>
      <c r="E37" s="7">
        <f>Calculos_Internos!F37</f>
        <v/>
      </c>
      <c r="F37" s="6">
        <f>Calculos_Internos!D37</f>
        <v/>
      </c>
      <c r="G37" s="6">
        <f>Calculos_Internos!E37</f>
        <v/>
      </c>
      <c r="H37" s="6">
        <f>IF(Calculos_Internos!G37="-", "-", Calculos_Internos!G37)</f>
        <v/>
      </c>
      <c r="I37" s="6">
        <f>IF(Calculos_Internos!H37="-", "-", Calculos_Internos!H37)</f>
        <v/>
      </c>
      <c r="J37" s="4">
        <f>Porra_Grupos!$D$6</f>
        <v/>
      </c>
      <c r="K37" s="4">
        <f>Porra_Grupos!$D$7</f>
        <v/>
      </c>
      <c r="L37" s="4">
        <f>Porra_Grupos!$D$8</f>
        <v/>
      </c>
      <c r="M37" s="4">
        <f>Porra_Grupos!$D$9</f>
        <v/>
      </c>
      <c r="N37" s="4">
        <f>Porra_Grupos!$D$10</f>
        <v/>
      </c>
      <c r="O37" s="4">
        <f>Porra_Grupos!$D$11</f>
        <v/>
      </c>
    </row>
    <row r="38">
      <c r="A38" s="8">
        <f>Porra_Grupos!$K$2</f>
        <v/>
      </c>
      <c r="B38" s="8">
        <f>Calculos_Internos!A38</f>
        <v/>
      </c>
      <c r="C38" s="8">
        <f>Calculos_Internos!B38</f>
        <v/>
      </c>
      <c r="D38" s="9">
        <f>Calculos_Internos!C38</f>
        <v/>
      </c>
      <c r="E38" s="9">
        <f>Calculos_Internos!F38</f>
        <v/>
      </c>
      <c r="F38" s="8">
        <f>Calculos_Internos!D38</f>
        <v/>
      </c>
      <c r="G38" s="8">
        <f>Calculos_Internos!E38</f>
        <v/>
      </c>
      <c r="H38" s="8">
        <f>IF(Calculos_Internos!G38="-", "-", Calculos_Internos!G38)</f>
        <v/>
      </c>
      <c r="I38" s="8">
        <f>IF(Calculos_Internos!H38="-", "-", Calculos_Internos!H38)</f>
        <v/>
      </c>
      <c r="J38" s="12">
        <f>Porra_Grupos!$D$6</f>
        <v/>
      </c>
      <c r="K38" s="12">
        <f>Porra_Grupos!$D$7</f>
        <v/>
      </c>
      <c r="L38" s="12">
        <f>Porra_Grupos!$D$8</f>
        <v/>
      </c>
      <c r="M38" s="12">
        <f>Porra_Grupos!$D$9</f>
        <v/>
      </c>
      <c r="N38" s="12">
        <f>Porra_Grupos!$D$10</f>
        <v/>
      </c>
      <c r="O38" s="12">
        <f>Porra_Grupos!$D$11</f>
        <v/>
      </c>
    </row>
    <row r="39">
      <c r="A39" s="6">
        <f>Porra_Grupos!$K$2</f>
        <v/>
      </c>
      <c r="B39" s="6">
        <f>Calculos_Internos!A39</f>
        <v/>
      </c>
      <c r="C39" s="6">
        <f>Calculos_Internos!B39</f>
        <v/>
      </c>
      <c r="D39" s="7">
        <f>Calculos_Internos!C39</f>
        <v/>
      </c>
      <c r="E39" s="7">
        <f>Calculos_Internos!F39</f>
        <v/>
      </c>
      <c r="F39" s="6">
        <f>Calculos_Internos!D39</f>
        <v/>
      </c>
      <c r="G39" s="6">
        <f>Calculos_Internos!E39</f>
        <v/>
      </c>
      <c r="H39" s="6">
        <f>IF(Calculos_Internos!G39="-", "-", Calculos_Internos!G39)</f>
        <v/>
      </c>
      <c r="I39" s="6">
        <f>IF(Calculos_Internos!H39="-", "-", Calculos_Internos!H39)</f>
        <v/>
      </c>
      <c r="J39" s="4">
        <f>Porra_Grupos!$D$6</f>
        <v/>
      </c>
      <c r="K39" s="4">
        <f>Porra_Grupos!$D$7</f>
        <v/>
      </c>
      <c r="L39" s="4">
        <f>Porra_Grupos!$D$8</f>
        <v/>
      </c>
      <c r="M39" s="4">
        <f>Porra_Grupos!$D$9</f>
        <v/>
      </c>
      <c r="N39" s="4">
        <f>Porra_Grupos!$D$10</f>
        <v/>
      </c>
      <c r="O39" s="4">
        <f>Porra_Grupos!$D$11</f>
        <v/>
      </c>
    </row>
    <row r="40">
      <c r="A40" s="8">
        <f>Porra_Grupos!$K$2</f>
        <v/>
      </c>
      <c r="B40" s="8">
        <f>Calculos_Internos!A40</f>
        <v/>
      </c>
      <c r="C40" s="8">
        <f>Calculos_Internos!B40</f>
        <v/>
      </c>
      <c r="D40" s="9">
        <f>Calculos_Internos!C40</f>
        <v/>
      </c>
      <c r="E40" s="9">
        <f>Calculos_Internos!F40</f>
        <v/>
      </c>
      <c r="F40" s="8">
        <f>Calculos_Internos!D40</f>
        <v/>
      </c>
      <c r="G40" s="8">
        <f>Calculos_Internos!E40</f>
        <v/>
      </c>
      <c r="H40" s="8">
        <f>IF(Calculos_Internos!G40="-", "-", Calculos_Internos!G40)</f>
        <v/>
      </c>
      <c r="I40" s="8">
        <f>IF(Calculos_Internos!H40="-", "-", Calculos_Internos!H40)</f>
        <v/>
      </c>
      <c r="J40" s="12">
        <f>Porra_Grupos!$D$6</f>
        <v/>
      </c>
      <c r="K40" s="12">
        <f>Porra_Grupos!$D$7</f>
        <v/>
      </c>
      <c r="L40" s="12">
        <f>Porra_Grupos!$D$8</f>
        <v/>
      </c>
      <c r="M40" s="12">
        <f>Porra_Grupos!$D$9</f>
        <v/>
      </c>
      <c r="N40" s="12">
        <f>Porra_Grupos!$D$10</f>
        <v/>
      </c>
      <c r="O40" s="12">
        <f>Porra_Grupos!$D$11</f>
        <v/>
      </c>
    </row>
    <row r="41">
      <c r="A41" s="6">
        <f>Porra_Grupos!$K$2</f>
        <v/>
      </c>
      <c r="B41" s="6">
        <f>Calculos_Internos!A41</f>
        <v/>
      </c>
      <c r="C41" s="6">
        <f>Calculos_Internos!B41</f>
        <v/>
      </c>
      <c r="D41" s="7">
        <f>Calculos_Internos!C41</f>
        <v/>
      </c>
      <c r="E41" s="7">
        <f>Calculos_Internos!F41</f>
        <v/>
      </c>
      <c r="F41" s="6">
        <f>Calculos_Internos!D41</f>
        <v/>
      </c>
      <c r="G41" s="6">
        <f>Calculos_Internos!E41</f>
        <v/>
      </c>
      <c r="H41" s="6">
        <f>IF(Calculos_Internos!G41="-", "-", Calculos_Internos!G41)</f>
        <v/>
      </c>
      <c r="I41" s="6">
        <f>IF(Calculos_Internos!H41="-", "-", Calculos_Internos!H41)</f>
        <v/>
      </c>
      <c r="J41" s="4">
        <f>Porra_Grupos!$D$6</f>
        <v/>
      </c>
      <c r="K41" s="4">
        <f>Porra_Grupos!$D$7</f>
        <v/>
      </c>
      <c r="L41" s="4">
        <f>Porra_Grupos!$D$8</f>
        <v/>
      </c>
      <c r="M41" s="4">
        <f>Porra_Grupos!$D$9</f>
        <v/>
      </c>
      <c r="N41" s="4">
        <f>Porra_Grupos!$D$10</f>
        <v/>
      </c>
      <c r="O41" s="4">
        <f>Porra_Grupos!$D$11</f>
        <v/>
      </c>
    </row>
    <row r="42">
      <c r="A42" s="8">
        <f>Porra_Grupos!$K$2</f>
        <v/>
      </c>
      <c r="B42" s="8">
        <f>Calculos_Internos!A42</f>
        <v/>
      </c>
      <c r="C42" s="8">
        <f>Calculos_Internos!B42</f>
        <v/>
      </c>
      <c r="D42" s="9">
        <f>Calculos_Internos!C42</f>
        <v/>
      </c>
      <c r="E42" s="9">
        <f>Calculos_Internos!F42</f>
        <v/>
      </c>
      <c r="F42" s="8">
        <f>Calculos_Internos!D42</f>
        <v/>
      </c>
      <c r="G42" s="8">
        <f>Calculos_Internos!E42</f>
        <v/>
      </c>
      <c r="H42" s="8">
        <f>IF(Calculos_Internos!G42="-", "-", Calculos_Internos!G42)</f>
        <v/>
      </c>
      <c r="I42" s="8">
        <f>IF(Calculos_Internos!H42="-", "-", Calculos_Internos!H42)</f>
        <v/>
      </c>
      <c r="J42" s="12">
        <f>Porra_Grupos!$D$6</f>
        <v/>
      </c>
      <c r="K42" s="12">
        <f>Porra_Grupos!$D$7</f>
        <v/>
      </c>
      <c r="L42" s="12">
        <f>Porra_Grupos!$D$8</f>
        <v/>
      </c>
      <c r="M42" s="12">
        <f>Porra_Grupos!$D$9</f>
        <v/>
      </c>
      <c r="N42" s="12">
        <f>Porra_Grupos!$D$10</f>
        <v/>
      </c>
      <c r="O42" s="12">
        <f>Porra_Grupos!$D$11</f>
        <v/>
      </c>
    </row>
    <row r="43">
      <c r="A43" s="6">
        <f>Porra_Grupos!$K$2</f>
        <v/>
      </c>
      <c r="B43" s="6">
        <f>Calculos_Internos!A43</f>
        <v/>
      </c>
      <c r="C43" s="6">
        <f>Calculos_Internos!B43</f>
        <v/>
      </c>
      <c r="D43" s="7">
        <f>Calculos_Internos!C43</f>
        <v/>
      </c>
      <c r="E43" s="7">
        <f>Calculos_Internos!F43</f>
        <v/>
      </c>
      <c r="F43" s="6">
        <f>Calculos_Internos!D43</f>
        <v/>
      </c>
      <c r="G43" s="6">
        <f>Calculos_Internos!E43</f>
        <v/>
      </c>
      <c r="H43" s="6">
        <f>IF(Calculos_Internos!G43="-", "-", Calculos_Internos!G43)</f>
        <v/>
      </c>
      <c r="I43" s="6">
        <f>IF(Calculos_Internos!H43="-", "-", Calculos_Internos!H43)</f>
        <v/>
      </c>
      <c r="J43" s="4">
        <f>Porra_Grupos!$D$6</f>
        <v/>
      </c>
      <c r="K43" s="4">
        <f>Porra_Grupos!$D$7</f>
        <v/>
      </c>
      <c r="L43" s="4">
        <f>Porra_Grupos!$D$8</f>
        <v/>
      </c>
      <c r="M43" s="4">
        <f>Porra_Grupos!$D$9</f>
        <v/>
      </c>
      <c r="N43" s="4">
        <f>Porra_Grupos!$D$10</f>
        <v/>
      </c>
      <c r="O43" s="4">
        <f>Porra_Grupos!$D$11</f>
        <v/>
      </c>
    </row>
    <row r="44">
      <c r="A44" s="8">
        <f>Porra_Grupos!$K$2</f>
        <v/>
      </c>
      <c r="B44" s="8">
        <f>Calculos_Internos!A44</f>
        <v/>
      </c>
      <c r="C44" s="8">
        <f>Calculos_Internos!B44</f>
        <v/>
      </c>
      <c r="D44" s="9">
        <f>Calculos_Internos!C44</f>
        <v/>
      </c>
      <c r="E44" s="9">
        <f>Calculos_Internos!F44</f>
        <v/>
      </c>
      <c r="F44" s="8">
        <f>Calculos_Internos!D44</f>
        <v/>
      </c>
      <c r="G44" s="8">
        <f>Calculos_Internos!E44</f>
        <v/>
      </c>
      <c r="H44" s="8">
        <f>IF(Calculos_Internos!G44="-", "-", Calculos_Internos!G44)</f>
        <v/>
      </c>
      <c r="I44" s="8">
        <f>IF(Calculos_Internos!H44="-", "-", Calculos_Internos!H44)</f>
        <v/>
      </c>
      <c r="J44" s="12">
        <f>Porra_Grupos!$D$6</f>
        <v/>
      </c>
      <c r="K44" s="12">
        <f>Porra_Grupos!$D$7</f>
        <v/>
      </c>
      <c r="L44" s="12">
        <f>Porra_Grupos!$D$8</f>
        <v/>
      </c>
      <c r="M44" s="12">
        <f>Porra_Grupos!$D$9</f>
        <v/>
      </c>
      <c r="N44" s="12">
        <f>Porra_Grupos!$D$10</f>
        <v/>
      </c>
      <c r="O44" s="12">
        <f>Porra_Grupos!$D$11</f>
        <v/>
      </c>
    </row>
    <row r="45">
      <c r="A45" s="6">
        <f>Porra_Grupos!$K$2</f>
        <v/>
      </c>
      <c r="B45" s="6">
        <f>Calculos_Internos!A45</f>
        <v/>
      </c>
      <c r="C45" s="6">
        <f>Calculos_Internos!B45</f>
        <v/>
      </c>
      <c r="D45" s="7">
        <f>Calculos_Internos!C45</f>
        <v/>
      </c>
      <c r="E45" s="7">
        <f>Calculos_Internos!F45</f>
        <v/>
      </c>
      <c r="F45" s="6">
        <f>Calculos_Internos!D45</f>
        <v/>
      </c>
      <c r="G45" s="6">
        <f>Calculos_Internos!E45</f>
        <v/>
      </c>
      <c r="H45" s="6">
        <f>IF(Calculos_Internos!G45="-", "-", Calculos_Internos!G45)</f>
        <v/>
      </c>
      <c r="I45" s="6">
        <f>IF(Calculos_Internos!H45="-", "-", Calculos_Internos!H45)</f>
        <v/>
      </c>
      <c r="J45" s="4">
        <f>Porra_Grupos!$D$6</f>
        <v/>
      </c>
      <c r="K45" s="4">
        <f>Porra_Grupos!$D$7</f>
        <v/>
      </c>
      <c r="L45" s="4">
        <f>Porra_Grupos!$D$8</f>
        <v/>
      </c>
      <c r="M45" s="4">
        <f>Porra_Grupos!$D$9</f>
        <v/>
      </c>
      <c r="N45" s="4">
        <f>Porra_Grupos!$D$10</f>
        <v/>
      </c>
      <c r="O45" s="4">
        <f>Porra_Grupos!$D$11</f>
        <v/>
      </c>
    </row>
    <row r="46">
      <c r="A46" s="8">
        <f>Porra_Grupos!$K$2</f>
        <v/>
      </c>
      <c r="B46" s="8">
        <f>Calculos_Internos!A46</f>
        <v/>
      </c>
      <c r="C46" s="8">
        <f>Calculos_Internos!B46</f>
        <v/>
      </c>
      <c r="D46" s="9">
        <f>Calculos_Internos!C46</f>
        <v/>
      </c>
      <c r="E46" s="9">
        <f>Calculos_Internos!F46</f>
        <v/>
      </c>
      <c r="F46" s="8">
        <f>Calculos_Internos!D46</f>
        <v/>
      </c>
      <c r="G46" s="8">
        <f>Calculos_Internos!E46</f>
        <v/>
      </c>
      <c r="H46" s="8">
        <f>IF(Calculos_Internos!G46="-", "-", Calculos_Internos!G46)</f>
        <v/>
      </c>
      <c r="I46" s="8">
        <f>IF(Calculos_Internos!H46="-", "-", Calculos_Internos!H46)</f>
        <v/>
      </c>
      <c r="J46" s="12">
        <f>Porra_Grupos!$D$6</f>
        <v/>
      </c>
      <c r="K46" s="12">
        <f>Porra_Grupos!$D$7</f>
        <v/>
      </c>
      <c r="L46" s="12">
        <f>Porra_Grupos!$D$8</f>
        <v/>
      </c>
      <c r="M46" s="12">
        <f>Porra_Grupos!$D$9</f>
        <v/>
      </c>
      <c r="N46" s="12">
        <f>Porra_Grupos!$D$10</f>
        <v/>
      </c>
      <c r="O46" s="12">
        <f>Porra_Grupos!$D$11</f>
        <v/>
      </c>
    </row>
    <row r="47">
      <c r="A47" s="6">
        <f>Porra_Grupos!$K$2</f>
        <v/>
      </c>
      <c r="B47" s="6">
        <f>Calculos_Internos!A47</f>
        <v/>
      </c>
      <c r="C47" s="6">
        <f>Calculos_Internos!B47</f>
        <v/>
      </c>
      <c r="D47" s="7">
        <f>Calculos_Internos!C47</f>
        <v/>
      </c>
      <c r="E47" s="7">
        <f>Calculos_Internos!F47</f>
        <v/>
      </c>
      <c r="F47" s="6">
        <f>Calculos_Internos!D47</f>
        <v/>
      </c>
      <c r="G47" s="6">
        <f>Calculos_Internos!E47</f>
        <v/>
      </c>
      <c r="H47" s="6">
        <f>IF(Calculos_Internos!G47="-", "-", Calculos_Internos!G47)</f>
        <v/>
      </c>
      <c r="I47" s="6">
        <f>IF(Calculos_Internos!H47="-", "-", Calculos_Internos!H47)</f>
        <v/>
      </c>
      <c r="J47" s="4">
        <f>Porra_Grupos!$D$6</f>
        <v/>
      </c>
      <c r="K47" s="4">
        <f>Porra_Grupos!$D$7</f>
        <v/>
      </c>
      <c r="L47" s="4">
        <f>Porra_Grupos!$D$8</f>
        <v/>
      </c>
      <c r="M47" s="4">
        <f>Porra_Grupos!$D$9</f>
        <v/>
      </c>
      <c r="N47" s="4">
        <f>Porra_Grupos!$D$10</f>
        <v/>
      </c>
      <c r="O47" s="4">
        <f>Porra_Grupos!$D$11</f>
        <v/>
      </c>
    </row>
    <row r="48">
      <c r="A48" s="8">
        <f>Porra_Grupos!$K$2</f>
        <v/>
      </c>
      <c r="B48" s="8">
        <f>Calculos_Internos!A48</f>
        <v/>
      </c>
      <c r="C48" s="8">
        <f>Calculos_Internos!B48</f>
        <v/>
      </c>
      <c r="D48" s="9">
        <f>Calculos_Internos!C48</f>
        <v/>
      </c>
      <c r="E48" s="9">
        <f>Calculos_Internos!F48</f>
        <v/>
      </c>
      <c r="F48" s="8">
        <f>Calculos_Internos!D48</f>
        <v/>
      </c>
      <c r="G48" s="8">
        <f>Calculos_Internos!E48</f>
        <v/>
      </c>
      <c r="H48" s="8">
        <f>IF(Calculos_Internos!G48="-", "-", Calculos_Internos!G48)</f>
        <v/>
      </c>
      <c r="I48" s="8">
        <f>IF(Calculos_Internos!H48="-", "-", Calculos_Internos!H48)</f>
        <v/>
      </c>
      <c r="J48" s="12">
        <f>Porra_Grupos!$D$6</f>
        <v/>
      </c>
      <c r="K48" s="12">
        <f>Porra_Grupos!$D$7</f>
        <v/>
      </c>
      <c r="L48" s="12">
        <f>Porra_Grupos!$D$8</f>
        <v/>
      </c>
      <c r="M48" s="12">
        <f>Porra_Grupos!$D$9</f>
        <v/>
      </c>
      <c r="N48" s="12">
        <f>Porra_Grupos!$D$10</f>
        <v/>
      </c>
      <c r="O48" s="12">
        <f>Porra_Grupos!$D$11</f>
        <v/>
      </c>
    </row>
    <row r="49">
      <c r="A49" s="6">
        <f>Porra_Grupos!$K$2</f>
        <v/>
      </c>
      <c r="B49" s="6">
        <f>Calculos_Internos!A49</f>
        <v/>
      </c>
      <c r="C49" s="6">
        <f>Calculos_Internos!B49</f>
        <v/>
      </c>
      <c r="D49" s="7">
        <f>Calculos_Internos!C49</f>
        <v/>
      </c>
      <c r="E49" s="7">
        <f>Calculos_Internos!F49</f>
        <v/>
      </c>
      <c r="F49" s="6">
        <f>Calculos_Internos!D49</f>
        <v/>
      </c>
      <c r="G49" s="6">
        <f>Calculos_Internos!E49</f>
        <v/>
      </c>
      <c r="H49" s="6">
        <f>IF(Calculos_Internos!G49="-", "-", Calculos_Internos!G49)</f>
        <v/>
      </c>
      <c r="I49" s="6">
        <f>IF(Calculos_Internos!H49="-", "-", Calculos_Internos!H49)</f>
        <v/>
      </c>
      <c r="J49" s="4">
        <f>Porra_Grupos!$D$6</f>
        <v/>
      </c>
      <c r="K49" s="4">
        <f>Porra_Grupos!$D$7</f>
        <v/>
      </c>
      <c r="L49" s="4">
        <f>Porra_Grupos!$D$8</f>
        <v/>
      </c>
      <c r="M49" s="4">
        <f>Porra_Grupos!$D$9</f>
        <v/>
      </c>
      <c r="N49" s="4">
        <f>Porra_Grupos!$D$10</f>
        <v/>
      </c>
      <c r="O49" s="4">
        <f>Porra_Grupos!$D$11</f>
        <v/>
      </c>
    </row>
    <row r="50">
      <c r="A50" s="8">
        <f>Porra_Grupos!$K$2</f>
        <v/>
      </c>
      <c r="B50" s="8">
        <f>Calculos_Internos!A50</f>
        <v/>
      </c>
      <c r="C50" s="8">
        <f>Calculos_Internos!B50</f>
        <v/>
      </c>
      <c r="D50" s="9">
        <f>Calculos_Internos!C50</f>
        <v/>
      </c>
      <c r="E50" s="9">
        <f>Calculos_Internos!F50</f>
        <v/>
      </c>
      <c r="F50" s="8">
        <f>Calculos_Internos!D50</f>
        <v/>
      </c>
      <c r="G50" s="8">
        <f>Calculos_Internos!E50</f>
        <v/>
      </c>
      <c r="H50" s="8">
        <f>IF(Calculos_Internos!G50="-", "-", Calculos_Internos!G50)</f>
        <v/>
      </c>
      <c r="I50" s="8">
        <f>IF(Calculos_Internos!H50="-", "-", Calculos_Internos!H50)</f>
        <v/>
      </c>
      <c r="J50" s="12">
        <f>Porra_Grupos!$D$6</f>
        <v/>
      </c>
      <c r="K50" s="12">
        <f>Porra_Grupos!$D$7</f>
        <v/>
      </c>
      <c r="L50" s="12">
        <f>Porra_Grupos!$D$8</f>
        <v/>
      </c>
      <c r="M50" s="12">
        <f>Porra_Grupos!$D$9</f>
        <v/>
      </c>
      <c r="N50" s="12">
        <f>Porra_Grupos!$D$10</f>
        <v/>
      </c>
      <c r="O50" s="12">
        <f>Porra_Grupos!$D$11</f>
        <v/>
      </c>
    </row>
    <row r="51">
      <c r="A51" s="6">
        <f>Porra_Grupos!$K$2</f>
        <v/>
      </c>
      <c r="B51" s="6">
        <f>Calculos_Internos!A51</f>
        <v/>
      </c>
      <c r="C51" s="6">
        <f>Calculos_Internos!B51</f>
        <v/>
      </c>
      <c r="D51" s="7">
        <f>Calculos_Internos!C51</f>
        <v/>
      </c>
      <c r="E51" s="7">
        <f>Calculos_Internos!F51</f>
        <v/>
      </c>
      <c r="F51" s="6">
        <f>Calculos_Internos!D51</f>
        <v/>
      </c>
      <c r="G51" s="6">
        <f>Calculos_Internos!E51</f>
        <v/>
      </c>
      <c r="H51" s="6">
        <f>IF(Calculos_Internos!G51="-", "-", Calculos_Internos!G51)</f>
        <v/>
      </c>
      <c r="I51" s="6">
        <f>IF(Calculos_Internos!H51="-", "-", Calculos_Internos!H51)</f>
        <v/>
      </c>
      <c r="J51" s="4">
        <f>Porra_Grupos!$D$6</f>
        <v/>
      </c>
      <c r="K51" s="4">
        <f>Porra_Grupos!$D$7</f>
        <v/>
      </c>
      <c r="L51" s="4">
        <f>Porra_Grupos!$D$8</f>
        <v/>
      </c>
      <c r="M51" s="4">
        <f>Porra_Grupos!$D$9</f>
        <v/>
      </c>
      <c r="N51" s="4">
        <f>Porra_Grupos!$D$10</f>
        <v/>
      </c>
      <c r="O51" s="4">
        <f>Porra_Grupos!$D$11</f>
        <v/>
      </c>
    </row>
    <row r="52">
      <c r="A52" s="8">
        <f>Porra_Grupos!$K$2</f>
        <v/>
      </c>
      <c r="B52" s="8">
        <f>Calculos_Internos!A52</f>
        <v/>
      </c>
      <c r="C52" s="8">
        <f>Calculos_Internos!B52</f>
        <v/>
      </c>
      <c r="D52" s="9">
        <f>Calculos_Internos!C52</f>
        <v/>
      </c>
      <c r="E52" s="9">
        <f>Calculos_Internos!F52</f>
        <v/>
      </c>
      <c r="F52" s="8">
        <f>Calculos_Internos!D52</f>
        <v/>
      </c>
      <c r="G52" s="8">
        <f>Calculos_Internos!E52</f>
        <v/>
      </c>
      <c r="H52" s="8">
        <f>IF(Calculos_Internos!G52="-", "-", Calculos_Internos!G52)</f>
        <v/>
      </c>
      <c r="I52" s="8">
        <f>IF(Calculos_Internos!H52="-", "-", Calculos_Internos!H52)</f>
        <v/>
      </c>
      <c r="J52" s="12">
        <f>Porra_Grupos!$D$6</f>
        <v/>
      </c>
      <c r="K52" s="12">
        <f>Porra_Grupos!$D$7</f>
        <v/>
      </c>
      <c r="L52" s="12">
        <f>Porra_Grupos!$D$8</f>
        <v/>
      </c>
      <c r="M52" s="12">
        <f>Porra_Grupos!$D$9</f>
        <v/>
      </c>
      <c r="N52" s="12">
        <f>Porra_Grupos!$D$10</f>
        <v/>
      </c>
      <c r="O52" s="12">
        <f>Porra_Grupos!$D$11</f>
        <v/>
      </c>
    </row>
    <row r="53">
      <c r="A53" s="6">
        <f>Porra_Grupos!$K$2</f>
        <v/>
      </c>
      <c r="B53" s="6">
        <f>Calculos_Internos!A53</f>
        <v/>
      </c>
      <c r="C53" s="6">
        <f>Calculos_Internos!B53</f>
        <v/>
      </c>
      <c r="D53" s="7">
        <f>Calculos_Internos!C53</f>
        <v/>
      </c>
      <c r="E53" s="7">
        <f>Calculos_Internos!F53</f>
        <v/>
      </c>
      <c r="F53" s="6">
        <f>Calculos_Internos!D53</f>
        <v/>
      </c>
      <c r="G53" s="6">
        <f>Calculos_Internos!E53</f>
        <v/>
      </c>
      <c r="H53" s="6">
        <f>IF(Calculos_Internos!G53="-", "-", Calculos_Internos!G53)</f>
        <v/>
      </c>
      <c r="I53" s="6">
        <f>IF(Calculos_Internos!H53="-", "-", Calculos_Internos!H53)</f>
        <v/>
      </c>
      <c r="J53" s="4">
        <f>Porra_Grupos!$D$6</f>
        <v/>
      </c>
      <c r="K53" s="4">
        <f>Porra_Grupos!$D$7</f>
        <v/>
      </c>
      <c r="L53" s="4">
        <f>Porra_Grupos!$D$8</f>
        <v/>
      </c>
      <c r="M53" s="4">
        <f>Porra_Grupos!$D$9</f>
        <v/>
      </c>
      <c r="N53" s="4">
        <f>Porra_Grupos!$D$10</f>
        <v/>
      </c>
      <c r="O53" s="4">
        <f>Porra_Grupos!$D$11</f>
        <v/>
      </c>
    </row>
    <row r="54">
      <c r="A54" s="8">
        <f>Porra_Grupos!$K$2</f>
        <v/>
      </c>
      <c r="B54" s="8">
        <f>Calculos_Internos!A54</f>
        <v/>
      </c>
      <c r="C54" s="8">
        <f>Calculos_Internos!B54</f>
        <v/>
      </c>
      <c r="D54" s="9">
        <f>Calculos_Internos!C54</f>
        <v/>
      </c>
      <c r="E54" s="9">
        <f>Calculos_Internos!F54</f>
        <v/>
      </c>
      <c r="F54" s="8">
        <f>Calculos_Internos!D54</f>
        <v/>
      </c>
      <c r="G54" s="8">
        <f>Calculos_Internos!E54</f>
        <v/>
      </c>
      <c r="H54" s="8">
        <f>IF(Calculos_Internos!G54="-", "-", Calculos_Internos!G54)</f>
        <v/>
      </c>
      <c r="I54" s="8">
        <f>IF(Calculos_Internos!H54="-", "-", Calculos_Internos!H54)</f>
        <v/>
      </c>
      <c r="J54" s="12">
        <f>Porra_Grupos!$D$6</f>
        <v/>
      </c>
      <c r="K54" s="12">
        <f>Porra_Grupos!$D$7</f>
        <v/>
      </c>
      <c r="L54" s="12">
        <f>Porra_Grupos!$D$8</f>
        <v/>
      </c>
      <c r="M54" s="12">
        <f>Porra_Grupos!$D$9</f>
        <v/>
      </c>
      <c r="N54" s="12">
        <f>Porra_Grupos!$D$10</f>
        <v/>
      </c>
      <c r="O54" s="12">
        <f>Porra_Grupos!$D$11</f>
        <v/>
      </c>
    </row>
    <row r="55">
      <c r="A55" s="6">
        <f>Porra_Grupos!$K$2</f>
        <v/>
      </c>
      <c r="B55" s="6">
        <f>Calculos_Internos!A55</f>
        <v/>
      </c>
      <c r="C55" s="6">
        <f>Calculos_Internos!B55</f>
        <v/>
      </c>
      <c r="D55" s="7">
        <f>Calculos_Internos!C55</f>
        <v/>
      </c>
      <c r="E55" s="7">
        <f>Calculos_Internos!F55</f>
        <v/>
      </c>
      <c r="F55" s="6">
        <f>Calculos_Internos!D55</f>
        <v/>
      </c>
      <c r="G55" s="6">
        <f>Calculos_Internos!E55</f>
        <v/>
      </c>
      <c r="H55" s="6">
        <f>IF(Calculos_Internos!G55="-", "-", Calculos_Internos!G55)</f>
        <v/>
      </c>
      <c r="I55" s="6">
        <f>IF(Calculos_Internos!H55="-", "-", Calculos_Internos!H55)</f>
        <v/>
      </c>
      <c r="J55" s="4">
        <f>Porra_Grupos!$D$6</f>
        <v/>
      </c>
      <c r="K55" s="4">
        <f>Porra_Grupos!$D$7</f>
        <v/>
      </c>
      <c r="L55" s="4">
        <f>Porra_Grupos!$D$8</f>
        <v/>
      </c>
      <c r="M55" s="4">
        <f>Porra_Grupos!$D$9</f>
        <v/>
      </c>
      <c r="N55" s="4">
        <f>Porra_Grupos!$D$10</f>
        <v/>
      </c>
      <c r="O55" s="4">
        <f>Porra_Grupos!$D$11</f>
        <v/>
      </c>
    </row>
    <row r="56">
      <c r="A56" s="8">
        <f>Porra_Grupos!$K$2</f>
        <v/>
      </c>
      <c r="B56" s="8">
        <f>Calculos_Internos!A56</f>
        <v/>
      </c>
      <c r="C56" s="8">
        <f>Calculos_Internos!B56</f>
        <v/>
      </c>
      <c r="D56" s="9">
        <f>Calculos_Internos!C56</f>
        <v/>
      </c>
      <c r="E56" s="9">
        <f>Calculos_Internos!F56</f>
        <v/>
      </c>
      <c r="F56" s="8">
        <f>Calculos_Internos!D56</f>
        <v/>
      </c>
      <c r="G56" s="8">
        <f>Calculos_Internos!E56</f>
        <v/>
      </c>
      <c r="H56" s="8">
        <f>IF(Calculos_Internos!G56="-", "-", Calculos_Internos!G56)</f>
        <v/>
      </c>
      <c r="I56" s="8">
        <f>IF(Calculos_Internos!H56="-", "-", Calculos_Internos!H56)</f>
        <v/>
      </c>
      <c r="J56" s="12">
        <f>Porra_Grupos!$D$6</f>
        <v/>
      </c>
      <c r="K56" s="12">
        <f>Porra_Grupos!$D$7</f>
        <v/>
      </c>
      <c r="L56" s="12">
        <f>Porra_Grupos!$D$8</f>
        <v/>
      </c>
      <c r="M56" s="12">
        <f>Porra_Grupos!$D$9</f>
        <v/>
      </c>
      <c r="N56" s="12">
        <f>Porra_Grupos!$D$10</f>
        <v/>
      </c>
      <c r="O56" s="12">
        <f>Porra_Grupos!$D$11</f>
        <v/>
      </c>
    </row>
    <row r="57">
      <c r="A57" s="6">
        <f>Porra_Grupos!$K$2</f>
        <v/>
      </c>
      <c r="B57" s="6">
        <f>Calculos_Internos!A57</f>
        <v/>
      </c>
      <c r="C57" s="6">
        <f>Calculos_Internos!B57</f>
        <v/>
      </c>
      <c r="D57" s="7">
        <f>Calculos_Internos!C57</f>
        <v/>
      </c>
      <c r="E57" s="7">
        <f>Calculos_Internos!F57</f>
        <v/>
      </c>
      <c r="F57" s="6">
        <f>Calculos_Internos!D57</f>
        <v/>
      </c>
      <c r="G57" s="6">
        <f>Calculos_Internos!E57</f>
        <v/>
      </c>
      <c r="H57" s="6">
        <f>IF(Calculos_Internos!G57="-", "-", Calculos_Internos!G57)</f>
        <v/>
      </c>
      <c r="I57" s="6">
        <f>IF(Calculos_Internos!H57="-", "-", Calculos_Internos!H57)</f>
        <v/>
      </c>
      <c r="J57" s="4">
        <f>Porra_Grupos!$D$6</f>
        <v/>
      </c>
      <c r="K57" s="4">
        <f>Porra_Grupos!$D$7</f>
        <v/>
      </c>
      <c r="L57" s="4">
        <f>Porra_Grupos!$D$8</f>
        <v/>
      </c>
      <c r="M57" s="4">
        <f>Porra_Grupos!$D$9</f>
        <v/>
      </c>
      <c r="N57" s="4">
        <f>Porra_Grupos!$D$10</f>
        <v/>
      </c>
      <c r="O57" s="4">
        <f>Porra_Grupos!$D$11</f>
        <v/>
      </c>
    </row>
    <row r="58">
      <c r="A58" s="8">
        <f>Porra_Grupos!$K$2</f>
        <v/>
      </c>
      <c r="B58" s="8">
        <f>Calculos_Internos!A58</f>
        <v/>
      </c>
      <c r="C58" s="8">
        <f>Calculos_Internos!B58</f>
        <v/>
      </c>
      <c r="D58" s="9">
        <f>Calculos_Internos!C58</f>
        <v/>
      </c>
      <c r="E58" s="9">
        <f>Calculos_Internos!F58</f>
        <v/>
      </c>
      <c r="F58" s="8">
        <f>Calculos_Internos!D58</f>
        <v/>
      </c>
      <c r="G58" s="8">
        <f>Calculos_Internos!E58</f>
        <v/>
      </c>
      <c r="H58" s="8">
        <f>IF(Calculos_Internos!G58="-", "-", Calculos_Internos!G58)</f>
        <v/>
      </c>
      <c r="I58" s="8">
        <f>IF(Calculos_Internos!H58="-", "-", Calculos_Internos!H58)</f>
        <v/>
      </c>
      <c r="J58" s="12">
        <f>Porra_Grupos!$D$6</f>
        <v/>
      </c>
      <c r="K58" s="12">
        <f>Porra_Grupos!$D$7</f>
        <v/>
      </c>
      <c r="L58" s="12">
        <f>Porra_Grupos!$D$8</f>
        <v/>
      </c>
      <c r="M58" s="12">
        <f>Porra_Grupos!$D$9</f>
        <v/>
      </c>
      <c r="N58" s="12">
        <f>Porra_Grupos!$D$10</f>
        <v/>
      </c>
      <c r="O58" s="12">
        <f>Porra_Grupos!$D$11</f>
        <v/>
      </c>
    </row>
    <row r="59">
      <c r="A59" s="6">
        <f>Porra_Grupos!$K$2</f>
        <v/>
      </c>
      <c r="B59" s="6">
        <f>Calculos_Internos!A59</f>
        <v/>
      </c>
      <c r="C59" s="6">
        <f>Calculos_Internos!B59</f>
        <v/>
      </c>
      <c r="D59" s="7">
        <f>Calculos_Internos!C59</f>
        <v/>
      </c>
      <c r="E59" s="7">
        <f>Calculos_Internos!F59</f>
        <v/>
      </c>
      <c r="F59" s="6">
        <f>Calculos_Internos!D59</f>
        <v/>
      </c>
      <c r="G59" s="6">
        <f>Calculos_Internos!E59</f>
        <v/>
      </c>
      <c r="H59" s="6">
        <f>IF(Calculos_Internos!G59="-", "-", Calculos_Internos!G59)</f>
        <v/>
      </c>
      <c r="I59" s="6">
        <f>IF(Calculos_Internos!H59="-", "-", Calculos_Internos!H59)</f>
        <v/>
      </c>
      <c r="J59" s="4">
        <f>Porra_Grupos!$D$6</f>
        <v/>
      </c>
      <c r="K59" s="4">
        <f>Porra_Grupos!$D$7</f>
        <v/>
      </c>
      <c r="L59" s="4">
        <f>Porra_Grupos!$D$8</f>
        <v/>
      </c>
      <c r="M59" s="4">
        <f>Porra_Grupos!$D$9</f>
        <v/>
      </c>
      <c r="N59" s="4">
        <f>Porra_Grupos!$D$10</f>
        <v/>
      </c>
      <c r="O59" s="4">
        <f>Porra_Grupos!$D$11</f>
        <v/>
      </c>
    </row>
    <row r="60">
      <c r="A60" s="8">
        <f>Porra_Grupos!$K$2</f>
        <v/>
      </c>
      <c r="B60" s="8">
        <f>Calculos_Internos!A60</f>
        <v/>
      </c>
      <c r="C60" s="8">
        <f>Calculos_Internos!B60</f>
        <v/>
      </c>
      <c r="D60" s="9">
        <f>Calculos_Internos!C60</f>
        <v/>
      </c>
      <c r="E60" s="9">
        <f>Calculos_Internos!F60</f>
        <v/>
      </c>
      <c r="F60" s="8">
        <f>Calculos_Internos!D60</f>
        <v/>
      </c>
      <c r="G60" s="8">
        <f>Calculos_Internos!E60</f>
        <v/>
      </c>
      <c r="H60" s="8">
        <f>IF(Calculos_Internos!G60="-", "-", Calculos_Internos!G60)</f>
        <v/>
      </c>
      <c r="I60" s="8">
        <f>IF(Calculos_Internos!H60="-", "-", Calculos_Internos!H60)</f>
        <v/>
      </c>
      <c r="J60" s="12">
        <f>Porra_Grupos!$D$6</f>
        <v/>
      </c>
      <c r="K60" s="12">
        <f>Porra_Grupos!$D$7</f>
        <v/>
      </c>
      <c r="L60" s="12">
        <f>Porra_Grupos!$D$8</f>
        <v/>
      </c>
      <c r="M60" s="12">
        <f>Porra_Grupos!$D$9</f>
        <v/>
      </c>
      <c r="N60" s="12">
        <f>Porra_Grupos!$D$10</f>
        <v/>
      </c>
      <c r="O60" s="12">
        <f>Porra_Grupos!$D$11</f>
        <v/>
      </c>
    </row>
    <row r="61">
      <c r="A61" s="6">
        <f>Porra_Grupos!$K$2</f>
        <v/>
      </c>
      <c r="B61" s="6">
        <f>Calculos_Internos!A61</f>
        <v/>
      </c>
      <c r="C61" s="6">
        <f>Calculos_Internos!B61</f>
        <v/>
      </c>
      <c r="D61" s="7">
        <f>Calculos_Internos!C61</f>
        <v/>
      </c>
      <c r="E61" s="7">
        <f>Calculos_Internos!F61</f>
        <v/>
      </c>
      <c r="F61" s="6">
        <f>Calculos_Internos!D61</f>
        <v/>
      </c>
      <c r="G61" s="6">
        <f>Calculos_Internos!E61</f>
        <v/>
      </c>
      <c r="H61" s="6">
        <f>IF(Calculos_Internos!G61="-", "-", Calculos_Internos!G61)</f>
        <v/>
      </c>
      <c r="I61" s="6">
        <f>IF(Calculos_Internos!H61="-", "-", Calculos_Internos!H61)</f>
        <v/>
      </c>
      <c r="J61" s="4">
        <f>Porra_Grupos!$D$6</f>
        <v/>
      </c>
      <c r="K61" s="4">
        <f>Porra_Grupos!$D$7</f>
        <v/>
      </c>
      <c r="L61" s="4">
        <f>Porra_Grupos!$D$8</f>
        <v/>
      </c>
      <c r="M61" s="4">
        <f>Porra_Grupos!$D$9</f>
        <v/>
      </c>
      <c r="N61" s="4">
        <f>Porra_Grupos!$D$10</f>
        <v/>
      </c>
      <c r="O61" s="4">
        <f>Porra_Grupos!$D$11</f>
        <v/>
      </c>
    </row>
    <row r="62">
      <c r="A62" s="8">
        <f>Porra_Grupos!$K$2</f>
        <v/>
      </c>
      <c r="B62" s="8">
        <f>Calculos_Internos!A62</f>
        <v/>
      </c>
      <c r="C62" s="8">
        <f>Calculos_Internos!B62</f>
        <v/>
      </c>
      <c r="D62" s="9">
        <f>Calculos_Internos!C62</f>
        <v/>
      </c>
      <c r="E62" s="9">
        <f>Calculos_Internos!F62</f>
        <v/>
      </c>
      <c r="F62" s="8">
        <f>Calculos_Internos!D62</f>
        <v/>
      </c>
      <c r="G62" s="8">
        <f>Calculos_Internos!E62</f>
        <v/>
      </c>
      <c r="H62" s="8">
        <f>IF(Calculos_Internos!G62="-", "-", Calculos_Internos!G62)</f>
        <v/>
      </c>
      <c r="I62" s="8">
        <f>IF(Calculos_Internos!H62="-", "-", Calculos_Internos!H62)</f>
        <v/>
      </c>
      <c r="J62" s="12">
        <f>Porra_Grupos!$D$6</f>
        <v/>
      </c>
      <c r="K62" s="12">
        <f>Porra_Grupos!$D$7</f>
        <v/>
      </c>
      <c r="L62" s="12">
        <f>Porra_Grupos!$D$8</f>
        <v/>
      </c>
      <c r="M62" s="12">
        <f>Porra_Grupos!$D$9</f>
        <v/>
      </c>
      <c r="N62" s="12">
        <f>Porra_Grupos!$D$10</f>
        <v/>
      </c>
      <c r="O62" s="12">
        <f>Porra_Grupos!$D$11</f>
        <v/>
      </c>
    </row>
    <row r="63">
      <c r="A63" s="6">
        <f>Porra_Grupos!$K$2</f>
        <v/>
      </c>
      <c r="B63" s="6">
        <f>Calculos_Internos!A63</f>
        <v/>
      </c>
      <c r="C63" s="6">
        <f>Calculos_Internos!B63</f>
        <v/>
      </c>
      <c r="D63" s="7">
        <f>Calculos_Internos!C63</f>
        <v/>
      </c>
      <c r="E63" s="7">
        <f>Calculos_Internos!F63</f>
        <v/>
      </c>
      <c r="F63" s="6">
        <f>Calculos_Internos!D63</f>
        <v/>
      </c>
      <c r="G63" s="6">
        <f>Calculos_Internos!E63</f>
        <v/>
      </c>
      <c r="H63" s="6">
        <f>IF(Calculos_Internos!G63="-", "-", Calculos_Internos!G63)</f>
        <v/>
      </c>
      <c r="I63" s="6">
        <f>IF(Calculos_Internos!H63="-", "-", Calculos_Internos!H63)</f>
        <v/>
      </c>
      <c r="J63" s="4">
        <f>Porra_Grupos!$D$6</f>
        <v/>
      </c>
      <c r="K63" s="4">
        <f>Porra_Grupos!$D$7</f>
        <v/>
      </c>
      <c r="L63" s="4">
        <f>Porra_Grupos!$D$8</f>
        <v/>
      </c>
      <c r="M63" s="4">
        <f>Porra_Grupos!$D$9</f>
        <v/>
      </c>
      <c r="N63" s="4">
        <f>Porra_Grupos!$D$10</f>
        <v/>
      </c>
      <c r="O63" s="4">
        <f>Porra_Grupos!$D$11</f>
        <v/>
      </c>
    </row>
    <row r="64">
      <c r="A64" s="8">
        <f>Porra_Grupos!$K$2</f>
        <v/>
      </c>
      <c r="B64" s="8">
        <f>Calculos_Internos!A64</f>
        <v/>
      </c>
      <c r="C64" s="8">
        <f>Calculos_Internos!B64</f>
        <v/>
      </c>
      <c r="D64" s="9">
        <f>Calculos_Internos!C64</f>
        <v/>
      </c>
      <c r="E64" s="9">
        <f>Calculos_Internos!F64</f>
        <v/>
      </c>
      <c r="F64" s="8">
        <f>Calculos_Internos!D64</f>
        <v/>
      </c>
      <c r="G64" s="8">
        <f>Calculos_Internos!E64</f>
        <v/>
      </c>
      <c r="H64" s="8">
        <f>IF(Calculos_Internos!G64="-", "-", Calculos_Internos!G64)</f>
        <v/>
      </c>
      <c r="I64" s="8">
        <f>IF(Calculos_Internos!H64="-", "-", Calculos_Internos!H64)</f>
        <v/>
      </c>
      <c r="J64" s="12">
        <f>Porra_Grupos!$D$6</f>
        <v/>
      </c>
      <c r="K64" s="12">
        <f>Porra_Grupos!$D$7</f>
        <v/>
      </c>
      <c r="L64" s="12">
        <f>Porra_Grupos!$D$8</f>
        <v/>
      </c>
      <c r="M64" s="12">
        <f>Porra_Grupos!$D$9</f>
        <v/>
      </c>
      <c r="N64" s="12">
        <f>Porra_Grupos!$D$10</f>
        <v/>
      </c>
      <c r="O64" s="12">
        <f>Porra_Grupos!$D$11</f>
        <v/>
      </c>
    </row>
    <row r="65">
      <c r="A65" s="6">
        <f>Porra_Grupos!$K$2</f>
        <v/>
      </c>
      <c r="B65" s="6">
        <f>Calculos_Internos!A65</f>
        <v/>
      </c>
      <c r="C65" s="6">
        <f>Calculos_Internos!B65</f>
        <v/>
      </c>
      <c r="D65" s="7">
        <f>Calculos_Internos!C65</f>
        <v/>
      </c>
      <c r="E65" s="7">
        <f>Calculos_Internos!F65</f>
        <v/>
      </c>
      <c r="F65" s="6">
        <f>Calculos_Internos!D65</f>
        <v/>
      </c>
      <c r="G65" s="6">
        <f>Calculos_Internos!E65</f>
        <v/>
      </c>
      <c r="H65" s="6">
        <f>IF(Calculos_Internos!G65="-", "-", Calculos_Internos!G65)</f>
        <v/>
      </c>
      <c r="I65" s="6">
        <f>IF(Calculos_Internos!H65="-", "-", Calculos_Internos!H65)</f>
        <v/>
      </c>
      <c r="J65" s="4">
        <f>Porra_Grupos!$D$6</f>
        <v/>
      </c>
      <c r="K65" s="4">
        <f>Porra_Grupos!$D$7</f>
        <v/>
      </c>
      <c r="L65" s="4">
        <f>Porra_Grupos!$D$8</f>
        <v/>
      </c>
      <c r="M65" s="4">
        <f>Porra_Grupos!$D$9</f>
        <v/>
      </c>
      <c r="N65" s="4">
        <f>Porra_Grupos!$D$10</f>
        <v/>
      </c>
      <c r="O65" s="4">
        <f>Porra_Grupos!$D$11</f>
        <v/>
      </c>
    </row>
    <row r="66">
      <c r="A66" s="8">
        <f>Porra_Grupos!$K$2</f>
        <v/>
      </c>
      <c r="B66" s="8">
        <f>Calculos_Internos!A66</f>
        <v/>
      </c>
      <c r="C66" s="8">
        <f>Calculos_Internos!B66</f>
        <v/>
      </c>
      <c r="D66" s="9">
        <f>Calculos_Internos!C66</f>
        <v/>
      </c>
      <c r="E66" s="9">
        <f>Calculos_Internos!F66</f>
        <v/>
      </c>
      <c r="F66" s="8">
        <f>Calculos_Internos!D66</f>
        <v/>
      </c>
      <c r="G66" s="8">
        <f>Calculos_Internos!E66</f>
        <v/>
      </c>
      <c r="H66" s="8">
        <f>IF(Calculos_Internos!G66="-", "-", Calculos_Internos!G66)</f>
        <v/>
      </c>
      <c r="I66" s="8">
        <f>IF(Calculos_Internos!H66="-", "-", Calculos_Internos!H66)</f>
        <v/>
      </c>
      <c r="J66" s="12">
        <f>Porra_Grupos!$D$6</f>
        <v/>
      </c>
      <c r="K66" s="12">
        <f>Porra_Grupos!$D$7</f>
        <v/>
      </c>
      <c r="L66" s="12">
        <f>Porra_Grupos!$D$8</f>
        <v/>
      </c>
      <c r="M66" s="12">
        <f>Porra_Grupos!$D$9</f>
        <v/>
      </c>
      <c r="N66" s="12">
        <f>Porra_Grupos!$D$10</f>
        <v/>
      </c>
      <c r="O66" s="12">
        <f>Porra_Grupos!$D$11</f>
        <v/>
      </c>
    </row>
    <row r="67">
      <c r="A67" s="6">
        <f>Porra_Grupos!$K$2</f>
        <v/>
      </c>
      <c r="B67" s="6">
        <f>Calculos_Internos!A67</f>
        <v/>
      </c>
      <c r="C67" s="6">
        <f>Calculos_Internos!B67</f>
        <v/>
      </c>
      <c r="D67" s="7">
        <f>Calculos_Internos!C67</f>
        <v/>
      </c>
      <c r="E67" s="7">
        <f>Calculos_Internos!F67</f>
        <v/>
      </c>
      <c r="F67" s="6">
        <f>Calculos_Internos!D67</f>
        <v/>
      </c>
      <c r="G67" s="6">
        <f>Calculos_Internos!E67</f>
        <v/>
      </c>
      <c r="H67" s="6">
        <f>IF(Calculos_Internos!G67="-", "-", Calculos_Internos!G67)</f>
        <v/>
      </c>
      <c r="I67" s="6">
        <f>IF(Calculos_Internos!H67="-", "-", Calculos_Internos!H67)</f>
        <v/>
      </c>
      <c r="J67" s="4">
        <f>Porra_Grupos!$D$6</f>
        <v/>
      </c>
      <c r="K67" s="4">
        <f>Porra_Grupos!$D$7</f>
        <v/>
      </c>
      <c r="L67" s="4">
        <f>Porra_Grupos!$D$8</f>
        <v/>
      </c>
      <c r="M67" s="4">
        <f>Porra_Grupos!$D$9</f>
        <v/>
      </c>
      <c r="N67" s="4">
        <f>Porra_Grupos!$D$10</f>
        <v/>
      </c>
      <c r="O67" s="4">
        <f>Porra_Grupos!$D$11</f>
        <v/>
      </c>
    </row>
    <row r="68">
      <c r="A68" s="8">
        <f>Porra_Grupos!$K$2</f>
        <v/>
      </c>
      <c r="B68" s="8">
        <f>Calculos_Internos!A68</f>
        <v/>
      </c>
      <c r="C68" s="8">
        <f>Calculos_Internos!B68</f>
        <v/>
      </c>
      <c r="D68" s="9">
        <f>Calculos_Internos!C68</f>
        <v/>
      </c>
      <c r="E68" s="9">
        <f>Calculos_Internos!F68</f>
        <v/>
      </c>
      <c r="F68" s="8">
        <f>Calculos_Internos!D68</f>
        <v/>
      </c>
      <c r="G68" s="8">
        <f>Calculos_Internos!E68</f>
        <v/>
      </c>
      <c r="H68" s="8">
        <f>IF(Calculos_Internos!G68="-", "-", Calculos_Internos!G68)</f>
        <v/>
      </c>
      <c r="I68" s="8">
        <f>IF(Calculos_Internos!H68="-", "-", Calculos_Internos!H68)</f>
        <v/>
      </c>
      <c r="J68" s="12">
        <f>Porra_Grupos!$D$6</f>
        <v/>
      </c>
      <c r="K68" s="12">
        <f>Porra_Grupos!$D$7</f>
        <v/>
      </c>
      <c r="L68" s="12">
        <f>Porra_Grupos!$D$8</f>
        <v/>
      </c>
      <c r="M68" s="12">
        <f>Porra_Grupos!$D$9</f>
        <v/>
      </c>
      <c r="N68" s="12">
        <f>Porra_Grupos!$D$10</f>
        <v/>
      </c>
      <c r="O68" s="12">
        <f>Porra_Grupos!$D$11</f>
        <v/>
      </c>
    </row>
    <row r="69">
      <c r="A69" s="6">
        <f>Porra_Grupos!$K$2</f>
        <v/>
      </c>
      <c r="B69" s="6">
        <f>Calculos_Internos!A69</f>
        <v/>
      </c>
      <c r="C69" s="6">
        <f>Calculos_Internos!B69</f>
        <v/>
      </c>
      <c r="D69" s="7">
        <f>Calculos_Internos!C69</f>
        <v/>
      </c>
      <c r="E69" s="7">
        <f>Calculos_Internos!F69</f>
        <v/>
      </c>
      <c r="F69" s="6">
        <f>Calculos_Internos!D69</f>
        <v/>
      </c>
      <c r="G69" s="6">
        <f>Calculos_Internos!E69</f>
        <v/>
      </c>
      <c r="H69" s="6">
        <f>IF(Calculos_Internos!G69="-", "-", Calculos_Internos!G69)</f>
        <v/>
      </c>
      <c r="I69" s="6">
        <f>IF(Calculos_Internos!H69="-", "-", Calculos_Internos!H69)</f>
        <v/>
      </c>
      <c r="J69" s="4">
        <f>Porra_Grupos!$D$6</f>
        <v/>
      </c>
      <c r="K69" s="4">
        <f>Porra_Grupos!$D$7</f>
        <v/>
      </c>
      <c r="L69" s="4">
        <f>Porra_Grupos!$D$8</f>
        <v/>
      </c>
      <c r="M69" s="4">
        <f>Porra_Grupos!$D$9</f>
        <v/>
      </c>
      <c r="N69" s="4">
        <f>Porra_Grupos!$D$10</f>
        <v/>
      </c>
      <c r="O69" s="4">
        <f>Porra_Grupos!$D$11</f>
        <v/>
      </c>
    </row>
    <row r="70">
      <c r="A70" s="8">
        <f>Porra_Grupos!$K$2</f>
        <v/>
      </c>
      <c r="B70" s="8">
        <f>Calculos_Internos!A70</f>
        <v/>
      </c>
      <c r="C70" s="8">
        <f>Calculos_Internos!B70</f>
        <v/>
      </c>
      <c r="D70" s="9">
        <f>Calculos_Internos!C70</f>
        <v/>
      </c>
      <c r="E70" s="9">
        <f>Calculos_Internos!F70</f>
        <v/>
      </c>
      <c r="F70" s="8">
        <f>Calculos_Internos!D70</f>
        <v/>
      </c>
      <c r="G70" s="8">
        <f>Calculos_Internos!E70</f>
        <v/>
      </c>
      <c r="H70" s="8">
        <f>IF(Calculos_Internos!G70="-", "-", Calculos_Internos!G70)</f>
        <v/>
      </c>
      <c r="I70" s="8">
        <f>IF(Calculos_Internos!H70="-", "-", Calculos_Internos!H70)</f>
        <v/>
      </c>
      <c r="J70" s="12">
        <f>Porra_Grupos!$D$6</f>
        <v/>
      </c>
      <c r="K70" s="12">
        <f>Porra_Grupos!$D$7</f>
        <v/>
      </c>
      <c r="L70" s="12">
        <f>Porra_Grupos!$D$8</f>
        <v/>
      </c>
      <c r="M70" s="12">
        <f>Porra_Grupos!$D$9</f>
        <v/>
      </c>
      <c r="N70" s="12">
        <f>Porra_Grupos!$D$10</f>
        <v/>
      </c>
      <c r="O70" s="12">
        <f>Porra_Grupos!$D$11</f>
        <v/>
      </c>
    </row>
    <row r="71">
      <c r="A71" s="6">
        <f>Porra_Grupos!$K$2</f>
        <v/>
      </c>
      <c r="B71" s="6">
        <f>Calculos_Internos!A71</f>
        <v/>
      </c>
      <c r="C71" s="6">
        <f>Calculos_Internos!B71</f>
        <v/>
      </c>
      <c r="D71" s="7">
        <f>Calculos_Internos!C71</f>
        <v/>
      </c>
      <c r="E71" s="7">
        <f>Calculos_Internos!F71</f>
        <v/>
      </c>
      <c r="F71" s="6">
        <f>Calculos_Internos!D71</f>
        <v/>
      </c>
      <c r="G71" s="6">
        <f>Calculos_Internos!E71</f>
        <v/>
      </c>
      <c r="H71" s="6">
        <f>IF(Calculos_Internos!G71="-", "-", Calculos_Internos!G71)</f>
        <v/>
      </c>
      <c r="I71" s="6">
        <f>IF(Calculos_Internos!H71="-", "-", Calculos_Internos!H71)</f>
        <v/>
      </c>
      <c r="J71" s="4">
        <f>Porra_Grupos!$D$6</f>
        <v/>
      </c>
      <c r="K71" s="4">
        <f>Porra_Grupos!$D$7</f>
        <v/>
      </c>
      <c r="L71" s="4">
        <f>Porra_Grupos!$D$8</f>
        <v/>
      </c>
      <c r="M71" s="4">
        <f>Porra_Grupos!$D$9</f>
        <v/>
      </c>
      <c r="N71" s="4">
        <f>Porra_Grupos!$D$10</f>
        <v/>
      </c>
      <c r="O71" s="4">
        <f>Porra_Grupos!$D$11</f>
        <v/>
      </c>
    </row>
    <row r="72">
      <c r="A72" s="8">
        <f>Porra_Grupos!$K$2</f>
        <v/>
      </c>
      <c r="B72" s="8">
        <f>Calculos_Internos!A72</f>
        <v/>
      </c>
      <c r="C72" s="8">
        <f>Calculos_Internos!B72</f>
        <v/>
      </c>
      <c r="D72" s="9">
        <f>Calculos_Internos!C72</f>
        <v/>
      </c>
      <c r="E72" s="9">
        <f>Calculos_Internos!F72</f>
        <v/>
      </c>
      <c r="F72" s="8">
        <f>Calculos_Internos!D72</f>
        <v/>
      </c>
      <c r="G72" s="8">
        <f>Calculos_Internos!E72</f>
        <v/>
      </c>
      <c r="H72" s="8">
        <f>IF(Calculos_Internos!G72="-", "-", Calculos_Internos!G72)</f>
        <v/>
      </c>
      <c r="I72" s="8">
        <f>IF(Calculos_Internos!H72="-", "-", Calculos_Internos!H72)</f>
        <v/>
      </c>
      <c r="J72" s="12">
        <f>Porra_Grupos!$D$6</f>
        <v/>
      </c>
      <c r="K72" s="12">
        <f>Porra_Grupos!$D$7</f>
        <v/>
      </c>
      <c r="L72" s="12">
        <f>Porra_Grupos!$D$8</f>
        <v/>
      </c>
      <c r="M72" s="12">
        <f>Porra_Grupos!$D$9</f>
        <v/>
      </c>
      <c r="N72" s="12">
        <f>Porra_Grupos!$D$10</f>
        <v/>
      </c>
      <c r="O72" s="12">
        <f>Porra_Grupos!$D$11</f>
        <v/>
      </c>
    </row>
    <row r="73">
      <c r="A73" s="6">
        <f>Porra_Grupos!$K$2</f>
        <v/>
      </c>
      <c r="B73" s="6">
        <f>Calculos_Internos!A73</f>
        <v/>
      </c>
      <c r="C73" s="6">
        <f>Calculos_Internos!B73</f>
        <v/>
      </c>
      <c r="D73" s="7">
        <f>Calculos_Internos!C73</f>
        <v/>
      </c>
      <c r="E73" s="7">
        <f>Calculos_Internos!F73</f>
        <v/>
      </c>
      <c r="F73" s="6">
        <f>Calculos_Internos!D73</f>
        <v/>
      </c>
      <c r="G73" s="6">
        <f>Calculos_Internos!E73</f>
        <v/>
      </c>
      <c r="H73" s="6">
        <f>IF(Calculos_Internos!G73="-", "-", Calculos_Internos!G73)</f>
        <v/>
      </c>
      <c r="I73" s="6">
        <f>IF(Calculos_Internos!H73="-", "-", Calculos_Internos!H73)</f>
        <v/>
      </c>
      <c r="J73" s="4">
        <f>Porra_Grupos!$D$6</f>
        <v/>
      </c>
      <c r="K73" s="4">
        <f>Porra_Grupos!$D$7</f>
        <v/>
      </c>
      <c r="L73" s="4">
        <f>Porra_Grupos!$D$8</f>
        <v/>
      </c>
      <c r="M73" s="4">
        <f>Porra_Grupos!$D$9</f>
        <v/>
      </c>
      <c r="N73" s="4">
        <f>Porra_Grupos!$D$10</f>
        <v/>
      </c>
      <c r="O73" s="4">
        <f>Porra_Grupos!$D$11</f>
        <v/>
      </c>
    </row>
    <row r="74">
      <c r="A74" s="8">
        <f>Porra_Grupos!$K$2</f>
        <v/>
      </c>
      <c r="B74" s="8">
        <f>Calculos_Internos!A200</f>
        <v/>
      </c>
      <c r="C74" s="8">
        <f>Calculos_Internos!B200</f>
        <v/>
      </c>
      <c r="D74" s="9">
        <f>Calculos_Internos!C200</f>
        <v/>
      </c>
      <c r="E74" s="9">
        <f>Calculos_Internos!F200</f>
        <v/>
      </c>
      <c r="F74" s="8">
        <f>Calculos_Internos!D200</f>
        <v/>
      </c>
      <c r="G74" s="8">
        <f>Calculos_Internos!E200</f>
        <v/>
      </c>
      <c r="H74" s="8">
        <f>IF(Calculos_Internos!G200="-", "-", Calculos_Internos!G200)</f>
        <v/>
      </c>
      <c r="I74" s="8">
        <f>IF(Calculos_Internos!H200="-", "-", Calculos_Internos!H200)</f>
        <v/>
      </c>
      <c r="J74" s="12">
        <f>Porra_Grupos!$D$6</f>
        <v/>
      </c>
      <c r="K74" s="12">
        <f>Porra_Grupos!$D$7</f>
        <v/>
      </c>
      <c r="L74" s="12">
        <f>Porra_Grupos!$D$8</f>
        <v/>
      </c>
      <c r="M74" s="12">
        <f>Porra_Grupos!$D$9</f>
        <v/>
      </c>
      <c r="N74" s="12">
        <f>Porra_Grupos!$D$10</f>
        <v/>
      </c>
      <c r="O74" s="12">
        <f>Porra_Grupos!$D$11</f>
        <v/>
      </c>
    </row>
    <row r="75">
      <c r="A75" s="6">
        <f>Porra_Grupos!$K$2</f>
        <v/>
      </c>
      <c r="B75" s="6">
        <f>Calculos_Internos!A201</f>
        <v/>
      </c>
      <c r="C75" s="6">
        <f>Calculos_Internos!B201</f>
        <v/>
      </c>
      <c r="D75" s="7">
        <f>Calculos_Internos!C201</f>
        <v/>
      </c>
      <c r="E75" s="7">
        <f>Calculos_Internos!F201</f>
        <v/>
      </c>
      <c r="F75" s="6">
        <f>Calculos_Internos!D201</f>
        <v/>
      </c>
      <c r="G75" s="6">
        <f>Calculos_Internos!E201</f>
        <v/>
      </c>
      <c r="H75" s="6">
        <f>IF(Calculos_Internos!G201="-", "-", Calculos_Internos!G201)</f>
        <v/>
      </c>
      <c r="I75" s="6">
        <f>IF(Calculos_Internos!H201="-", "-", Calculos_Internos!H201)</f>
        <v/>
      </c>
      <c r="J75" s="4">
        <f>Porra_Grupos!$D$6</f>
        <v/>
      </c>
      <c r="K75" s="4">
        <f>Porra_Grupos!$D$7</f>
        <v/>
      </c>
      <c r="L75" s="4">
        <f>Porra_Grupos!$D$8</f>
        <v/>
      </c>
      <c r="M75" s="4">
        <f>Porra_Grupos!$D$9</f>
        <v/>
      </c>
      <c r="N75" s="4">
        <f>Porra_Grupos!$D$10</f>
        <v/>
      </c>
      <c r="O75" s="4">
        <f>Porra_Grupos!$D$11</f>
        <v/>
      </c>
    </row>
    <row r="76">
      <c r="A76" s="8">
        <f>Porra_Grupos!$K$2</f>
        <v/>
      </c>
      <c r="B76" s="8">
        <f>Calculos_Internos!A202</f>
        <v/>
      </c>
      <c r="C76" s="8">
        <f>Calculos_Internos!B202</f>
        <v/>
      </c>
      <c r="D76" s="9">
        <f>Calculos_Internos!C202</f>
        <v/>
      </c>
      <c r="E76" s="9">
        <f>Calculos_Internos!F202</f>
        <v/>
      </c>
      <c r="F76" s="8">
        <f>Calculos_Internos!D202</f>
        <v/>
      </c>
      <c r="G76" s="8">
        <f>Calculos_Internos!E202</f>
        <v/>
      </c>
      <c r="H76" s="8">
        <f>IF(Calculos_Internos!G202="-", "-", Calculos_Internos!G202)</f>
        <v/>
      </c>
      <c r="I76" s="8">
        <f>IF(Calculos_Internos!H202="-", "-", Calculos_Internos!H202)</f>
        <v/>
      </c>
      <c r="J76" s="12">
        <f>Porra_Grupos!$D$6</f>
        <v/>
      </c>
      <c r="K76" s="12">
        <f>Porra_Grupos!$D$7</f>
        <v/>
      </c>
      <c r="L76" s="12">
        <f>Porra_Grupos!$D$8</f>
        <v/>
      </c>
      <c r="M76" s="12">
        <f>Porra_Grupos!$D$9</f>
        <v/>
      </c>
      <c r="N76" s="12">
        <f>Porra_Grupos!$D$10</f>
        <v/>
      </c>
      <c r="O76" s="12">
        <f>Porra_Grupos!$D$11</f>
        <v/>
      </c>
    </row>
    <row r="77">
      <c r="A77" s="6">
        <f>Porra_Grupos!$K$2</f>
        <v/>
      </c>
      <c r="B77" s="6">
        <f>Calculos_Internos!A203</f>
        <v/>
      </c>
      <c r="C77" s="6">
        <f>Calculos_Internos!B203</f>
        <v/>
      </c>
      <c r="D77" s="7">
        <f>Calculos_Internos!C203</f>
        <v/>
      </c>
      <c r="E77" s="7">
        <f>Calculos_Internos!F203</f>
        <v/>
      </c>
      <c r="F77" s="6">
        <f>Calculos_Internos!D203</f>
        <v/>
      </c>
      <c r="G77" s="6">
        <f>Calculos_Internos!E203</f>
        <v/>
      </c>
      <c r="H77" s="6">
        <f>IF(Calculos_Internos!G203="-", "-", Calculos_Internos!G203)</f>
        <v/>
      </c>
      <c r="I77" s="6">
        <f>IF(Calculos_Internos!H203="-", "-", Calculos_Internos!H203)</f>
        <v/>
      </c>
      <c r="J77" s="4">
        <f>Porra_Grupos!$D$6</f>
        <v/>
      </c>
      <c r="K77" s="4">
        <f>Porra_Grupos!$D$7</f>
        <v/>
      </c>
      <c r="L77" s="4">
        <f>Porra_Grupos!$D$8</f>
        <v/>
      </c>
      <c r="M77" s="4">
        <f>Porra_Grupos!$D$9</f>
        <v/>
      </c>
      <c r="N77" s="4">
        <f>Porra_Grupos!$D$10</f>
        <v/>
      </c>
      <c r="O77" s="4">
        <f>Porra_Grupos!$D$11</f>
        <v/>
      </c>
    </row>
    <row r="78">
      <c r="A78" s="8">
        <f>Porra_Grupos!$K$2</f>
        <v/>
      </c>
      <c r="B78" s="8">
        <f>Calculos_Internos!A204</f>
        <v/>
      </c>
      <c r="C78" s="8">
        <f>Calculos_Internos!B204</f>
        <v/>
      </c>
      <c r="D78" s="9">
        <f>Calculos_Internos!C204</f>
        <v/>
      </c>
      <c r="E78" s="9">
        <f>Calculos_Internos!F204</f>
        <v/>
      </c>
      <c r="F78" s="8">
        <f>Calculos_Internos!D204</f>
        <v/>
      </c>
      <c r="G78" s="8">
        <f>Calculos_Internos!E204</f>
        <v/>
      </c>
      <c r="H78" s="8">
        <f>IF(Calculos_Internos!G204="-", "-", Calculos_Internos!G204)</f>
        <v/>
      </c>
      <c r="I78" s="8">
        <f>IF(Calculos_Internos!H204="-", "-", Calculos_Internos!H204)</f>
        <v/>
      </c>
      <c r="J78" s="12">
        <f>Porra_Grupos!$D$6</f>
        <v/>
      </c>
      <c r="K78" s="12">
        <f>Porra_Grupos!$D$7</f>
        <v/>
      </c>
      <c r="L78" s="12">
        <f>Porra_Grupos!$D$8</f>
        <v/>
      </c>
      <c r="M78" s="12">
        <f>Porra_Grupos!$D$9</f>
        <v/>
      </c>
      <c r="N78" s="12">
        <f>Porra_Grupos!$D$10</f>
        <v/>
      </c>
      <c r="O78" s="12">
        <f>Porra_Grupos!$D$11</f>
        <v/>
      </c>
    </row>
    <row r="79">
      <c r="A79" s="6">
        <f>Porra_Grupos!$K$2</f>
        <v/>
      </c>
      <c r="B79" s="6">
        <f>Calculos_Internos!A205</f>
        <v/>
      </c>
      <c r="C79" s="6">
        <f>Calculos_Internos!B205</f>
        <v/>
      </c>
      <c r="D79" s="7">
        <f>Calculos_Internos!C205</f>
        <v/>
      </c>
      <c r="E79" s="7">
        <f>Calculos_Internos!F205</f>
        <v/>
      </c>
      <c r="F79" s="6">
        <f>Calculos_Internos!D205</f>
        <v/>
      </c>
      <c r="G79" s="6">
        <f>Calculos_Internos!E205</f>
        <v/>
      </c>
      <c r="H79" s="6">
        <f>IF(Calculos_Internos!G205="-", "-", Calculos_Internos!G205)</f>
        <v/>
      </c>
      <c r="I79" s="6">
        <f>IF(Calculos_Internos!H205="-", "-", Calculos_Internos!H205)</f>
        <v/>
      </c>
      <c r="J79" s="4">
        <f>Porra_Grupos!$D$6</f>
        <v/>
      </c>
      <c r="K79" s="4">
        <f>Porra_Grupos!$D$7</f>
        <v/>
      </c>
      <c r="L79" s="4">
        <f>Porra_Grupos!$D$8</f>
        <v/>
      </c>
      <c r="M79" s="4">
        <f>Porra_Grupos!$D$9</f>
        <v/>
      </c>
      <c r="N79" s="4">
        <f>Porra_Grupos!$D$10</f>
        <v/>
      </c>
      <c r="O79" s="4">
        <f>Porra_Grupos!$D$11</f>
        <v/>
      </c>
    </row>
    <row r="80">
      <c r="A80" s="8">
        <f>Porra_Grupos!$K$2</f>
        <v/>
      </c>
      <c r="B80" s="8">
        <f>Calculos_Internos!A206</f>
        <v/>
      </c>
      <c r="C80" s="8">
        <f>Calculos_Internos!B206</f>
        <v/>
      </c>
      <c r="D80" s="9">
        <f>Calculos_Internos!C206</f>
        <v/>
      </c>
      <c r="E80" s="9">
        <f>Calculos_Internos!F206</f>
        <v/>
      </c>
      <c r="F80" s="8">
        <f>Calculos_Internos!D206</f>
        <v/>
      </c>
      <c r="G80" s="8">
        <f>Calculos_Internos!E206</f>
        <v/>
      </c>
      <c r="H80" s="8">
        <f>IF(Calculos_Internos!G206="-", "-", Calculos_Internos!G206)</f>
        <v/>
      </c>
      <c r="I80" s="8">
        <f>IF(Calculos_Internos!H206="-", "-", Calculos_Internos!H206)</f>
        <v/>
      </c>
      <c r="J80" s="12">
        <f>Porra_Grupos!$D$6</f>
        <v/>
      </c>
      <c r="K80" s="12">
        <f>Porra_Grupos!$D$7</f>
        <v/>
      </c>
      <c r="L80" s="12">
        <f>Porra_Grupos!$D$8</f>
        <v/>
      </c>
      <c r="M80" s="12">
        <f>Porra_Grupos!$D$9</f>
        <v/>
      </c>
      <c r="N80" s="12">
        <f>Porra_Grupos!$D$10</f>
        <v/>
      </c>
      <c r="O80" s="12">
        <f>Porra_Grupos!$D$11</f>
        <v/>
      </c>
    </row>
    <row r="81">
      <c r="A81" s="6">
        <f>Porra_Grupos!$K$2</f>
        <v/>
      </c>
      <c r="B81" s="6">
        <f>Calculos_Internos!A207</f>
        <v/>
      </c>
      <c r="C81" s="6">
        <f>Calculos_Internos!B207</f>
        <v/>
      </c>
      <c r="D81" s="7">
        <f>Calculos_Internos!C207</f>
        <v/>
      </c>
      <c r="E81" s="7">
        <f>Calculos_Internos!F207</f>
        <v/>
      </c>
      <c r="F81" s="6">
        <f>Calculos_Internos!D207</f>
        <v/>
      </c>
      <c r="G81" s="6">
        <f>Calculos_Internos!E207</f>
        <v/>
      </c>
      <c r="H81" s="6">
        <f>IF(Calculos_Internos!G207="-", "-", Calculos_Internos!G207)</f>
        <v/>
      </c>
      <c r="I81" s="6">
        <f>IF(Calculos_Internos!H207="-", "-", Calculos_Internos!H207)</f>
        <v/>
      </c>
      <c r="J81" s="4">
        <f>Porra_Grupos!$D$6</f>
        <v/>
      </c>
      <c r="K81" s="4">
        <f>Porra_Grupos!$D$7</f>
        <v/>
      </c>
      <c r="L81" s="4">
        <f>Porra_Grupos!$D$8</f>
        <v/>
      </c>
      <c r="M81" s="4">
        <f>Porra_Grupos!$D$9</f>
        <v/>
      </c>
      <c r="N81" s="4">
        <f>Porra_Grupos!$D$10</f>
        <v/>
      </c>
      <c r="O81" s="4">
        <f>Porra_Grupos!$D$11</f>
        <v/>
      </c>
    </row>
    <row r="82">
      <c r="A82" s="8">
        <f>Porra_Grupos!$K$2</f>
        <v/>
      </c>
      <c r="B82" s="8">
        <f>Calculos_Internos!A208</f>
        <v/>
      </c>
      <c r="C82" s="8">
        <f>Calculos_Internos!B208</f>
        <v/>
      </c>
      <c r="D82" s="9">
        <f>Calculos_Internos!C208</f>
        <v/>
      </c>
      <c r="E82" s="9">
        <f>Calculos_Internos!F208</f>
        <v/>
      </c>
      <c r="F82" s="8">
        <f>Calculos_Internos!D208</f>
        <v/>
      </c>
      <c r="G82" s="8">
        <f>Calculos_Internos!E208</f>
        <v/>
      </c>
      <c r="H82" s="8">
        <f>IF(Calculos_Internos!G208="-", "-", Calculos_Internos!G208)</f>
        <v/>
      </c>
      <c r="I82" s="8">
        <f>IF(Calculos_Internos!H208="-", "-", Calculos_Internos!H208)</f>
        <v/>
      </c>
      <c r="J82" s="12">
        <f>Porra_Grupos!$D$6</f>
        <v/>
      </c>
      <c r="K82" s="12">
        <f>Porra_Grupos!$D$7</f>
        <v/>
      </c>
      <c r="L82" s="12">
        <f>Porra_Grupos!$D$8</f>
        <v/>
      </c>
      <c r="M82" s="12">
        <f>Porra_Grupos!$D$9</f>
        <v/>
      </c>
      <c r="N82" s="12">
        <f>Porra_Grupos!$D$10</f>
        <v/>
      </c>
      <c r="O82" s="12">
        <f>Porra_Grupos!$D$11</f>
        <v/>
      </c>
    </row>
    <row r="83">
      <c r="A83" s="6">
        <f>Porra_Grupos!$K$2</f>
        <v/>
      </c>
      <c r="B83" s="6">
        <f>Calculos_Internos!A209</f>
        <v/>
      </c>
      <c r="C83" s="6">
        <f>Calculos_Internos!B209</f>
        <v/>
      </c>
      <c r="D83" s="7">
        <f>Calculos_Internos!C209</f>
        <v/>
      </c>
      <c r="E83" s="7">
        <f>Calculos_Internos!F209</f>
        <v/>
      </c>
      <c r="F83" s="6">
        <f>Calculos_Internos!D209</f>
        <v/>
      </c>
      <c r="G83" s="6">
        <f>Calculos_Internos!E209</f>
        <v/>
      </c>
      <c r="H83" s="6">
        <f>IF(Calculos_Internos!G209="-", "-", Calculos_Internos!G209)</f>
        <v/>
      </c>
      <c r="I83" s="6">
        <f>IF(Calculos_Internos!H209="-", "-", Calculos_Internos!H209)</f>
        <v/>
      </c>
      <c r="J83" s="4">
        <f>Porra_Grupos!$D$6</f>
        <v/>
      </c>
      <c r="K83" s="4">
        <f>Porra_Grupos!$D$7</f>
        <v/>
      </c>
      <c r="L83" s="4">
        <f>Porra_Grupos!$D$8</f>
        <v/>
      </c>
      <c r="M83" s="4">
        <f>Porra_Grupos!$D$9</f>
        <v/>
      </c>
      <c r="N83" s="4">
        <f>Porra_Grupos!$D$10</f>
        <v/>
      </c>
      <c r="O83" s="4">
        <f>Porra_Grupos!$D$11</f>
        <v/>
      </c>
    </row>
    <row r="84">
      <c r="A84" s="8">
        <f>Porra_Grupos!$K$2</f>
        <v/>
      </c>
      <c r="B84" s="8">
        <f>Calculos_Internos!A210</f>
        <v/>
      </c>
      <c r="C84" s="8">
        <f>Calculos_Internos!B210</f>
        <v/>
      </c>
      <c r="D84" s="9">
        <f>Calculos_Internos!C210</f>
        <v/>
      </c>
      <c r="E84" s="9">
        <f>Calculos_Internos!F210</f>
        <v/>
      </c>
      <c r="F84" s="8">
        <f>Calculos_Internos!D210</f>
        <v/>
      </c>
      <c r="G84" s="8">
        <f>Calculos_Internos!E210</f>
        <v/>
      </c>
      <c r="H84" s="8">
        <f>IF(Calculos_Internos!G210="-", "-", Calculos_Internos!G210)</f>
        <v/>
      </c>
      <c r="I84" s="8">
        <f>IF(Calculos_Internos!H210="-", "-", Calculos_Internos!H210)</f>
        <v/>
      </c>
      <c r="J84" s="12">
        <f>Porra_Grupos!$D$6</f>
        <v/>
      </c>
      <c r="K84" s="12">
        <f>Porra_Grupos!$D$7</f>
        <v/>
      </c>
      <c r="L84" s="12">
        <f>Porra_Grupos!$D$8</f>
        <v/>
      </c>
      <c r="M84" s="12">
        <f>Porra_Grupos!$D$9</f>
        <v/>
      </c>
      <c r="N84" s="12">
        <f>Porra_Grupos!$D$10</f>
        <v/>
      </c>
      <c r="O84" s="12">
        <f>Porra_Grupos!$D$11</f>
        <v/>
      </c>
    </row>
    <row r="85">
      <c r="A85" s="6">
        <f>Porra_Grupos!$K$2</f>
        <v/>
      </c>
      <c r="B85" s="6">
        <f>Calculos_Internos!A211</f>
        <v/>
      </c>
      <c r="C85" s="6">
        <f>Calculos_Internos!B211</f>
        <v/>
      </c>
      <c r="D85" s="7">
        <f>Calculos_Internos!C211</f>
        <v/>
      </c>
      <c r="E85" s="7">
        <f>Calculos_Internos!F211</f>
        <v/>
      </c>
      <c r="F85" s="6">
        <f>Calculos_Internos!D211</f>
        <v/>
      </c>
      <c r="G85" s="6">
        <f>Calculos_Internos!E211</f>
        <v/>
      </c>
      <c r="H85" s="6">
        <f>IF(Calculos_Internos!G211="-", "-", Calculos_Internos!G211)</f>
        <v/>
      </c>
      <c r="I85" s="6">
        <f>IF(Calculos_Internos!H211="-", "-", Calculos_Internos!H211)</f>
        <v/>
      </c>
      <c r="J85" s="4">
        <f>Porra_Grupos!$D$6</f>
        <v/>
      </c>
      <c r="K85" s="4">
        <f>Porra_Grupos!$D$7</f>
        <v/>
      </c>
      <c r="L85" s="4">
        <f>Porra_Grupos!$D$8</f>
        <v/>
      </c>
      <c r="M85" s="4">
        <f>Porra_Grupos!$D$9</f>
        <v/>
      </c>
      <c r="N85" s="4">
        <f>Porra_Grupos!$D$10</f>
        <v/>
      </c>
      <c r="O85" s="4">
        <f>Porra_Grupos!$D$11</f>
        <v/>
      </c>
    </row>
    <row r="86">
      <c r="A86" s="8">
        <f>Porra_Grupos!$K$2</f>
        <v/>
      </c>
      <c r="B86" s="8">
        <f>Calculos_Internos!A212</f>
        <v/>
      </c>
      <c r="C86" s="8">
        <f>Calculos_Internos!B212</f>
        <v/>
      </c>
      <c r="D86" s="9">
        <f>Calculos_Internos!C212</f>
        <v/>
      </c>
      <c r="E86" s="9">
        <f>Calculos_Internos!F212</f>
        <v/>
      </c>
      <c r="F86" s="8">
        <f>Calculos_Internos!D212</f>
        <v/>
      </c>
      <c r="G86" s="8">
        <f>Calculos_Internos!E212</f>
        <v/>
      </c>
      <c r="H86" s="8">
        <f>IF(Calculos_Internos!G212="-", "-", Calculos_Internos!G212)</f>
        <v/>
      </c>
      <c r="I86" s="8">
        <f>IF(Calculos_Internos!H212="-", "-", Calculos_Internos!H212)</f>
        <v/>
      </c>
      <c r="J86" s="12">
        <f>Porra_Grupos!$D$6</f>
        <v/>
      </c>
      <c r="K86" s="12">
        <f>Porra_Grupos!$D$7</f>
        <v/>
      </c>
      <c r="L86" s="12">
        <f>Porra_Grupos!$D$8</f>
        <v/>
      </c>
      <c r="M86" s="12">
        <f>Porra_Grupos!$D$9</f>
        <v/>
      </c>
      <c r="N86" s="12">
        <f>Porra_Grupos!$D$10</f>
        <v/>
      </c>
      <c r="O86" s="12">
        <f>Porra_Grupos!$D$11</f>
        <v/>
      </c>
    </row>
    <row r="87">
      <c r="A87" s="6">
        <f>Porra_Grupos!$K$2</f>
        <v/>
      </c>
      <c r="B87" s="6">
        <f>Calculos_Internos!A213</f>
        <v/>
      </c>
      <c r="C87" s="6">
        <f>Calculos_Internos!B213</f>
        <v/>
      </c>
      <c r="D87" s="7">
        <f>Calculos_Internos!C213</f>
        <v/>
      </c>
      <c r="E87" s="7">
        <f>Calculos_Internos!F213</f>
        <v/>
      </c>
      <c r="F87" s="6">
        <f>Calculos_Internos!D213</f>
        <v/>
      </c>
      <c r="G87" s="6">
        <f>Calculos_Internos!E213</f>
        <v/>
      </c>
      <c r="H87" s="6">
        <f>IF(Calculos_Internos!G213="-", "-", Calculos_Internos!G213)</f>
        <v/>
      </c>
      <c r="I87" s="6">
        <f>IF(Calculos_Internos!H213="-", "-", Calculos_Internos!H213)</f>
        <v/>
      </c>
      <c r="J87" s="4">
        <f>Porra_Grupos!$D$6</f>
        <v/>
      </c>
      <c r="K87" s="4">
        <f>Porra_Grupos!$D$7</f>
        <v/>
      </c>
      <c r="L87" s="4">
        <f>Porra_Grupos!$D$8</f>
        <v/>
      </c>
      <c r="M87" s="4">
        <f>Porra_Grupos!$D$9</f>
        <v/>
      </c>
      <c r="N87" s="4">
        <f>Porra_Grupos!$D$10</f>
        <v/>
      </c>
      <c r="O87" s="4">
        <f>Porra_Grupos!$D$11</f>
        <v/>
      </c>
    </row>
    <row r="88">
      <c r="A88" s="8">
        <f>Porra_Grupos!$K$2</f>
        <v/>
      </c>
      <c r="B88" s="8">
        <f>Calculos_Internos!A214</f>
        <v/>
      </c>
      <c r="C88" s="8">
        <f>Calculos_Internos!B214</f>
        <v/>
      </c>
      <c r="D88" s="9">
        <f>Calculos_Internos!C214</f>
        <v/>
      </c>
      <c r="E88" s="9">
        <f>Calculos_Internos!F214</f>
        <v/>
      </c>
      <c r="F88" s="8">
        <f>Calculos_Internos!D214</f>
        <v/>
      </c>
      <c r="G88" s="8">
        <f>Calculos_Internos!E214</f>
        <v/>
      </c>
      <c r="H88" s="8">
        <f>IF(Calculos_Internos!G214="-", "-", Calculos_Internos!G214)</f>
        <v/>
      </c>
      <c r="I88" s="8">
        <f>IF(Calculos_Internos!H214="-", "-", Calculos_Internos!H214)</f>
        <v/>
      </c>
      <c r="J88" s="12">
        <f>Porra_Grupos!$D$6</f>
        <v/>
      </c>
      <c r="K88" s="12">
        <f>Porra_Grupos!$D$7</f>
        <v/>
      </c>
      <c r="L88" s="12">
        <f>Porra_Grupos!$D$8</f>
        <v/>
      </c>
      <c r="M88" s="12">
        <f>Porra_Grupos!$D$9</f>
        <v/>
      </c>
      <c r="N88" s="12">
        <f>Porra_Grupos!$D$10</f>
        <v/>
      </c>
      <c r="O88" s="12">
        <f>Porra_Grupos!$D$11</f>
        <v/>
      </c>
    </row>
    <row r="89">
      <c r="A89" s="6">
        <f>Porra_Grupos!$K$2</f>
        <v/>
      </c>
      <c r="B89" s="6">
        <f>Calculos_Internos!A215</f>
        <v/>
      </c>
      <c r="C89" s="6">
        <f>Calculos_Internos!B215</f>
        <v/>
      </c>
      <c r="D89" s="7">
        <f>Calculos_Internos!C215</f>
        <v/>
      </c>
      <c r="E89" s="7">
        <f>Calculos_Internos!F215</f>
        <v/>
      </c>
      <c r="F89" s="6">
        <f>Calculos_Internos!D215</f>
        <v/>
      </c>
      <c r="G89" s="6">
        <f>Calculos_Internos!E215</f>
        <v/>
      </c>
      <c r="H89" s="6">
        <f>IF(Calculos_Internos!G215="-", "-", Calculos_Internos!G215)</f>
        <v/>
      </c>
      <c r="I89" s="6">
        <f>IF(Calculos_Internos!H215="-", "-", Calculos_Internos!H215)</f>
        <v/>
      </c>
      <c r="J89" s="4">
        <f>Porra_Grupos!$D$6</f>
        <v/>
      </c>
      <c r="K89" s="4">
        <f>Porra_Grupos!$D$7</f>
        <v/>
      </c>
      <c r="L89" s="4">
        <f>Porra_Grupos!$D$8</f>
        <v/>
      </c>
      <c r="M89" s="4">
        <f>Porra_Grupos!$D$9</f>
        <v/>
      </c>
      <c r="N89" s="4">
        <f>Porra_Grupos!$D$10</f>
        <v/>
      </c>
      <c r="O89" s="4">
        <f>Porra_Grupos!$D$11</f>
        <v/>
      </c>
    </row>
    <row r="90">
      <c r="A90" s="8">
        <f>Porra_Grupos!$K$2</f>
        <v/>
      </c>
      <c r="B90" s="8">
        <f>Calculos_Internos!A216</f>
        <v/>
      </c>
      <c r="C90" s="8">
        <f>Calculos_Internos!B216</f>
        <v/>
      </c>
      <c r="D90" s="9">
        <f>Calculos_Internos!C216</f>
        <v/>
      </c>
      <c r="E90" s="9">
        <f>Calculos_Internos!F216</f>
        <v/>
      </c>
      <c r="F90" s="8">
        <f>Calculos_Internos!D216</f>
        <v/>
      </c>
      <c r="G90" s="8">
        <f>Calculos_Internos!E216</f>
        <v/>
      </c>
      <c r="H90" s="8">
        <f>IF(Calculos_Internos!G216="-", "-", Calculos_Internos!G216)</f>
        <v/>
      </c>
      <c r="I90" s="8">
        <f>IF(Calculos_Internos!H216="-", "-", Calculos_Internos!H216)</f>
        <v/>
      </c>
      <c r="J90" s="12">
        <f>Porra_Grupos!$D$6</f>
        <v/>
      </c>
      <c r="K90" s="12">
        <f>Porra_Grupos!$D$7</f>
        <v/>
      </c>
      <c r="L90" s="12">
        <f>Porra_Grupos!$D$8</f>
        <v/>
      </c>
      <c r="M90" s="12">
        <f>Porra_Grupos!$D$9</f>
        <v/>
      </c>
      <c r="N90" s="12">
        <f>Porra_Grupos!$D$10</f>
        <v/>
      </c>
      <c r="O90" s="12">
        <f>Porra_Grupos!$D$11</f>
        <v/>
      </c>
    </row>
    <row r="91">
      <c r="A91" s="6">
        <f>Porra_Grupos!$K$2</f>
        <v/>
      </c>
      <c r="B91" s="6">
        <f>Calculos_Internos!A217</f>
        <v/>
      </c>
      <c r="C91" s="6">
        <f>Calculos_Internos!B217</f>
        <v/>
      </c>
      <c r="D91" s="7">
        <f>Calculos_Internos!C217</f>
        <v/>
      </c>
      <c r="E91" s="7">
        <f>Calculos_Internos!F217</f>
        <v/>
      </c>
      <c r="F91" s="6">
        <f>Calculos_Internos!D217</f>
        <v/>
      </c>
      <c r="G91" s="6">
        <f>Calculos_Internos!E217</f>
        <v/>
      </c>
      <c r="H91" s="6">
        <f>IF(Calculos_Internos!G217="-", "-", Calculos_Internos!G217)</f>
        <v/>
      </c>
      <c r="I91" s="6">
        <f>IF(Calculos_Internos!H217="-", "-", Calculos_Internos!H217)</f>
        <v/>
      </c>
      <c r="J91" s="4">
        <f>Porra_Grupos!$D$6</f>
        <v/>
      </c>
      <c r="K91" s="4">
        <f>Porra_Grupos!$D$7</f>
        <v/>
      </c>
      <c r="L91" s="4">
        <f>Porra_Grupos!$D$8</f>
        <v/>
      </c>
      <c r="M91" s="4">
        <f>Porra_Grupos!$D$9</f>
        <v/>
      </c>
      <c r="N91" s="4">
        <f>Porra_Grupos!$D$10</f>
        <v/>
      </c>
      <c r="O91" s="4">
        <f>Porra_Grupos!$D$11</f>
        <v/>
      </c>
    </row>
    <row r="92">
      <c r="A92" s="8">
        <f>Porra_Grupos!$K$2</f>
        <v/>
      </c>
      <c r="B92" s="8">
        <f>Calculos_Internos!A218</f>
        <v/>
      </c>
      <c r="C92" s="8">
        <f>Calculos_Internos!B218</f>
        <v/>
      </c>
      <c r="D92" s="9">
        <f>Calculos_Internos!C218</f>
        <v/>
      </c>
      <c r="E92" s="9">
        <f>Calculos_Internos!F218</f>
        <v/>
      </c>
      <c r="F92" s="8">
        <f>Calculos_Internos!D218</f>
        <v/>
      </c>
      <c r="G92" s="8">
        <f>Calculos_Internos!E218</f>
        <v/>
      </c>
      <c r="H92" s="8">
        <f>IF(Calculos_Internos!G218="-", "-", Calculos_Internos!G218)</f>
        <v/>
      </c>
      <c r="I92" s="8">
        <f>IF(Calculos_Internos!H218="-", "-", Calculos_Internos!H218)</f>
        <v/>
      </c>
      <c r="J92" s="12">
        <f>Porra_Grupos!$D$6</f>
        <v/>
      </c>
      <c r="K92" s="12">
        <f>Porra_Grupos!$D$7</f>
        <v/>
      </c>
      <c r="L92" s="12">
        <f>Porra_Grupos!$D$8</f>
        <v/>
      </c>
      <c r="M92" s="12">
        <f>Porra_Grupos!$D$9</f>
        <v/>
      </c>
      <c r="N92" s="12">
        <f>Porra_Grupos!$D$10</f>
        <v/>
      </c>
      <c r="O92" s="12">
        <f>Porra_Grupos!$D$11</f>
        <v/>
      </c>
    </row>
    <row r="93">
      <c r="A93" s="6">
        <f>Porra_Grupos!$K$2</f>
        <v/>
      </c>
      <c r="B93" s="6">
        <f>Calculos_Internos!A219</f>
        <v/>
      </c>
      <c r="C93" s="6">
        <f>Calculos_Internos!B219</f>
        <v/>
      </c>
      <c r="D93" s="7">
        <f>Calculos_Internos!C219</f>
        <v/>
      </c>
      <c r="E93" s="7">
        <f>Calculos_Internos!F219</f>
        <v/>
      </c>
      <c r="F93" s="6">
        <f>Calculos_Internos!D219</f>
        <v/>
      </c>
      <c r="G93" s="6">
        <f>Calculos_Internos!E219</f>
        <v/>
      </c>
      <c r="H93" s="6">
        <f>IF(Calculos_Internos!G219="-", "-", Calculos_Internos!G219)</f>
        <v/>
      </c>
      <c r="I93" s="6">
        <f>IF(Calculos_Internos!H219="-", "-", Calculos_Internos!H219)</f>
        <v/>
      </c>
      <c r="J93" s="4">
        <f>Porra_Grupos!$D$6</f>
        <v/>
      </c>
      <c r="K93" s="4">
        <f>Porra_Grupos!$D$7</f>
        <v/>
      </c>
      <c r="L93" s="4">
        <f>Porra_Grupos!$D$8</f>
        <v/>
      </c>
      <c r="M93" s="4">
        <f>Porra_Grupos!$D$9</f>
        <v/>
      </c>
      <c r="N93" s="4">
        <f>Porra_Grupos!$D$10</f>
        <v/>
      </c>
      <c r="O93" s="4">
        <f>Porra_Grupos!$D$11</f>
        <v/>
      </c>
    </row>
    <row r="94">
      <c r="A94" s="8">
        <f>Porra_Grupos!$K$2</f>
        <v/>
      </c>
      <c r="B94" s="8">
        <f>Calculos_Internos!A220</f>
        <v/>
      </c>
      <c r="C94" s="8">
        <f>Calculos_Internos!B220</f>
        <v/>
      </c>
      <c r="D94" s="9">
        <f>Calculos_Internos!C220</f>
        <v/>
      </c>
      <c r="E94" s="9">
        <f>Calculos_Internos!F220</f>
        <v/>
      </c>
      <c r="F94" s="8">
        <f>Calculos_Internos!D220</f>
        <v/>
      </c>
      <c r="G94" s="8">
        <f>Calculos_Internos!E220</f>
        <v/>
      </c>
      <c r="H94" s="8">
        <f>IF(Calculos_Internos!G220="-", "-", Calculos_Internos!G220)</f>
        <v/>
      </c>
      <c r="I94" s="8">
        <f>IF(Calculos_Internos!H220="-", "-", Calculos_Internos!H220)</f>
        <v/>
      </c>
      <c r="J94" s="12">
        <f>Porra_Grupos!$D$6</f>
        <v/>
      </c>
      <c r="K94" s="12">
        <f>Porra_Grupos!$D$7</f>
        <v/>
      </c>
      <c r="L94" s="12">
        <f>Porra_Grupos!$D$8</f>
        <v/>
      </c>
      <c r="M94" s="12">
        <f>Porra_Grupos!$D$9</f>
        <v/>
      </c>
      <c r="N94" s="12">
        <f>Porra_Grupos!$D$10</f>
        <v/>
      </c>
      <c r="O94" s="12">
        <f>Porra_Grupos!$D$11</f>
        <v/>
      </c>
    </row>
    <row r="95">
      <c r="A95" s="6">
        <f>Porra_Grupos!$K$2</f>
        <v/>
      </c>
      <c r="B95" s="6">
        <f>Calculos_Internos!A221</f>
        <v/>
      </c>
      <c r="C95" s="6">
        <f>Calculos_Internos!B221</f>
        <v/>
      </c>
      <c r="D95" s="7">
        <f>Calculos_Internos!C221</f>
        <v/>
      </c>
      <c r="E95" s="7">
        <f>Calculos_Internos!F221</f>
        <v/>
      </c>
      <c r="F95" s="6">
        <f>Calculos_Internos!D221</f>
        <v/>
      </c>
      <c r="G95" s="6">
        <f>Calculos_Internos!E221</f>
        <v/>
      </c>
      <c r="H95" s="6">
        <f>IF(Calculos_Internos!G221="-", "-", Calculos_Internos!G221)</f>
        <v/>
      </c>
      <c r="I95" s="6">
        <f>IF(Calculos_Internos!H221="-", "-", Calculos_Internos!H221)</f>
        <v/>
      </c>
      <c r="J95" s="4">
        <f>Porra_Grupos!$D$6</f>
        <v/>
      </c>
      <c r="K95" s="4">
        <f>Porra_Grupos!$D$7</f>
        <v/>
      </c>
      <c r="L95" s="4">
        <f>Porra_Grupos!$D$8</f>
        <v/>
      </c>
      <c r="M95" s="4">
        <f>Porra_Grupos!$D$9</f>
        <v/>
      </c>
      <c r="N95" s="4">
        <f>Porra_Grupos!$D$10</f>
        <v/>
      </c>
      <c r="O95" s="4">
        <f>Porra_Grupos!$D$11</f>
        <v/>
      </c>
    </row>
    <row r="96">
      <c r="A96" s="8">
        <f>Porra_Grupos!$K$2</f>
        <v/>
      </c>
      <c r="B96" s="8">
        <f>Calculos_Internos!A222</f>
        <v/>
      </c>
      <c r="C96" s="8">
        <f>Calculos_Internos!B222</f>
        <v/>
      </c>
      <c r="D96" s="9">
        <f>Calculos_Internos!C222</f>
        <v/>
      </c>
      <c r="E96" s="9">
        <f>Calculos_Internos!F222</f>
        <v/>
      </c>
      <c r="F96" s="8">
        <f>Calculos_Internos!D222</f>
        <v/>
      </c>
      <c r="G96" s="8">
        <f>Calculos_Internos!E222</f>
        <v/>
      </c>
      <c r="H96" s="8">
        <f>IF(Calculos_Internos!G222="-", "-", Calculos_Internos!G222)</f>
        <v/>
      </c>
      <c r="I96" s="8">
        <f>IF(Calculos_Internos!H222="-", "-", Calculos_Internos!H222)</f>
        <v/>
      </c>
      <c r="J96" s="12">
        <f>Porra_Grupos!$D$6</f>
        <v/>
      </c>
      <c r="K96" s="12">
        <f>Porra_Grupos!$D$7</f>
        <v/>
      </c>
      <c r="L96" s="12">
        <f>Porra_Grupos!$D$8</f>
        <v/>
      </c>
      <c r="M96" s="12">
        <f>Porra_Grupos!$D$9</f>
        <v/>
      </c>
      <c r="N96" s="12">
        <f>Porra_Grupos!$D$10</f>
        <v/>
      </c>
      <c r="O96" s="12">
        <f>Porra_Grupos!$D$11</f>
        <v/>
      </c>
    </row>
    <row r="97">
      <c r="A97" s="6">
        <f>Porra_Grupos!$K$2</f>
        <v/>
      </c>
      <c r="B97" s="6">
        <f>Calculos_Internos!A223</f>
        <v/>
      </c>
      <c r="C97" s="6">
        <f>Calculos_Internos!B223</f>
        <v/>
      </c>
      <c r="D97" s="7">
        <f>Calculos_Internos!C223</f>
        <v/>
      </c>
      <c r="E97" s="7">
        <f>Calculos_Internos!F223</f>
        <v/>
      </c>
      <c r="F97" s="6">
        <f>Calculos_Internos!D223</f>
        <v/>
      </c>
      <c r="G97" s="6">
        <f>Calculos_Internos!E223</f>
        <v/>
      </c>
      <c r="H97" s="6">
        <f>IF(Calculos_Internos!G223="-", "-", Calculos_Internos!G223)</f>
        <v/>
      </c>
      <c r="I97" s="6">
        <f>IF(Calculos_Internos!H223="-", "-", Calculos_Internos!H223)</f>
        <v/>
      </c>
      <c r="J97" s="4">
        <f>Porra_Grupos!$D$6</f>
        <v/>
      </c>
      <c r="K97" s="4">
        <f>Porra_Grupos!$D$7</f>
        <v/>
      </c>
      <c r="L97" s="4">
        <f>Porra_Grupos!$D$8</f>
        <v/>
      </c>
      <c r="M97" s="4">
        <f>Porra_Grupos!$D$9</f>
        <v/>
      </c>
      <c r="N97" s="4">
        <f>Porra_Grupos!$D$10</f>
        <v/>
      </c>
      <c r="O97" s="4">
        <f>Porra_Grupos!$D$11</f>
        <v/>
      </c>
    </row>
    <row r="98">
      <c r="A98" s="8">
        <f>Porra_Grupos!$K$2</f>
        <v/>
      </c>
      <c r="B98" s="8">
        <f>Calculos_Internos!A224</f>
        <v/>
      </c>
      <c r="C98" s="8">
        <f>Calculos_Internos!B224</f>
        <v/>
      </c>
      <c r="D98" s="9">
        <f>Calculos_Internos!C224</f>
        <v/>
      </c>
      <c r="E98" s="9">
        <f>Calculos_Internos!F224</f>
        <v/>
      </c>
      <c r="F98" s="8">
        <f>Calculos_Internos!D224</f>
        <v/>
      </c>
      <c r="G98" s="8">
        <f>Calculos_Internos!E224</f>
        <v/>
      </c>
      <c r="H98" s="8">
        <f>IF(Calculos_Internos!G224="-", "-", Calculos_Internos!G224)</f>
        <v/>
      </c>
      <c r="I98" s="8">
        <f>IF(Calculos_Internos!H224="-", "-", Calculos_Internos!H224)</f>
        <v/>
      </c>
      <c r="J98" s="12">
        <f>Porra_Grupos!$D$6</f>
        <v/>
      </c>
      <c r="K98" s="12">
        <f>Porra_Grupos!$D$7</f>
        <v/>
      </c>
      <c r="L98" s="12">
        <f>Porra_Grupos!$D$8</f>
        <v/>
      </c>
      <c r="M98" s="12">
        <f>Porra_Grupos!$D$9</f>
        <v/>
      </c>
      <c r="N98" s="12">
        <f>Porra_Grupos!$D$10</f>
        <v/>
      </c>
      <c r="O98" s="12">
        <f>Porra_Grupos!$D$11</f>
        <v/>
      </c>
    </row>
    <row r="99">
      <c r="A99" s="6">
        <f>Porra_Grupos!$K$2</f>
        <v/>
      </c>
      <c r="B99" s="6">
        <f>Calculos_Internos!A225</f>
        <v/>
      </c>
      <c r="C99" s="6">
        <f>Calculos_Internos!B225</f>
        <v/>
      </c>
      <c r="D99" s="7">
        <f>Calculos_Internos!C225</f>
        <v/>
      </c>
      <c r="E99" s="7">
        <f>Calculos_Internos!F225</f>
        <v/>
      </c>
      <c r="F99" s="6">
        <f>Calculos_Internos!D225</f>
        <v/>
      </c>
      <c r="G99" s="6">
        <f>Calculos_Internos!E225</f>
        <v/>
      </c>
      <c r="H99" s="6">
        <f>IF(Calculos_Internos!G225="-", "-", Calculos_Internos!G225)</f>
        <v/>
      </c>
      <c r="I99" s="6">
        <f>IF(Calculos_Internos!H225="-", "-", Calculos_Internos!H225)</f>
        <v/>
      </c>
      <c r="J99" s="4">
        <f>Porra_Grupos!$D$6</f>
        <v/>
      </c>
      <c r="K99" s="4">
        <f>Porra_Grupos!$D$7</f>
        <v/>
      </c>
      <c r="L99" s="4">
        <f>Porra_Grupos!$D$8</f>
        <v/>
      </c>
      <c r="M99" s="4">
        <f>Porra_Grupos!$D$9</f>
        <v/>
      </c>
      <c r="N99" s="4">
        <f>Porra_Grupos!$D$10</f>
        <v/>
      </c>
      <c r="O99" s="4">
        <f>Porra_Grupos!$D$11</f>
        <v/>
      </c>
    </row>
    <row r="100">
      <c r="A100" s="8">
        <f>Porra_Grupos!$K$2</f>
        <v/>
      </c>
      <c r="B100" s="8">
        <f>Calculos_Internos!A226</f>
        <v/>
      </c>
      <c r="C100" s="8">
        <f>Calculos_Internos!B226</f>
        <v/>
      </c>
      <c r="D100" s="9">
        <f>Calculos_Internos!C226</f>
        <v/>
      </c>
      <c r="E100" s="9">
        <f>Calculos_Internos!F226</f>
        <v/>
      </c>
      <c r="F100" s="8">
        <f>Calculos_Internos!D226</f>
        <v/>
      </c>
      <c r="G100" s="8">
        <f>Calculos_Internos!E226</f>
        <v/>
      </c>
      <c r="H100" s="8">
        <f>IF(Calculos_Internos!G226="-", "-", Calculos_Internos!G226)</f>
        <v/>
      </c>
      <c r="I100" s="8">
        <f>IF(Calculos_Internos!H226="-", "-", Calculos_Internos!H226)</f>
        <v/>
      </c>
      <c r="J100" s="12">
        <f>Porra_Grupos!$D$6</f>
        <v/>
      </c>
      <c r="K100" s="12">
        <f>Porra_Grupos!$D$7</f>
        <v/>
      </c>
      <c r="L100" s="12">
        <f>Porra_Grupos!$D$8</f>
        <v/>
      </c>
      <c r="M100" s="12">
        <f>Porra_Grupos!$D$9</f>
        <v/>
      </c>
      <c r="N100" s="12">
        <f>Porra_Grupos!$D$10</f>
        <v/>
      </c>
      <c r="O100" s="12">
        <f>Porra_Grupos!$D$11</f>
        <v/>
      </c>
    </row>
    <row r="101">
      <c r="A101" s="6">
        <f>Porra_Grupos!$K$2</f>
        <v/>
      </c>
      <c r="B101" s="6">
        <f>Calculos_Internos!A227</f>
        <v/>
      </c>
      <c r="C101" s="6">
        <f>Calculos_Internos!B227</f>
        <v/>
      </c>
      <c r="D101" s="7">
        <f>Calculos_Internos!C227</f>
        <v/>
      </c>
      <c r="E101" s="7">
        <f>Calculos_Internos!F227</f>
        <v/>
      </c>
      <c r="F101" s="6">
        <f>Calculos_Internos!D227</f>
        <v/>
      </c>
      <c r="G101" s="6">
        <f>Calculos_Internos!E227</f>
        <v/>
      </c>
      <c r="H101" s="6">
        <f>IF(Calculos_Internos!G227="-", "-", Calculos_Internos!G227)</f>
        <v/>
      </c>
      <c r="I101" s="6">
        <f>IF(Calculos_Internos!H227="-", "-", Calculos_Internos!H227)</f>
        <v/>
      </c>
      <c r="J101" s="4">
        <f>Porra_Grupos!$D$6</f>
        <v/>
      </c>
      <c r="K101" s="4">
        <f>Porra_Grupos!$D$7</f>
        <v/>
      </c>
      <c r="L101" s="4">
        <f>Porra_Grupos!$D$8</f>
        <v/>
      </c>
      <c r="M101" s="4">
        <f>Porra_Grupos!$D$9</f>
        <v/>
      </c>
      <c r="N101" s="4">
        <f>Porra_Grupos!$D$10</f>
        <v/>
      </c>
      <c r="O101" s="4">
        <f>Porra_Grupos!$D$11</f>
        <v/>
      </c>
    </row>
    <row r="102">
      <c r="A102" s="8">
        <f>Porra_Grupos!$K$2</f>
        <v/>
      </c>
      <c r="B102" s="8">
        <f>Calculos_Internos!A228</f>
        <v/>
      </c>
      <c r="C102" s="8">
        <f>Calculos_Internos!B228</f>
        <v/>
      </c>
      <c r="D102" s="9">
        <f>Calculos_Internos!C228</f>
        <v/>
      </c>
      <c r="E102" s="9">
        <f>Calculos_Internos!F228</f>
        <v/>
      </c>
      <c r="F102" s="8">
        <f>Calculos_Internos!D228</f>
        <v/>
      </c>
      <c r="G102" s="8">
        <f>Calculos_Internos!E228</f>
        <v/>
      </c>
      <c r="H102" s="8">
        <f>IF(Calculos_Internos!G228="-", "-", Calculos_Internos!G228)</f>
        <v/>
      </c>
      <c r="I102" s="8">
        <f>IF(Calculos_Internos!H228="-", "-", Calculos_Internos!H228)</f>
        <v/>
      </c>
      <c r="J102" s="12">
        <f>Porra_Grupos!$D$6</f>
        <v/>
      </c>
      <c r="K102" s="12">
        <f>Porra_Grupos!$D$7</f>
        <v/>
      </c>
      <c r="L102" s="12">
        <f>Porra_Grupos!$D$8</f>
        <v/>
      </c>
      <c r="M102" s="12">
        <f>Porra_Grupos!$D$9</f>
        <v/>
      </c>
      <c r="N102" s="12">
        <f>Porra_Grupos!$D$10</f>
        <v/>
      </c>
      <c r="O102" s="12">
        <f>Porra_Grupos!$D$11</f>
        <v/>
      </c>
    </row>
    <row r="103">
      <c r="A103" s="6">
        <f>Porra_Grupos!$K$2</f>
        <v/>
      </c>
      <c r="B103" s="6">
        <f>Calculos_Internos!A229</f>
        <v/>
      </c>
      <c r="C103" s="6">
        <f>Calculos_Internos!B229</f>
        <v/>
      </c>
      <c r="D103" s="7">
        <f>Calculos_Internos!C229</f>
        <v/>
      </c>
      <c r="E103" s="7">
        <f>Calculos_Internos!F229</f>
        <v/>
      </c>
      <c r="F103" s="6">
        <f>Calculos_Internos!D229</f>
        <v/>
      </c>
      <c r="G103" s="6">
        <f>Calculos_Internos!E229</f>
        <v/>
      </c>
      <c r="H103" s="6">
        <f>IF(Calculos_Internos!G229="-", "-", Calculos_Internos!G229)</f>
        <v/>
      </c>
      <c r="I103" s="6">
        <f>IF(Calculos_Internos!H229="-", "-", Calculos_Internos!H229)</f>
        <v/>
      </c>
      <c r="J103" s="4">
        <f>Porra_Grupos!$D$6</f>
        <v/>
      </c>
      <c r="K103" s="4">
        <f>Porra_Grupos!$D$7</f>
        <v/>
      </c>
      <c r="L103" s="4">
        <f>Porra_Grupos!$D$8</f>
        <v/>
      </c>
      <c r="M103" s="4">
        <f>Porra_Grupos!$D$9</f>
        <v/>
      </c>
      <c r="N103" s="4">
        <f>Porra_Grupos!$D$10</f>
        <v/>
      </c>
      <c r="O103" s="4">
        <f>Porra_Grupos!$D$11</f>
        <v/>
      </c>
    </row>
    <row r="104">
      <c r="A104" s="8">
        <f>Porra_Grupos!$K$2</f>
        <v/>
      </c>
      <c r="B104" s="8">
        <f>Calculos_Internos!A230</f>
        <v/>
      </c>
      <c r="C104" s="8">
        <f>Calculos_Internos!B230</f>
        <v/>
      </c>
      <c r="D104" s="9">
        <f>Calculos_Internos!C230</f>
        <v/>
      </c>
      <c r="E104" s="9">
        <f>Calculos_Internos!F230</f>
        <v/>
      </c>
      <c r="F104" s="8">
        <f>Calculos_Internos!D230</f>
        <v/>
      </c>
      <c r="G104" s="8">
        <f>Calculos_Internos!E230</f>
        <v/>
      </c>
      <c r="H104" s="8">
        <f>IF(Calculos_Internos!G230="-", "-", Calculos_Internos!G230)</f>
        <v/>
      </c>
      <c r="I104" s="8">
        <f>IF(Calculos_Internos!H230="-", "-", Calculos_Internos!H230)</f>
        <v/>
      </c>
      <c r="J104" s="12">
        <f>Porra_Grupos!$D$6</f>
        <v/>
      </c>
      <c r="K104" s="12">
        <f>Porra_Grupos!$D$7</f>
        <v/>
      </c>
      <c r="L104" s="12">
        <f>Porra_Grupos!$D$8</f>
        <v/>
      </c>
      <c r="M104" s="12">
        <f>Porra_Grupos!$D$9</f>
        <v/>
      </c>
      <c r="N104" s="12">
        <f>Porra_Grupos!$D$10</f>
        <v/>
      </c>
      <c r="O104" s="12">
        <f>Porra_Grupos!$D$11</f>
        <v/>
      </c>
    </row>
    <row r="105">
      <c r="A105" s="6">
        <f>Porra_Grupos!$K$2</f>
        <v/>
      </c>
      <c r="B105" s="6">
        <f>Calculos_Internos!A231</f>
        <v/>
      </c>
      <c r="C105" s="6">
        <f>Calculos_Internos!B231</f>
        <v/>
      </c>
      <c r="D105" s="7">
        <f>Calculos_Internos!C231</f>
        <v/>
      </c>
      <c r="E105" s="7">
        <f>Calculos_Internos!F231</f>
        <v/>
      </c>
      <c r="F105" s="6">
        <f>Calculos_Internos!D231</f>
        <v/>
      </c>
      <c r="G105" s="6">
        <f>Calculos_Internos!E231</f>
        <v/>
      </c>
      <c r="H105" s="6">
        <f>IF(Calculos_Internos!G231="-", "-", Calculos_Internos!G231)</f>
        <v/>
      </c>
      <c r="I105" s="6">
        <f>IF(Calculos_Internos!H231="-", "-", Calculos_Internos!H231)</f>
        <v/>
      </c>
      <c r="J105" s="4">
        <f>Porra_Grupos!$D$6</f>
        <v/>
      </c>
      <c r="K105" s="4">
        <f>Porra_Grupos!$D$7</f>
        <v/>
      </c>
      <c r="L105" s="4">
        <f>Porra_Grupos!$D$8</f>
        <v/>
      </c>
      <c r="M105" s="4">
        <f>Porra_Grupos!$D$9</f>
        <v/>
      </c>
      <c r="N105" s="4">
        <f>Porra_Grupos!$D$10</f>
        <v/>
      </c>
      <c r="O105" s="4">
        <f>Porra_Grupos!$D$11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2026-06-11T15:19:04Z</dcterms:created>
  <dcterms:modified xsi:type="dcterms:W3CDTF">2026-06-11T18:40:15Z</dcterms:modified>
  <cp:lastModifiedBy>Sergio Barreno Pachón</cp:lastModifiedBy>
</cp:coreProperties>
</file>