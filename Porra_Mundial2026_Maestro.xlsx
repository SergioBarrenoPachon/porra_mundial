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cion" sheetId="1" state="visible" r:id="rId1"/>
    <sheet name="Resultados_Reales" sheetId="2" state="visible" r:id="rId2"/>
    <sheet name="Predicciones_Master" sheetId="3" state="visible" r:id="rId3"/>
    <sheet name="Clasificacion_General" sheetId="4" state="visible" r:id="rId4"/>
    <sheet name="Seguimiento_Partidos" sheetId="5" state="visible" r:id="rId5"/>
    <sheet name="Goleadores_y_Prem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1A365D"/>
      <sz val="12"/>
    </font>
    <font>
      <name val="Segoe UI"/>
      <b val="1"/>
      <color rgb="002D3748"/>
      <sz val="10"/>
    </font>
    <font>
      <name val="Segoe UI"/>
      <i val="1"/>
      <color rgb="004A5568"/>
      <sz val="10"/>
    </font>
    <font>
      <name val="Segoe UI"/>
      <b val="1"/>
      <color rgb="004A5568"/>
      <sz val="9"/>
    </font>
  </fonts>
  <fills count="8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FFDE7"/>
        <bgColor rgb="00FFFDE7"/>
      </patternFill>
    </fill>
    <fill>
      <patternFill patternType="solid">
        <fgColor rgb="002B6CB0"/>
        <bgColor rgb="002B6CB0"/>
      </patternFill>
    </fill>
    <fill>
      <patternFill patternType="solid">
        <fgColor rgb="00EDF2F7"/>
        <bgColor rgb="00EDF2F7"/>
      </patternFill>
    </fill>
    <fill>
      <patternFill patternType="solid">
        <fgColor rgb="00E6F4EA"/>
        <bgColor rgb="00E6F4EA"/>
      </patternFill>
    </fill>
    <fill>
      <patternFill patternType="solid">
        <fgColor rgb="00FEFCBF"/>
        <bgColor rgb="00FEFCBF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18096"/>
    <outlinePr summaryBelow="1" summaryRight="1"/>
    <pageSetUpPr/>
  </sheetPr>
  <dimension ref="A1:B2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2" customWidth="1" min="2" max="2"/>
  </cols>
  <sheetData>
    <row r="1" ht="30" customHeight="1">
      <c r="A1" s="1" t="inlineStr">
        <is>
          <t>CONFIGURACIÓN DE PUNTOS Y PREMIOS DE LA PORRA</t>
        </is>
      </c>
    </row>
    <row r="3">
      <c r="A3" s="2" t="inlineStr">
        <is>
          <t>Categoría</t>
        </is>
      </c>
      <c r="B3" s="2" t="inlineStr">
        <is>
          <t>Puntos</t>
        </is>
      </c>
    </row>
    <row r="4">
      <c r="A4" s="3" t="inlineStr">
        <is>
          <t>Acierto Ganador / Empate (Resultado 1X2)</t>
        </is>
      </c>
      <c r="B4" s="4" t="n">
        <v>1</v>
      </c>
    </row>
    <row r="5">
      <c r="A5" s="3" t="inlineStr">
        <is>
          <t>Acierto Marcador Exacto (Goles)</t>
        </is>
      </c>
      <c r="B5" s="4" t="n">
        <v>3</v>
      </c>
    </row>
    <row r="6">
      <c r="A6" s="3" t="inlineStr">
        <is>
          <t>Acierto Balón de Oro</t>
        </is>
      </c>
      <c r="B6" s="4" t="n">
        <v>10</v>
      </c>
    </row>
    <row r="7">
      <c r="A7" s="3" t="inlineStr">
        <is>
          <t>Acierto Balón de Plata</t>
        </is>
      </c>
      <c r="B7" s="4" t="n">
        <v>5</v>
      </c>
    </row>
    <row r="8">
      <c r="A8" s="3" t="inlineStr">
        <is>
          <t>Acierto Balón de Bronce</t>
        </is>
      </c>
      <c r="B8" s="4" t="n">
        <v>3</v>
      </c>
    </row>
    <row r="9">
      <c r="A9" s="3" t="inlineStr">
        <is>
          <t>Acierto Bota de Oro</t>
        </is>
      </c>
      <c r="B9" s="4" t="n">
        <v>10</v>
      </c>
    </row>
    <row r="10">
      <c r="A10" s="3" t="inlineStr">
        <is>
          <t>Acierto Bota de Plata</t>
        </is>
      </c>
      <c r="B10" s="4" t="n">
        <v>5</v>
      </c>
    </row>
    <row r="11">
      <c r="A11" s="3" t="inlineStr">
        <is>
          <t>Acierto Bota de Bronce</t>
        </is>
      </c>
      <c r="B11" s="4" t="n">
        <v>3</v>
      </c>
    </row>
    <row r="14" ht="24" customHeight="1">
      <c r="A14" s="5" t="inlineStr">
        <is>
          <t>RESULTADOS OFICIALES PREMIOS MUNDIAL</t>
        </is>
      </c>
    </row>
    <row r="16">
      <c r="A16" s="6" t="inlineStr">
        <is>
          <t>Premio Especial</t>
        </is>
      </c>
      <c r="B16" s="7" t="inlineStr">
        <is>
          <t>Ganador Real (Escribe a mano)</t>
        </is>
      </c>
    </row>
    <row r="17">
      <c r="A17" s="3" t="inlineStr">
        <is>
          <t>Ganador Balón de Oro (Mejor Jugador)</t>
        </is>
      </c>
      <c r="B17" s="4" t="inlineStr"/>
    </row>
    <row r="18">
      <c r="A18" s="3" t="inlineStr">
        <is>
          <t>Ganador Balón de Plata</t>
        </is>
      </c>
      <c r="B18" s="4" t="inlineStr"/>
    </row>
    <row r="19">
      <c r="A19" s="3" t="inlineStr">
        <is>
          <t>Ganador Balón de Bronce</t>
        </is>
      </c>
      <c r="B19" s="4" t="inlineStr"/>
    </row>
    <row r="20">
      <c r="A20" s="3" t="inlineStr">
        <is>
          <t>Ganador Bota de Oro (Máximo Goleador)</t>
        </is>
      </c>
      <c r="B20" s="4" t="inlineStr"/>
    </row>
    <row r="21">
      <c r="A21" s="3" t="inlineStr">
        <is>
          <t>Ganador Bota de Plata</t>
        </is>
      </c>
      <c r="B21" s="4" t="inlineStr"/>
    </row>
    <row r="22">
      <c r="A22" s="3" t="inlineStr">
        <is>
          <t>Ganador Bota de Bronce</t>
        </is>
      </c>
      <c r="B22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6CB0"/>
    <outlinePr summaryBelow="1" summaryRight="1"/>
    <pageSetUpPr/>
  </sheetPr>
  <dimension ref="A1:I10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20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30" customHeight="1">
      <c r="A1" s="1" t="inlineStr">
        <is>
          <t>RESULTADOS REALES DEL MUNDIAL 2026</t>
        </is>
      </c>
    </row>
    <row r="3">
      <c r="A3" s="2" t="inlineStr">
        <is>
          <t>ID Partido</t>
        </is>
      </c>
      <c r="B3" s="2" t="inlineStr">
        <is>
          <t>Fase</t>
        </is>
      </c>
      <c r="C3" s="2" t="inlineStr">
        <is>
          <t>Local</t>
        </is>
      </c>
      <c r="D3" s="2" t="inlineStr">
        <is>
          <t>Visitante</t>
        </is>
      </c>
      <c r="E3" s="2" t="inlineStr">
        <is>
          <t>Goles Local</t>
        </is>
      </c>
      <c r="F3" s="2" t="inlineStr">
        <is>
          <t>Goles Visitante</t>
        </is>
      </c>
      <c r="G3" s="2" t="inlineStr">
        <is>
          <t>Penaltis Local</t>
        </is>
      </c>
      <c r="H3" s="2" t="inlineStr">
        <is>
          <t>Penaltis Visitante</t>
        </is>
      </c>
      <c r="I3" s="2" t="inlineStr">
        <is>
          <t>Ganador Oficial</t>
        </is>
      </c>
    </row>
    <row r="4" ht="20" customHeight="1">
      <c r="A4" s="8" t="inlineStr">
        <is>
          <t>M001</t>
        </is>
      </c>
      <c r="B4" s="8" t="inlineStr">
        <is>
          <t>Grupo A</t>
        </is>
      </c>
      <c r="C4" s="9" t="inlineStr">
        <is>
          <t>Mexico</t>
        </is>
      </c>
      <c r="D4" s="9" t="inlineStr">
        <is>
          <t>Sudafrica</t>
        </is>
      </c>
      <c r="E4" s="4" t="n"/>
      <c r="F4" s="4" t="n"/>
      <c r="G4" s="4" t="n"/>
      <c r="H4" s="4" t="n"/>
      <c r="I4" s="10">
        <f>IF(OR(E4="",F4=""),"",IF(E4&gt;F4,C4,IF(F4&gt;E4,D4,IF(OR(G4="-",G4=""),"Empate",IF(G4&gt;H4,C4,D4)))))</f>
        <v/>
      </c>
    </row>
    <row r="5" ht="20" customHeight="1">
      <c r="A5" s="8" t="inlineStr">
        <is>
          <t>M002</t>
        </is>
      </c>
      <c r="B5" s="8" t="inlineStr">
        <is>
          <t>Grupo A</t>
        </is>
      </c>
      <c r="C5" s="9" t="inlineStr">
        <is>
          <t>Corea del Sur</t>
        </is>
      </c>
      <c r="D5" s="9" t="inlineStr">
        <is>
          <t>Rep. Checa</t>
        </is>
      </c>
      <c r="E5" s="4" t="n"/>
      <c r="F5" s="4" t="n"/>
      <c r="G5" s="4" t="n"/>
      <c r="H5" s="4" t="n"/>
      <c r="I5" s="10">
        <f>IF(OR(E5="",F5=""),"",IF(E5&gt;F5,C5,IF(F5&gt;E5,D5,IF(OR(G5="-",G5=""),"Empate",IF(G5&gt;H5,C5,D5)))))</f>
        <v/>
      </c>
    </row>
    <row r="6" ht="20" customHeight="1">
      <c r="A6" s="8" t="inlineStr">
        <is>
          <t>M003</t>
        </is>
      </c>
      <c r="B6" s="8" t="inlineStr">
        <is>
          <t>Grupo A</t>
        </is>
      </c>
      <c r="C6" s="9" t="inlineStr">
        <is>
          <t>Mexico</t>
        </is>
      </c>
      <c r="D6" s="9" t="inlineStr">
        <is>
          <t>Corea del Sur</t>
        </is>
      </c>
      <c r="E6" s="4" t="n"/>
      <c r="F6" s="4" t="n"/>
      <c r="G6" s="4" t="n"/>
      <c r="H6" s="4" t="n"/>
      <c r="I6" s="10">
        <f>IF(OR(E6="",F6=""),"",IF(E6&gt;F6,C6,IF(F6&gt;E6,D6,IF(OR(G6="-",G6=""),"Empate",IF(G6&gt;H6,C6,D6)))))</f>
        <v/>
      </c>
    </row>
    <row r="7" ht="20" customHeight="1">
      <c r="A7" s="8" t="inlineStr">
        <is>
          <t>M004</t>
        </is>
      </c>
      <c r="B7" s="8" t="inlineStr">
        <is>
          <t>Grupo A</t>
        </is>
      </c>
      <c r="C7" s="9" t="inlineStr">
        <is>
          <t>Sudafrica</t>
        </is>
      </c>
      <c r="D7" s="9" t="inlineStr">
        <is>
          <t>Rep. Checa</t>
        </is>
      </c>
      <c r="E7" s="4" t="n"/>
      <c r="F7" s="4" t="n"/>
      <c r="G7" s="4" t="n"/>
      <c r="H7" s="4" t="n"/>
      <c r="I7" s="10">
        <f>IF(OR(E7="",F7=""),"",IF(E7&gt;F7,C7,IF(F7&gt;E7,D7,IF(OR(G7="-",G7=""),"Empate",IF(G7&gt;H7,C7,D7)))))</f>
        <v/>
      </c>
    </row>
    <row r="8" ht="20" customHeight="1">
      <c r="A8" s="8" t="inlineStr">
        <is>
          <t>M005</t>
        </is>
      </c>
      <c r="B8" s="8" t="inlineStr">
        <is>
          <t>Grupo A</t>
        </is>
      </c>
      <c r="C8" s="9" t="inlineStr">
        <is>
          <t>Rep. Checa</t>
        </is>
      </c>
      <c r="D8" s="9" t="inlineStr">
        <is>
          <t>Mexico</t>
        </is>
      </c>
      <c r="E8" s="4" t="n"/>
      <c r="F8" s="4" t="n"/>
      <c r="G8" s="4" t="n"/>
      <c r="H8" s="4" t="n"/>
      <c r="I8" s="10">
        <f>IF(OR(E8="",F8=""),"",IF(E8&gt;F8,C8,IF(F8&gt;E8,D8,IF(OR(G8="-",G8=""),"Empate",IF(G8&gt;H8,C8,D8)))))</f>
        <v/>
      </c>
    </row>
    <row r="9" ht="20" customHeight="1">
      <c r="A9" s="8" t="inlineStr">
        <is>
          <t>M006</t>
        </is>
      </c>
      <c r="B9" s="8" t="inlineStr">
        <is>
          <t>Grupo A</t>
        </is>
      </c>
      <c r="C9" s="9" t="inlineStr">
        <is>
          <t>Sudafrica</t>
        </is>
      </c>
      <c r="D9" s="9" t="inlineStr">
        <is>
          <t>Corea del Sur</t>
        </is>
      </c>
      <c r="E9" s="4" t="n"/>
      <c r="F9" s="4" t="n"/>
      <c r="G9" s="4" t="n"/>
      <c r="H9" s="4" t="n"/>
      <c r="I9" s="10">
        <f>IF(OR(E9="",F9=""),"",IF(E9&gt;F9,C9,IF(F9&gt;E9,D9,IF(OR(G9="-",G9=""),"Empate",IF(G9&gt;H9,C9,D9)))))</f>
        <v/>
      </c>
    </row>
    <row r="10" ht="20" customHeight="1">
      <c r="A10" s="8" t="inlineStr">
        <is>
          <t>M007</t>
        </is>
      </c>
      <c r="B10" s="8" t="inlineStr">
        <is>
          <t>Grupo B</t>
        </is>
      </c>
      <c r="C10" s="9" t="inlineStr">
        <is>
          <t>Canada</t>
        </is>
      </c>
      <c r="D10" s="9" t="inlineStr">
        <is>
          <t>Bosnia y Herzegovina</t>
        </is>
      </c>
      <c r="E10" s="4" t="n"/>
      <c r="F10" s="4" t="n"/>
      <c r="G10" s="4" t="n"/>
      <c r="H10" s="4" t="n"/>
      <c r="I10" s="10">
        <f>IF(OR(E10="",F10=""),"",IF(E10&gt;F10,C10,IF(F10&gt;E10,D10,IF(OR(G10="-",G10=""),"Empate",IF(G10&gt;H10,C10,D10)))))</f>
        <v/>
      </c>
    </row>
    <row r="11" ht="20" customHeight="1">
      <c r="A11" s="8" t="inlineStr">
        <is>
          <t>M008</t>
        </is>
      </c>
      <c r="B11" s="8" t="inlineStr">
        <is>
          <t>Grupo B</t>
        </is>
      </c>
      <c r="C11" s="9" t="inlineStr">
        <is>
          <t>Catar</t>
        </is>
      </c>
      <c r="D11" s="9" t="inlineStr">
        <is>
          <t>Suiza</t>
        </is>
      </c>
      <c r="E11" s="4" t="n"/>
      <c r="F11" s="4" t="n"/>
      <c r="G11" s="4" t="n"/>
      <c r="H11" s="4" t="n"/>
      <c r="I11" s="10">
        <f>IF(OR(E11="",F11=""),"",IF(E11&gt;F11,C11,IF(F11&gt;E11,D11,IF(OR(G11="-",G11=""),"Empate",IF(G11&gt;H11,C11,D11)))))</f>
        <v/>
      </c>
    </row>
    <row r="12" ht="20" customHeight="1">
      <c r="A12" s="8" t="inlineStr">
        <is>
          <t>M009</t>
        </is>
      </c>
      <c r="B12" s="8" t="inlineStr">
        <is>
          <t>Grupo B</t>
        </is>
      </c>
      <c r="C12" s="9" t="inlineStr">
        <is>
          <t>Canada</t>
        </is>
      </c>
      <c r="D12" s="9" t="inlineStr">
        <is>
          <t>Catar</t>
        </is>
      </c>
      <c r="E12" s="4" t="n"/>
      <c r="F12" s="4" t="n"/>
      <c r="G12" s="4" t="n"/>
      <c r="H12" s="4" t="n"/>
      <c r="I12" s="10">
        <f>IF(OR(E12="",F12=""),"",IF(E12&gt;F12,C12,IF(F12&gt;E12,D12,IF(OR(G12="-",G12=""),"Empate",IF(G12&gt;H12,C12,D12)))))</f>
        <v/>
      </c>
    </row>
    <row r="13" ht="20" customHeight="1">
      <c r="A13" s="8" t="inlineStr">
        <is>
          <t>M010</t>
        </is>
      </c>
      <c r="B13" s="8" t="inlineStr">
        <is>
          <t>Grupo B</t>
        </is>
      </c>
      <c r="C13" s="9" t="inlineStr">
        <is>
          <t>Bosnia y Herzegovina</t>
        </is>
      </c>
      <c r="D13" s="9" t="inlineStr">
        <is>
          <t>Suiza</t>
        </is>
      </c>
      <c r="E13" s="4" t="n"/>
      <c r="F13" s="4" t="n"/>
      <c r="G13" s="4" t="n"/>
      <c r="H13" s="4" t="n"/>
      <c r="I13" s="10">
        <f>IF(OR(E13="",F13=""),"",IF(E13&gt;F13,C13,IF(F13&gt;E13,D13,IF(OR(G13="-",G13=""),"Empate",IF(G13&gt;H13,C13,D13)))))</f>
        <v/>
      </c>
    </row>
    <row r="14" ht="20" customHeight="1">
      <c r="A14" s="8" t="inlineStr">
        <is>
          <t>M011</t>
        </is>
      </c>
      <c r="B14" s="8" t="inlineStr">
        <is>
          <t>Grupo B</t>
        </is>
      </c>
      <c r="C14" s="9" t="inlineStr">
        <is>
          <t>Suiza</t>
        </is>
      </c>
      <c r="D14" s="9" t="inlineStr">
        <is>
          <t>Canada</t>
        </is>
      </c>
      <c r="E14" s="4" t="n"/>
      <c r="F14" s="4" t="n"/>
      <c r="G14" s="4" t="n"/>
      <c r="H14" s="4" t="n"/>
      <c r="I14" s="10">
        <f>IF(OR(E14="",F14=""),"",IF(E14&gt;F14,C14,IF(F14&gt;E14,D14,IF(OR(G14="-",G14=""),"Empate",IF(G14&gt;H14,C14,D14)))))</f>
        <v/>
      </c>
    </row>
    <row r="15" ht="20" customHeight="1">
      <c r="A15" s="8" t="inlineStr">
        <is>
          <t>M012</t>
        </is>
      </c>
      <c r="B15" s="8" t="inlineStr">
        <is>
          <t>Grupo B</t>
        </is>
      </c>
      <c r="C15" s="9" t="inlineStr">
        <is>
          <t>Bosnia y Herzegovina</t>
        </is>
      </c>
      <c r="D15" s="9" t="inlineStr">
        <is>
          <t>Catar</t>
        </is>
      </c>
      <c r="E15" s="4" t="n"/>
      <c r="F15" s="4" t="n"/>
      <c r="G15" s="4" t="n"/>
      <c r="H15" s="4" t="n"/>
      <c r="I15" s="10">
        <f>IF(OR(E15="",F15=""),"",IF(E15&gt;F15,C15,IF(F15&gt;E15,D15,IF(OR(G15="-",G15=""),"Empate",IF(G15&gt;H15,C15,D15)))))</f>
        <v/>
      </c>
    </row>
    <row r="16" ht="20" customHeight="1">
      <c r="A16" s="8" t="inlineStr">
        <is>
          <t>M013</t>
        </is>
      </c>
      <c r="B16" s="8" t="inlineStr">
        <is>
          <t>Grupo C</t>
        </is>
      </c>
      <c r="C16" s="9" t="inlineStr">
        <is>
          <t>Brasil</t>
        </is>
      </c>
      <c r="D16" s="9" t="inlineStr">
        <is>
          <t>Marruecos</t>
        </is>
      </c>
      <c r="E16" s="4" t="n"/>
      <c r="F16" s="4" t="n"/>
      <c r="G16" s="4" t="n"/>
      <c r="H16" s="4" t="n"/>
      <c r="I16" s="10">
        <f>IF(OR(E16="",F16=""),"",IF(E16&gt;F16,C16,IF(F16&gt;E16,D16,IF(OR(G16="-",G16=""),"Empate",IF(G16&gt;H16,C16,D16)))))</f>
        <v/>
      </c>
    </row>
    <row r="17" ht="20" customHeight="1">
      <c r="A17" s="8" t="inlineStr">
        <is>
          <t>M014</t>
        </is>
      </c>
      <c r="B17" s="8" t="inlineStr">
        <is>
          <t>Grupo C</t>
        </is>
      </c>
      <c r="C17" s="9" t="inlineStr">
        <is>
          <t>Haiti</t>
        </is>
      </c>
      <c r="D17" s="9" t="inlineStr">
        <is>
          <t>Escocia</t>
        </is>
      </c>
      <c r="E17" s="4" t="n"/>
      <c r="F17" s="4" t="n"/>
      <c r="G17" s="4" t="n"/>
      <c r="H17" s="4" t="n"/>
      <c r="I17" s="10">
        <f>IF(OR(E17="",F17=""),"",IF(E17&gt;F17,C17,IF(F17&gt;E17,D17,IF(OR(G17="-",G17=""),"Empate",IF(G17&gt;H17,C17,D17)))))</f>
        <v/>
      </c>
    </row>
    <row r="18" ht="20" customHeight="1">
      <c r="A18" s="8" t="inlineStr">
        <is>
          <t>M015</t>
        </is>
      </c>
      <c r="B18" s="8" t="inlineStr">
        <is>
          <t>Grupo C</t>
        </is>
      </c>
      <c r="C18" s="9" t="inlineStr">
        <is>
          <t>Brasil</t>
        </is>
      </c>
      <c r="D18" s="9" t="inlineStr">
        <is>
          <t>Haiti</t>
        </is>
      </c>
      <c r="E18" s="4" t="n"/>
      <c r="F18" s="4" t="n"/>
      <c r="G18" s="4" t="n"/>
      <c r="H18" s="4" t="n"/>
      <c r="I18" s="10">
        <f>IF(OR(E18="",F18=""),"",IF(E18&gt;F18,C18,IF(F18&gt;E18,D18,IF(OR(G18="-",G18=""),"Empate",IF(G18&gt;H18,C18,D18)))))</f>
        <v/>
      </c>
    </row>
    <row r="19" ht="20" customHeight="1">
      <c r="A19" s="8" t="inlineStr">
        <is>
          <t>M016</t>
        </is>
      </c>
      <c r="B19" s="8" t="inlineStr">
        <is>
          <t>Grupo C</t>
        </is>
      </c>
      <c r="C19" s="9" t="inlineStr">
        <is>
          <t>Marruecos</t>
        </is>
      </c>
      <c r="D19" s="9" t="inlineStr">
        <is>
          <t>Escocia</t>
        </is>
      </c>
      <c r="E19" s="4" t="n"/>
      <c r="F19" s="4" t="n"/>
      <c r="G19" s="4" t="n"/>
      <c r="H19" s="4" t="n"/>
      <c r="I19" s="10">
        <f>IF(OR(E19="",F19=""),"",IF(E19&gt;F19,C19,IF(F19&gt;E19,D19,IF(OR(G19="-",G19=""),"Empate",IF(G19&gt;H19,C19,D19)))))</f>
        <v/>
      </c>
    </row>
    <row r="20" ht="20" customHeight="1">
      <c r="A20" s="8" t="inlineStr">
        <is>
          <t>M017</t>
        </is>
      </c>
      <c r="B20" s="8" t="inlineStr">
        <is>
          <t>Grupo C</t>
        </is>
      </c>
      <c r="C20" s="9" t="inlineStr">
        <is>
          <t>Escocia</t>
        </is>
      </c>
      <c r="D20" s="9" t="inlineStr">
        <is>
          <t>Brasil</t>
        </is>
      </c>
      <c r="E20" s="4" t="n"/>
      <c r="F20" s="4" t="n"/>
      <c r="G20" s="4" t="n"/>
      <c r="H20" s="4" t="n"/>
      <c r="I20" s="10">
        <f>IF(OR(E20="",F20=""),"",IF(E20&gt;F20,C20,IF(F20&gt;E20,D20,IF(OR(G20="-",G20=""),"Empate",IF(G20&gt;H20,C20,D20)))))</f>
        <v/>
      </c>
    </row>
    <row r="21" ht="20" customHeight="1">
      <c r="A21" s="8" t="inlineStr">
        <is>
          <t>M018</t>
        </is>
      </c>
      <c r="B21" s="8" t="inlineStr">
        <is>
          <t>Grupo C</t>
        </is>
      </c>
      <c r="C21" s="9" t="inlineStr">
        <is>
          <t>Marruecos</t>
        </is>
      </c>
      <c r="D21" s="9" t="inlineStr">
        <is>
          <t>Haiti</t>
        </is>
      </c>
      <c r="E21" s="4" t="n"/>
      <c r="F21" s="4" t="n"/>
      <c r="G21" s="4" t="n"/>
      <c r="H21" s="4" t="n"/>
      <c r="I21" s="10">
        <f>IF(OR(E21="",F21=""),"",IF(E21&gt;F21,C21,IF(F21&gt;E21,D21,IF(OR(G21="-",G21=""),"Empate",IF(G21&gt;H21,C21,D21)))))</f>
        <v/>
      </c>
    </row>
    <row r="22" ht="20" customHeight="1">
      <c r="A22" s="8" t="inlineStr">
        <is>
          <t>M019</t>
        </is>
      </c>
      <c r="B22" s="8" t="inlineStr">
        <is>
          <t>Grupo D</t>
        </is>
      </c>
      <c r="C22" s="9" t="inlineStr">
        <is>
          <t>Estados Unidos</t>
        </is>
      </c>
      <c r="D22" s="9" t="inlineStr">
        <is>
          <t>Paraguay</t>
        </is>
      </c>
      <c r="E22" s="4" t="n"/>
      <c r="F22" s="4" t="n"/>
      <c r="G22" s="4" t="n"/>
      <c r="H22" s="4" t="n"/>
      <c r="I22" s="10">
        <f>IF(OR(E22="",F22=""),"",IF(E22&gt;F22,C22,IF(F22&gt;E22,D22,IF(OR(G22="-",G22=""),"Empate",IF(G22&gt;H22,C22,D22)))))</f>
        <v/>
      </c>
    </row>
    <row r="23" ht="20" customHeight="1">
      <c r="A23" s="8" t="inlineStr">
        <is>
          <t>M020</t>
        </is>
      </c>
      <c r="B23" s="8" t="inlineStr">
        <is>
          <t>Grupo D</t>
        </is>
      </c>
      <c r="C23" s="9" t="inlineStr">
        <is>
          <t>Australia</t>
        </is>
      </c>
      <c r="D23" s="9" t="inlineStr">
        <is>
          <t>Turquia</t>
        </is>
      </c>
      <c r="E23" s="4" t="n"/>
      <c r="F23" s="4" t="n"/>
      <c r="G23" s="4" t="n"/>
      <c r="H23" s="4" t="n"/>
      <c r="I23" s="10">
        <f>IF(OR(E23="",F23=""),"",IF(E23&gt;F23,C23,IF(F23&gt;E23,D23,IF(OR(G23="-",G23=""),"Empate",IF(G23&gt;H23,C23,D23)))))</f>
        <v/>
      </c>
    </row>
    <row r="24" ht="20" customHeight="1">
      <c r="A24" s="8" t="inlineStr">
        <is>
          <t>M021</t>
        </is>
      </c>
      <c r="B24" s="8" t="inlineStr">
        <is>
          <t>Grupo D</t>
        </is>
      </c>
      <c r="C24" s="9" t="inlineStr">
        <is>
          <t>Estados Unidos</t>
        </is>
      </c>
      <c r="D24" s="9" t="inlineStr">
        <is>
          <t>Australia</t>
        </is>
      </c>
      <c r="E24" s="4" t="n"/>
      <c r="F24" s="4" t="n"/>
      <c r="G24" s="4" t="n"/>
      <c r="H24" s="4" t="n"/>
      <c r="I24" s="10">
        <f>IF(OR(E24="",F24=""),"",IF(E24&gt;F24,C24,IF(F24&gt;E24,D24,IF(OR(G24="-",G24=""),"Empate",IF(G24&gt;H24,C24,D24)))))</f>
        <v/>
      </c>
    </row>
    <row r="25" ht="20" customHeight="1">
      <c r="A25" s="8" t="inlineStr">
        <is>
          <t>M022</t>
        </is>
      </c>
      <c r="B25" s="8" t="inlineStr">
        <is>
          <t>Grupo D</t>
        </is>
      </c>
      <c r="C25" s="9" t="inlineStr">
        <is>
          <t>Paraguay</t>
        </is>
      </c>
      <c r="D25" s="9" t="inlineStr">
        <is>
          <t>Turquia</t>
        </is>
      </c>
      <c r="E25" s="4" t="n"/>
      <c r="F25" s="4" t="n"/>
      <c r="G25" s="4" t="n"/>
      <c r="H25" s="4" t="n"/>
      <c r="I25" s="10">
        <f>IF(OR(E25="",F25=""),"",IF(E25&gt;F25,C25,IF(F25&gt;E25,D25,IF(OR(G25="-",G25=""),"Empate",IF(G25&gt;H25,C25,D25)))))</f>
        <v/>
      </c>
    </row>
    <row r="26" ht="20" customHeight="1">
      <c r="A26" s="8" t="inlineStr">
        <is>
          <t>M023</t>
        </is>
      </c>
      <c r="B26" s="8" t="inlineStr">
        <is>
          <t>Grupo D</t>
        </is>
      </c>
      <c r="C26" s="9" t="inlineStr">
        <is>
          <t>Turquia</t>
        </is>
      </c>
      <c r="D26" s="9" t="inlineStr">
        <is>
          <t>Estados Unidos</t>
        </is>
      </c>
      <c r="E26" s="4" t="n"/>
      <c r="F26" s="4" t="n"/>
      <c r="G26" s="4" t="n"/>
      <c r="H26" s="4" t="n"/>
      <c r="I26" s="10">
        <f>IF(OR(E26="",F26=""),"",IF(E26&gt;F26,C26,IF(F26&gt;E26,D26,IF(OR(G26="-",G26=""),"Empate",IF(G26&gt;H26,C26,D26)))))</f>
        <v/>
      </c>
    </row>
    <row r="27" ht="20" customHeight="1">
      <c r="A27" s="8" t="inlineStr">
        <is>
          <t>M024</t>
        </is>
      </c>
      <c r="B27" s="8" t="inlineStr">
        <is>
          <t>Grupo D</t>
        </is>
      </c>
      <c r="C27" s="9" t="inlineStr">
        <is>
          <t>Paraguay</t>
        </is>
      </c>
      <c r="D27" s="9" t="inlineStr">
        <is>
          <t>Australia</t>
        </is>
      </c>
      <c r="E27" s="4" t="n"/>
      <c r="F27" s="4" t="n"/>
      <c r="G27" s="4" t="n"/>
      <c r="H27" s="4" t="n"/>
      <c r="I27" s="10">
        <f>IF(OR(E27="",F27=""),"",IF(E27&gt;F27,C27,IF(F27&gt;E27,D27,IF(OR(G27="-",G27=""),"Empate",IF(G27&gt;H27,C27,D27)))))</f>
        <v/>
      </c>
    </row>
    <row r="28" ht="20" customHeight="1">
      <c r="A28" s="8" t="inlineStr">
        <is>
          <t>M025</t>
        </is>
      </c>
      <c r="B28" s="8" t="inlineStr">
        <is>
          <t>Grupo E</t>
        </is>
      </c>
      <c r="C28" s="9" t="inlineStr">
        <is>
          <t>Alemania</t>
        </is>
      </c>
      <c r="D28" s="9" t="inlineStr">
        <is>
          <t>Curazao</t>
        </is>
      </c>
      <c r="E28" s="4" t="n"/>
      <c r="F28" s="4" t="n"/>
      <c r="G28" s="4" t="n"/>
      <c r="H28" s="4" t="n"/>
      <c r="I28" s="10">
        <f>IF(OR(E28="",F28=""),"",IF(E28&gt;F28,C28,IF(F28&gt;E28,D28,IF(OR(G28="-",G28=""),"Empate",IF(G28&gt;H28,C28,D28)))))</f>
        <v/>
      </c>
    </row>
    <row r="29" ht="20" customHeight="1">
      <c r="A29" s="8" t="inlineStr">
        <is>
          <t>M026</t>
        </is>
      </c>
      <c r="B29" s="8" t="inlineStr">
        <is>
          <t>Grupo E</t>
        </is>
      </c>
      <c r="C29" s="9" t="inlineStr">
        <is>
          <t>Costa de Marfil</t>
        </is>
      </c>
      <c r="D29" s="9" t="inlineStr">
        <is>
          <t>Ecuador</t>
        </is>
      </c>
      <c r="E29" s="4" t="n"/>
      <c r="F29" s="4" t="n"/>
      <c r="G29" s="4" t="n"/>
      <c r="H29" s="4" t="n"/>
      <c r="I29" s="10">
        <f>IF(OR(E29="",F29=""),"",IF(E29&gt;F29,C29,IF(F29&gt;E29,D29,IF(OR(G29="-",G29=""),"Empate",IF(G29&gt;H29,C29,D29)))))</f>
        <v/>
      </c>
    </row>
    <row r="30" ht="20" customHeight="1">
      <c r="A30" s="8" t="inlineStr">
        <is>
          <t>M027</t>
        </is>
      </c>
      <c r="B30" s="8" t="inlineStr">
        <is>
          <t>Grupo E</t>
        </is>
      </c>
      <c r="C30" s="9" t="inlineStr">
        <is>
          <t>Alemania</t>
        </is>
      </c>
      <c r="D30" s="9" t="inlineStr">
        <is>
          <t>Costa de Marfil</t>
        </is>
      </c>
      <c r="E30" s="4" t="n"/>
      <c r="F30" s="4" t="n"/>
      <c r="G30" s="4" t="n"/>
      <c r="H30" s="4" t="n"/>
      <c r="I30" s="10">
        <f>IF(OR(E30="",F30=""),"",IF(E30&gt;F30,C30,IF(F30&gt;E30,D30,IF(OR(G30="-",G30=""),"Empate",IF(G30&gt;H30,C30,D30)))))</f>
        <v/>
      </c>
    </row>
    <row r="31" ht="20" customHeight="1">
      <c r="A31" s="8" t="inlineStr">
        <is>
          <t>M028</t>
        </is>
      </c>
      <c r="B31" s="8" t="inlineStr">
        <is>
          <t>Grupo E</t>
        </is>
      </c>
      <c r="C31" s="9" t="inlineStr">
        <is>
          <t>Curazao</t>
        </is>
      </c>
      <c r="D31" s="9" t="inlineStr">
        <is>
          <t>Ecuador</t>
        </is>
      </c>
      <c r="E31" s="4" t="n"/>
      <c r="F31" s="4" t="n"/>
      <c r="G31" s="4" t="n"/>
      <c r="H31" s="4" t="n"/>
      <c r="I31" s="10">
        <f>IF(OR(E31="",F31=""),"",IF(E31&gt;F31,C31,IF(F31&gt;E31,D31,IF(OR(G31="-",G31=""),"Empate",IF(G31&gt;H31,C31,D31)))))</f>
        <v/>
      </c>
    </row>
    <row r="32" ht="20" customHeight="1">
      <c r="A32" s="8" t="inlineStr">
        <is>
          <t>M029</t>
        </is>
      </c>
      <c r="B32" s="8" t="inlineStr">
        <is>
          <t>Grupo E</t>
        </is>
      </c>
      <c r="C32" s="9" t="inlineStr">
        <is>
          <t>Ecuador</t>
        </is>
      </c>
      <c r="D32" s="9" t="inlineStr">
        <is>
          <t>Alemania</t>
        </is>
      </c>
      <c r="E32" s="4" t="n"/>
      <c r="F32" s="4" t="n"/>
      <c r="G32" s="4" t="n"/>
      <c r="H32" s="4" t="n"/>
      <c r="I32" s="10">
        <f>IF(OR(E32="",F32=""),"",IF(E32&gt;F32,C32,IF(F32&gt;E32,D32,IF(OR(G32="-",G32=""),"Empate",IF(G32&gt;H32,C32,D32)))))</f>
        <v/>
      </c>
    </row>
    <row r="33" ht="20" customHeight="1">
      <c r="A33" s="8" t="inlineStr">
        <is>
          <t>M030</t>
        </is>
      </c>
      <c r="B33" s="8" t="inlineStr">
        <is>
          <t>Grupo E</t>
        </is>
      </c>
      <c r="C33" s="9" t="inlineStr">
        <is>
          <t>Curazao</t>
        </is>
      </c>
      <c r="D33" s="9" t="inlineStr">
        <is>
          <t>Costa de Marfil</t>
        </is>
      </c>
      <c r="E33" s="4" t="n"/>
      <c r="F33" s="4" t="n"/>
      <c r="G33" s="4" t="n"/>
      <c r="H33" s="4" t="n"/>
      <c r="I33" s="10">
        <f>IF(OR(E33="",F33=""),"",IF(E33&gt;F33,C33,IF(F33&gt;E33,D33,IF(OR(G33="-",G33=""),"Empate",IF(G33&gt;H33,C33,D33)))))</f>
        <v/>
      </c>
    </row>
    <row r="34" ht="20" customHeight="1">
      <c r="A34" s="8" t="inlineStr">
        <is>
          <t>M031</t>
        </is>
      </c>
      <c r="B34" s="8" t="inlineStr">
        <is>
          <t>Grupo F</t>
        </is>
      </c>
      <c r="C34" s="9" t="inlineStr">
        <is>
          <t>Paises Bajos</t>
        </is>
      </c>
      <c r="D34" s="9" t="inlineStr">
        <is>
          <t>Japon</t>
        </is>
      </c>
      <c r="E34" s="4" t="n"/>
      <c r="F34" s="4" t="n"/>
      <c r="G34" s="4" t="n"/>
      <c r="H34" s="4" t="n"/>
      <c r="I34" s="10">
        <f>IF(OR(E34="",F34=""),"",IF(E34&gt;F34,C34,IF(F34&gt;E34,D34,IF(OR(G34="-",G34=""),"Empate",IF(G34&gt;H34,C34,D34)))))</f>
        <v/>
      </c>
    </row>
    <row r="35" ht="20" customHeight="1">
      <c r="A35" s="8" t="inlineStr">
        <is>
          <t>M032</t>
        </is>
      </c>
      <c r="B35" s="8" t="inlineStr">
        <is>
          <t>Grupo F</t>
        </is>
      </c>
      <c r="C35" s="9" t="inlineStr">
        <is>
          <t>Suecia</t>
        </is>
      </c>
      <c r="D35" s="9" t="inlineStr">
        <is>
          <t>Tunez</t>
        </is>
      </c>
      <c r="E35" s="4" t="n"/>
      <c r="F35" s="4" t="n"/>
      <c r="G35" s="4" t="n"/>
      <c r="H35" s="4" t="n"/>
      <c r="I35" s="10">
        <f>IF(OR(E35="",F35=""),"",IF(E35&gt;F35,C35,IF(F35&gt;E35,D35,IF(OR(G35="-",G35=""),"Empate",IF(G35&gt;H35,C35,D35)))))</f>
        <v/>
      </c>
    </row>
    <row r="36" ht="20" customHeight="1">
      <c r="A36" s="8" t="inlineStr">
        <is>
          <t>M033</t>
        </is>
      </c>
      <c r="B36" s="8" t="inlineStr">
        <is>
          <t>Grupo F</t>
        </is>
      </c>
      <c r="C36" s="9" t="inlineStr">
        <is>
          <t>Paises Bajos</t>
        </is>
      </c>
      <c r="D36" s="9" t="inlineStr">
        <is>
          <t>Suecia</t>
        </is>
      </c>
      <c r="E36" s="4" t="n"/>
      <c r="F36" s="4" t="n"/>
      <c r="G36" s="4" t="n"/>
      <c r="H36" s="4" t="n"/>
      <c r="I36" s="10">
        <f>IF(OR(E36="",F36=""),"",IF(E36&gt;F36,C36,IF(F36&gt;E36,D36,IF(OR(G36="-",G36=""),"Empate",IF(G36&gt;H36,C36,D36)))))</f>
        <v/>
      </c>
    </row>
    <row r="37" ht="20" customHeight="1">
      <c r="A37" s="8" t="inlineStr">
        <is>
          <t>M034</t>
        </is>
      </c>
      <c r="B37" s="8" t="inlineStr">
        <is>
          <t>Grupo F</t>
        </is>
      </c>
      <c r="C37" s="9" t="inlineStr">
        <is>
          <t>Japon</t>
        </is>
      </c>
      <c r="D37" s="9" t="inlineStr">
        <is>
          <t>Tunez</t>
        </is>
      </c>
      <c r="E37" s="4" t="n"/>
      <c r="F37" s="4" t="n"/>
      <c r="G37" s="4" t="n"/>
      <c r="H37" s="4" t="n"/>
      <c r="I37" s="10">
        <f>IF(OR(E37="",F37=""),"",IF(E37&gt;F37,C37,IF(F37&gt;E37,D37,IF(OR(G37="-",G37=""),"Empate",IF(G37&gt;H37,C37,D37)))))</f>
        <v/>
      </c>
    </row>
    <row r="38" ht="20" customHeight="1">
      <c r="A38" s="8" t="inlineStr">
        <is>
          <t>M035</t>
        </is>
      </c>
      <c r="B38" s="8" t="inlineStr">
        <is>
          <t>Grupo F</t>
        </is>
      </c>
      <c r="C38" s="9" t="inlineStr">
        <is>
          <t>Tunez</t>
        </is>
      </c>
      <c r="D38" s="9" t="inlineStr">
        <is>
          <t>Paises Bajos</t>
        </is>
      </c>
      <c r="E38" s="4" t="n"/>
      <c r="F38" s="4" t="n"/>
      <c r="G38" s="4" t="n"/>
      <c r="H38" s="4" t="n"/>
      <c r="I38" s="10">
        <f>IF(OR(E38="",F38=""),"",IF(E38&gt;F38,C38,IF(F38&gt;E38,D38,IF(OR(G38="-",G38=""),"Empate",IF(G38&gt;H38,C38,D38)))))</f>
        <v/>
      </c>
    </row>
    <row r="39" ht="20" customHeight="1">
      <c r="A39" s="8" t="inlineStr">
        <is>
          <t>M036</t>
        </is>
      </c>
      <c r="B39" s="8" t="inlineStr">
        <is>
          <t>Grupo F</t>
        </is>
      </c>
      <c r="C39" s="9" t="inlineStr">
        <is>
          <t>Japon</t>
        </is>
      </c>
      <c r="D39" s="9" t="inlineStr">
        <is>
          <t>Suecia</t>
        </is>
      </c>
      <c r="E39" s="4" t="n"/>
      <c r="F39" s="4" t="n"/>
      <c r="G39" s="4" t="n"/>
      <c r="H39" s="4" t="n"/>
      <c r="I39" s="10">
        <f>IF(OR(E39="",F39=""),"",IF(E39&gt;F39,C39,IF(F39&gt;E39,D39,IF(OR(G39="-",G39=""),"Empate",IF(G39&gt;H39,C39,D39)))))</f>
        <v/>
      </c>
    </row>
    <row r="40" ht="20" customHeight="1">
      <c r="A40" s="8" t="inlineStr">
        <is>
          <t>M037</t>
        </is>
      </c>
      <c r="B40" s="8" t="inlineStr">
        <is>
          <t>Grupo G</t>
        </is>
      </c>
      <c r="C40" s="9" t="inlineStr">
        <is>
          <t>Belgica</t>
        </is>
      </c>
      <c r="D40" s="9" t="inlineStr">
        <is>
          <t>Egipto</t>
        </is>
      </c>
      <c r="E40" s="4" t="n"/>
      <c r="F40" s="4" t="n"/>
      <c r="G40" s="4" t="n"/>
      <c r="H40" s="4" t="n"/>
      <c r="I40" s="10">
        <f>IF(OR(E40="",F40=""),"",IF(E40&gt;F40,C40,IF(F40&gt;E40,D40,IF(OR(G40="-",G40=""),"Empate",IF(G40&gt;H40,C40,D40)))))</f>
        <v/>
      </c>
    </row>
    <row r="41" ht="20" customHeight="1">
      <c r="A41" s="8" t="inlineStr">
        <is>
          <t>M038</t>
        </is>
      </c>
      <c r="B41" s="8" t="inlineStr">
        <is>
          <t>Grupo G</t>
        </is>
      </c>
      <c r="C41" s="9" t="inlineStr">
        <is>
          <t>Iran</t>
        </is>
      </c>
      <c r="D41" s="9" t="inlineStr">
        <is>
          <t>Nueva Zelanda</t>
        </is>
      </c>
      <c r="E41" s="4" t="n"/>
      <c r="F41" s="4" t="n"/>
      <c r="G41" s="4" t="n"/>
      <c r="H41" s="4" t="n"/>
      <c r="I41" s="10">
        <f>IF(OR(E41="",F41=""),"",IF(E41&gt;F41,C41,IF(F41&gt;E41,D41,IF(OR(G41="-",G41=""),"Empate",IF(G41&gt;H41,C41,D41)))))</f>
        <v/>
      </c>
    </row>
    <row r="42" ht="20" customHeight="1">
      <c r="A42" s="8" t="inlineStr">
        <is>
          <t>M039</t>
        </is>
      </c>
      <c r="B42" s="8" t="inlineStr">
        <is>
          <t>Grupo G</t>
        </is>
      </c>
      <c r="C42" s="9" t="inlineStr">
        <is>
          <t>Belgica</t>
        </is>
      </c>
      <c r="D42" s="9" t="inlineStr">
        <is>
          <t>Iran</t>
        </is>
      </c>
      <c r="E42" s="4" t="n"/>
      <c r="F42" s="4" t="n"/>
      <c r="G42" s="4" t="n"/>
      <c r="H42" s="4" t="n"/>
      <c r="I42" s="10">
        <f>IF(OR(E42="",F42=""),"",IF(E42&gt;F42,C42,IF(F42&gt;E42,D42,IF(OR(G42="-",G42=""),"Empate",IF(G42&gt;H42,C42,D42)))))</f>
        <v/>
      </c>
    </row>
    <row r="43" ht="20" customHeight="1">
      <c r="A43" s="8" t="inlineStr">
        <is>
          <t>M040</t>
        </is>
      </c>
      <c r="B43" s="8" t="inlineStr">
        <is>
          <t>Grupo G</t>
        </is>
      </c>
      <c r="C43" s="9" t="inlineStr">
        <is>
          <t>Egipto</t>
        </is>
      </c>
      <c r="D43" s="9" t="inlineStr">
        <is>
          <t>Nueva Zelanda</t>
        </is>
      </c>
      <c r="E43" s="4" t="n"/>
      <c r="F43" s="4" t="n"/>
      <c r="G43" s="4" t="n"/>
      <c r="H43" s="4" t="n"/>
      <c r="I43" s="10">
        <f>IF(OR(E43="",F43=""),"",IF(E43&gt;F43,C43,IF(F43&gt;E43,D43,IF(OR(G43="-",G43=""),"Empate",IF(G43&gt;H43,C43,D43)))))</f>
        <v/>
      </c>
    </row>
    <row r="44" ht="20" customHeight="1">
      <c r="A44" s="8" t="inlineStr">
        <is>
          <t>M041</t>
        </is>
      </c>
      <c r="B44" s="8" t="inlineStr">
        <is>
          <t>Grupo G</t>
        </is>
      </c>
      <c r="C44" s="9" t="inlineStr">
        <is>
          <t>Nueva Zelanda</t>
        </is>
      </c>
      <c r="D44" s="9" t="inlineStr">
        <is>
          <t>Belgica</t>
        </is>
      </c>
      <c r="E44" s="4" t="n"/>
      <c r="F44" s="4" t="n"/>
      <c r="G44" s="4" t="n"/>
      <c r="H44" s="4" t="n"/>
      <c r="I44" s="10">
        <f>IF(OR(E44="",F44=""),"",IF(E44&gt;F44,C44,IF(F44&gt;E44,D44,IF(OR(G44="-",G44=""),"Empate",IF(G44&gt;H44,C44,D44)))))</f>
        <v/>
      </c>
    </row>
    <row r="45" ht="20" customHeight="1">
      <c r="A45" s="8" t="inlineStr">
        <is>
          <t>M042</t>
        </is>
      </c>
      <c r="B45" s="8" t="inlineStr">
        <is>
          <t>Grupo G</t>
        </is>
      </c>
      <c r="C45" s="9" t="inlineStr">
        <is>
          <t>Egipto</t>
        </is>
      </c>
      <c r="D45" s="9" t="inlineStr">
        <is>
          <t>Iran</t>
        </is>
      </c>
      <c r="E45" s="4" t="n"/>
      <c r="F45" s="4" t="n"/>
      <c r="G45" s="4" t="n"/>
      <c r="H45" s="4" t="n"/>
      <c r="I45" s="10">
        <f>IF(OR(E45="",F45=""),"",IF(E45&gt;F45,C45,IF(F45&gt;E45,D45,IF(OR(G45="-",G45=""),"Empate",IF(G45&gt;H45,C45,D45)))))</f>
        <v/>
      </c>
    </row>
    <row r="46" ht="20" customHeight="1">
      <c r="A46" s="8" t="inlineStr">
        <is>
          <t>M043</t>
        </is>
      </c>
      <c r="B46" s="8" t="inlineStr">
        <is>
          <t>Grupo H</t>
        </is>
      </c>
      <c r="C46" s="9" t="inlineStr">
        <is>
          <t>Espana</t>
        </is>
      </c>
      <c r="D46" s="9" t="inlineStr">
        <is>
          <t>Cabo Verde</t>
        </is>
      </c>
      <c r="E46" s="4" t="n"/>
      <c r="F46" s="4" t="n"/>
      <c r="G46" s="4" t="n"/>
      <c r="H46" s="4" t="n"/>
      <c r="I46" s="10">
        <f>IF(OR(E46="",F46=""),"",IF(E46&gt;F46,C46,IF(F46&gt;E46,D46,IF(OR(G46="-",G46=""),"Empate",IF(G46&gt;H46,C46,D46)))))</f>
        <v/>
      </c>
    </row>
    <row r="47" ht="20" customHeight="1">
      <c r="A47" s="8" t="inlineStr">
        <is>
          <t>M044</t>
        </is>
      </c>
      <c r="B47" s="8" t="inlineStr">
        <is>
          <t>Grupo H</t>
        </is>
      </c>
      <c r="C47" s="9" t="inlineStr">
        <is>
          <t>Arabia Saudi</t>
        </is>
      </c>
      <c r="D47" s="9" t="inlineStr">
        <is>
          <t>Uruguay</t>
        </is>
      </c>
      <c r="E47" s="4" t="n"/>
      <c r="F47" s="4" t="n"/>
      <c r="G47" s="4" t="n"/>
      <c r="H47" s="4" t="n"/>
      <c r="I47" s="10">
        <f>IF(OR(E47="",F47=""),"",IF(E47&gt;F47,C47,IF(F47&gt;E47,D47,IF(OR(G47="-",G47=""),"Empate",IF(G47&gt;H47,C47,D47)))))</f>
        <v/>
      </c>
    </row>
    <row r="48" ht="20" customHeight="1">
      <c r="A48" s="8" t="inlineStr">
        <is>
          <t>M045</t>
        </is>
      </c>
      <c r="B48" s="8" t="inlineStr">
        <is>
          <t>Grupo H</t>
        </is>
      </c>
      <c r="C48" s="9" t="inlineStr">
        <is>
          <t>Espana</t>
        </is>
      </c>
      <c r="D48" s="9" t="inlineStr">
        <is>
          <t>Arabia Saudi</t>
        </is>
      </c>
      <c r="E48" s="4" t="n"/>
      <c r="F48" s="4" t="n"/>
      <c r="G48" s="4" t="n"/>
      <c r="H48" s="4" t="n"/>
      <c r="I48" s="10">
        <f>IF(OR(E48="",F48=""),"",IF(E48&gt;F48,C48,IF(F48&gt;E48,D48,IF(OR(G48="-",G48=""),"Empate",IF(G48&gt;H48,C48,D48)))))</f>
        <v/>
      </c>
    </row>
    <row r="49" ht="20" customHeight="1">
      <c r="A49" s="8" t="inlineStr">
        <is>
          <t>M046</t>
        </is>
      </c>
      <c r="B49" s="8" t="inlineStr">
        <is>
          <t>Grupo H</t>
        </is>
      </c>
      <c r="C49" s="9" t="inlineStr">
        <is>
          <t>Cabo Verde</t>
        </is>
      </c>
      <c r="D49" s="9" t="inlineStr">
        <is>
          <t>Uruguay</t>
        </is>
      </c>
      <c r="E49" s="4" t="n"/>
      <c r="F49" s="4" t="n"/>
      <c r="G49" s="4" t="n"/>
      <c r="H49" s="4" t="n"/>
      <c r="I49" s="10">
        <f>IF(OR(E49="",F49=""),"",IF(E49&gt;F49,C49,IF(F49&gt;E49,D49,IF(OR(G49="-",G49=""),"Empate",IF(G49&gt;H49,C49,D49)))))</f>
        <v/>
      </c>
    </row>
    <row r="50" ht="20" customHeight="1">
      <c r="A50" s="8" t="inlineStr">
        <is>
          <t>M047</t>
        </is>
      </c>
      <c r="B50" s="8" t="inlineStr">
        <is>
          <t>Grupo H</t>
        </is>
      </c>
      <c r="C50" s="9" t="inlineStr">
        <is>
          <t>Uruguay</t>
        </is>
      </c>
      <c r="D50" s="9" t="inlineStr">
        <is>
          <t>Espana</t>
        </is>
      </c>
      <c r="E50" s="4" t="n"/>
      <c r="F50" s="4" t="n"/>
      <c r="G50" s="4" t="n"/>
      <c r="H50" s="4" t="n"/>
      <c r="I50" s="10">
        <f>IF(OR(E50="",F50=""),"",IF(E50&gt;F50,C50,IF(F50&gt;E50,D50,IF(OR(G50="-",G50=""),"Empate",IF(G50&gt;H50,C50,D50)))))</f>
        <v/>
      </c>
    </row>
    <row r="51" ht="20" customHeight="1">
      <c r="A51" s="8" t="inlineStr">
        <is>
          <t>M048</t>
        </is>
      </c>
      <c r="B51" s="8" t="inlineStr">
        <is>
          <t>Grupo H</t>
        </is>
      </c>
      <c r="C51" s="9" t="inlineStr">
        <is>
          <t>Cabo Verde</t>
        </is>
      </c>
      <c r="D51" s="9" t="inlineStr">
        <is>
          <t>Arabia Saudi</t>
        </is>
      </c>
      <c r="E51" s="4" t="n"/>
      <c r="F51" s="4" t="n"/>
      <c r="G51" s="4" t="n"/>
      <c r="H51" s="4" t="n"/>
      <c r="I51" s="10">
        <f>IF(OR(E51="",F51=""),"",IF(E51&gt;F51,C51,IF(F51&gt;E51,D51,IF(OR(G51="-",G51=""),"Empate",IF(G51&gt;H51,C51,D51)))))</f>
        <v/>
      </c>
    </row>
    <row r="52" ht="20" customHeight="1">
      <c r="A52" s="8" t="inlineStr">
        <is>
          <t>M049</t>
        </is>
      </c>
      <c r="B52" s="8" t="inlineStr">
        <is>
          <t>Grupo I</t>
        </is>
      </c>
      <c r="C52" s="9" t="inlineStr">
        <is>
          <t>Francia</t>
        </is>
      </c>
      <c r="D52" s="9" t="inlineStr">
        <is>
          <t>Senegal</t>
        </is>
      </c>
      <c r="E52" s="4" t="n"/>
      <c r="F52" s="4" t="n"/>
      <c r="G52" s="4" t="n"/>
      <c r="H52" s="4" t="n"/>
      <c r="I52" s="10">
        <f>IF(OR(E52="",F52=""),"",IF(E52&gt;F52,C52,IF(F52&gt;E52,D52,IF(OR(G52="-",G52=""),"Empate",IF(G52&gt;H52,C52,D52)))))</f>
        <v/>
      </c>
    </row>
    <row r="53" ht="20" customHeight="1">
      <c r="A53" s="8" t="inlineStr">
        <is>
          <t>M050</t>
        </is>
      </c>
      <c r="B53" s="8" t="inlineStr">
        <is>
          <t>Grupo I</t>
        </is>
      </c>
      <c r="C53" s="9" t="inlineStr">
        <is>
          <t>Noruega</t>
        </is>
      </c>
      <c r="D53" s="9" t="inlineStr">
        <is>
          <t>Irak</t>
        </is>
      </c>
      <c r="E53" s="4" t="n"/>
      <c r="F53" s="4" t="n"/>
      <c r="G53" s="4" t="n"/>
      <c r="H53" s="4" t="n"/>
      <c r="I53" s="10">
        <f>IF(OR(E53="",F53=""),"",IF(E53&gt;F53,C53,IF(F53&gt;E53,D53,IF(OR(G53="-",G53=""),"Empate",IF(G53&gt;H53,C53,D53)))))</f>
        <v/>
      </c>
    </row>
    <row r="54" ht="20" customHeight="1">
      <c r="A54" s="8" t="inlineStr">
        <is>
          <t>M051</t>
        </is>
      </c>
      <c r="B54" s="8" t="inlineStr">
        <is>
          <t>Grupo I</t>
        </is>
      </c>
      <c r="C54" s="9" t="inlineStr">
        <is>
          <t>Francia</t>
        </is>
      </c>
      <c r="D54" s="9" t="inlineStr">
        <is>
          <t>Noruega</t>
        </is>
      </c>
      <c r="E54" s="4" t="n"/>
      <c r="F54" s="4" t="n"/>
      <c r="G54" s="4" t="n"/>
      <c r="H54" s="4" t="n"/>
      <c r="I54" s="10">
        <f>IF(OR(E54="",F54=""),"",IF(E54&gt;F54,C54,IF(F54&gt;E54,D54,IF(OR(G54="-",G54=""),"Empate",IF(G54&gt;H54,C54,D54)))))</f>
        <v/>
      </c>
    </row>
    <row r="55" ht="20" customHeight="1">
      <c r="A55" s="8" t="inlineStr">
        <is>
          <t>M052</t>
        </is>
      </c>
      <c r="B55" s="8" t="inlineStr">
        <is>
          <t>Grupo I</t>
        </is>
      </c>
      <c r="C55" s="9" t="inlineStr">
        <is>
          <t>Senegal</t>
        </is>
      </c>
      <c r="D55" s="9" t="inlineStr">
        <is>
          <t>Irak</t>
        </is>
      </c>
      <c r="E55" s="4" t="n"/>
      <c r="F55" s="4" t="n"/>
      <c r="G55" s="4" t="n"/>
      <c r="H55" s="4" t="n"/>
      <c r="I55" s="10">
        <f>IF(OR(E55="",F55=""),"",IF(E55&gt;F55,C55,IF(F55&gt;E55,D55,IF(OR(G55="-",G55=""),"Empate",IF(G55&gt;H55,C55,D55)))))</f>
        <v/>
      </c>
    </row>
    <row r="56" ht="20" customHeight="1">
      <c r="A56" s="8" t="inlineStr">
        <is>
          <t>M053</t>
        </is>
      </c>
      <c r="B56" s="8" t="inlineStr">
        <is>
          <t>Grupo I</t>
        </is>
      </c>
      <c r="C56" s="9" t="inlineStr">
        <is>
          <t>Irak</t>
        </is>
      </c>
      <c r="D56" s="9" t="inlineStr">
        <is>
          <t>Francia</t>
        </is>
      </c>
      <c r="E56" s="4" t="n"/>
      <c r="F56" s="4" t="n"/>
      <c r="G56" s="4" t="n"/>
      <c r="H56" s="4" t="n"/>
      <c r="I56" s="10">
        <f>IF(OR(E56="",F56=""),"",IF(E56&gt;F56,C56,IF(F56&gt;E56,D56,IF(OR(G56="-",G56=""),"Empate",IF(G56&gt;H56,C56,D56)))))</f>
        <v/>
      </c>
    </row>
    <row r="57" ht="20" customHeight="1">
      <c r="A57" s="8" t="inlineStr">
        <is>
          <t>M054</t>
        </is>
      </c>
      <c r="B57" s="8" t="inlineStr">
        <is>
          <t>Grupo I</t>
        </is>
      </c>
      <c r="C57" s="9" t="inlineStr">
        <is>
          <t>Senegal</t>
        </is>
      </c>
      <c r="D57" s="9" t="inlineStr">
        <is>
          <t>Noruega</t>
        </is>
      </c>
      <c r="E57" s="4" t="n"/>
      <c r="F57" s="4" t="n"/>
      <c r="G57" s="4" t="n"/>
      <c r="H57" s="4" t="n"/>
      <c r="I57" s="10">
        <f>IF(OR(E57="",F57=""),"",IF(E57&gt;F57,C57,IF(F57&gt;E57,D57,IF(OR(G57="-",G57=""),"Empate",IF(G57&gt;H57,C57,D57)))))</f>
        <v/>
      </c>
    </row>
    <row r="58" ht="20" customHeight="1">
      <c r="A58" s="8" t="inlineStr">
        <is>
          <t>M055</t>
        </is>
      </c>
      <c r="B58" s="8" t="inlineStr">
        <is>
          <t>Grupo J</t>
        </is>
      </c>
      <c r="C58" s="9" t="inlineStr">
        <is>
          <t>Argentina</t>
        </is>
      </c>
      <c r="D58" s="9" t="inlineStr">
        <is>
          <t>Argelia</t>
        </is>
      </c>
      <c r="E58" s="4" t="n"/>
      <c r="F58" s="4" t="n"/>
      <c r="G58" s="4" t="n"/>
      <c r="H58" s="4" t="n"/>
      <c r="I58" s="10">
        <f>IF(OR(E58="",F58=""),"",IF(E58&gt;F58,C58,IF(F58&gt;E58,D58,IF(OR(G58="-",G58=""),"Empate",IF(G58&gt;H58,C58,D58)))))</f>
        <v/>
      </c>
    </row>
    <row r="59" ht="20" customHeight="1">
      <c r="A59" s="8" t="inlineStr">
        <is>
          <t>M056</t>
        </is>
      </c>
      <c r="B59" s="8" t="inlineStr">
        <is>
          <t>Grupo J</t>
        </is>
      </c>
      <c r="C59" s="9" t="inlineStr">
        <is>
          <t>Austria</t>
        </is>
      </c>
      <c r="D59" s="9" t="inlineStr">
        <is>
          <t>Jordania</t>
        </is>
      </c>
      <c r="E59" s="4" t="n"/>
      <c r="F59" s="4" t="n"/>
      <c r="G59" s="4" t="n"/>
      <c r="H59" s="4" t="n"/>
      <c r="I59" s="10">
        <f>IF(OR(E59="",F59=""),"",IF(E59&gt;F59,C59,IF(F59&gt;E59,D59,IF(OR(G59="-",G59=""),"Empate",IF(G59&gt;H59,C59,D59)))))</f>
        <v/>
      </c>
    </row>
    <row r="60" ht="20" customHeight="1">
      <c r="A60" s="8" t="inlineStr">
        <is>
          <t>M057</t>
        </is>
      </c>
      <c r="B60" s="8" t="inlineStr">
        <is>
          <t>Grupo J</t>
        </is>
      </c>
      <c r="C60" s="9" t="inlineStr">
        <is>
          <t>Argentina</t>
        </is>
      </c>
      <c r="D60" s="9" t="inlineStr">
        <is>
          <t>Austria</t>
        </is>
      </c>
      <c r="E60" s="4" t="n"/>
      <c r="F60" s="4" t="n"/>
      <c r="G60" s="4" t="n"/>
      <c r="H60" s="4" t="n"/>
      <c r="I60" s="10">
        <f>IF(OR(E60="",F60=""),"",IF(E60&gt;F60,C60,IF(F60&gt;E60,D60,IF(OR(G60="-",G60=""),"Empate",IF(G60&gt;H60,C60,D60)))))</f>
        <v/>
      </c>
    </row>
    <row r="61" ht="20" customHeight="1">
      <c r="A61" s="8" t="inlineStr">
        <is>
          <t>M058</t>
        </is>
      </c>
      <c r="B61" s="8" t="inlineStr">
        <is>
          <t>Grupo J</t>
        </is>
      </c>
      <c r="C61" s="9" t="inlineStr">
        <is>
          <t>Argelia</t>
        </is>
      </c>
      <c r="D61" s="9" t="inlineStr">
        <is>
          <t>Jordania</t>
        </is>
      </c>
      <c r="E61" s="4" t="n"/>
      <c r="F61" s="4" t="n"/>
      <c r="G61" s="4" t="n"/>
      <c r="H61" s="4" t="n"/>
      <c r="I61" s="10">
        <f>IF(OR(E61="",F61=""),"",IF(E61&gt;F61,C61,IF(F61&gt;E61,D61,IF(OR(G61="-",G61=""),"Empate",IF(G61&gt;H61,C61,D61)))))</f>
        <v/>
      </c>
    </row>
    <row r="62" ht="20" customHeight="1">
      <c r="A62" s="8" t="inlineStr">
        <is>
          <t>M059</t>
        </is>
      </c>
      <c r="B62" s="8" t="inlineStr">
        <is>
          <t>Grupo J</t>
        </is>
      </c>
      <c r="C62" s="9" t="inlineStr">
        <is>
          <t>Jordania</t>
        </is>
      </c>
      <c r="D62" s="9" t="inlineStr">
        <is>
          <t>Argentina</t>
        </is>
      </c>
      <c r="E62" s="4" t="n"/>
      <c r="F62" s="4" t="n"/>
      <c r="G62" s="4" t="n"/>
      <c r="H62" s="4" t="n"/>
      <c r="I62" s="10">
        <f>IF(OR(E62="",F62=""),"",IF(E62&gt;F62,C62,IF(F62&gt;E62,D62,IF(OR(G62="-",G62=""),"Empate",IF(G62&gt;H62,C62,D62)))))</f>
        <v/>
      </c>
    </row>
    <row r="63" ht="20" customHeight="1">
      <c r="A63" s="8" t="inlineStr">
        <is>
          <t>M060</t>
        </is>
      </c>
      <c r="B63" s="8" t="inlineStr">
        <is>
          <t>Grupo J</t>
        </is>
      </c>
      <c r="C63" s="9" t="inlineStr">
        <is>
          <t>Argelia</t>
        </is>
      </c>
      <c r="D63" s="9" t="inlineStr">
        <is>
          <t>Austria</t>
        </is>
      </c>
      <c r="E63" s="4" t="n"/>
      <c r="F63" s="4" t="n"/>
      <c r="G63" s="4" t="n"/>
      <c r="H63" s="4" t="n"/>
      <c r="I63" s="10">
        <f>IF(OR(E63="",F63=""),"",IF(E63&gt;F63,C63,IF(F63&gt;E63,D63,IF(OR(G63="-",G63=""),"Empate",IF(G63&gt;H63,C63,D63)))))</f>
        <v/>
      </c>
    </row>
    <row r="64" ht="20" customHeight="1">
      <c r="A64" s="8" t="inlineStr">
        <is>
          <t>M061</t>
        </is>
      </c>
      <c r="B64" s="8" t="inlineStr">
        <is>
          <t>Grupo K</t>
        </is>
      </c>
      <c r="C64" s="9" t="inlineStr">
        <is>
          <t>Portugal</t>
        </is>
      </c>
      <c r="D64" s="9" t="inlineStr">
        <is>
          <t>RD Congo</t>
        </is>
      </c>
      <c r="E64" s="4" t="n"/>
      <c r="F64" s="4" t="n"/>
      <c r="G64" s="4" t="n"/>
      <c r="H64" s="4" t="n"/>
      <c r="I64" s="10">
        <f>IF(OR(E64="",F64=""),"",IF(E64&gt;F64,C64,IF(F64&gt;E64,D64,IF(OR(G64="-",G64=""),"Empate",IF(G64&gt;H64,C64,D64)))))</f>
        <v/>
      </c>
    </row>
    <row r="65" ht="20" customHeight="1">
      <c r="A65" s="8" t="inlineStr">
        <is>
          <t>M062</t>
        </is>
      </c>
      <c r="B65" s="8" t="inlineStr">
        <is>
          <t>Grupo K</t>
        </is>
      </c>
      <c r="C65" s="9" t="inlineStr">
        <is>
          <t>Uzbekistan</t>
        </is>
      </c>
      <c r="D65" s="9" t="inlineStr">
        <is>
          <t>Colombia</t>
        </is>
      </c>
      <c r="E65" s="4" t="n"/>
      <c r="F65" s="4" t="n"/>
      <c r="G65" s="4" t="n"/>
      <c r="H65" s="4" t="n"/>
      <c r="I65" s="10">
        <f>IF(OR(E65="",F65=""),"",IF(E65&gt;F65,C65,IF(F65&gt;E65,D65,IF(OR(G65="-",G65=""),"Empate",IF(G65&gt;H65,C65,D65)))))</f>
        <v/>
      </c>
    </row>
    <row r="66" ht="20" customHeight="1">
      <c r="A66" s="8" t="inlineStr">
        <is>
          <t>M063</t>
        </is>
      </c>
      <c r="B66" s="8" t="inlineStr">
        <is>
          <t>Grupo K</t>
        </is>
      </c>
      <c r="C66" s="9" t="inlineStr">
        <is>
          <t>Portugal</t>
        </is>
      </c>
      <c r="D66" s="9" t="inlineStr">
        <is>
          <t>Uzbekistan</t>
        </is>
      </c>
      <c r="E66" s="4" t="n"/>
      <c r="F66" s="4" t="n"/>
      <c r="G66" s="4" t="n"/>
      <c r="H66" s="4" t="n"/>
      <c r="I66" s="10">
        <f>IF(OR(E66="",F66=""),"",IF(E66&gt;F66,C66,IF(F66&gt;E66,D66,IF(OR(G66="-",G66=""),"Empate",IF(G66&gt;H66,C66,D66)))))</f>
        <v/>
      </c>
    </row>
    <row r="67" ht="20" customHeight="1">
      <c r="A67" s="8" t="inlineStr">
        <is>
          <t>M064</t>
        </is>
      </c>
      <c r="B67" s="8" t="inlineStr">
        <is>
          <t>Grupo K</t>
        </is>
      </c>
      <c r="C67" s="9" t="inlineStr">
        <is>
          <t>RD Congo</t>
        </is>
      </c>
      <c r="D67" s="9" t="inlineStr">
        <is>
          <t>Colombia</t>
        </is>
      </c>
      <c r="E67" s="4" t="n"/>
      <c r="F67" s="4" t="n"/>
      <c r="G67" s="4" t="n"/>
      <c r="H67" s="4" t="n"/>
      <c r="I67" s="10">
        <f>IF(OR(E67="",F67=""),"",IF(E67&gt;F67,C67,IF(F67&gt;E67,D67,IF(OR(G67="-",G67=""),"Empate",IF(G67&gt;H67,C67,D67)))))</f>
        <v/>
      </c>
    </row>
    <row r="68" ht="20" customHeight="1">
      <c r="A68" s="8" t="inlineStr">
        <is>
          <t>M065</t>
        </is>
      </c>
      <c r="B68" s="8" t="inlineStr">
        <is>
          <t>Grupo K</t>
        </is>
      </c>
      <c r="C68" s="9" t="inlineStr">
        <is>
          <t>Colombia</t>
        </is>
      </c>
      <c r="D68" s="9" t="inlineStr">
        <is>
          <t>Portugal</t>
        </is>
      </c>
      <c r="E68" s="4" t="n"/>
      <c r="F68" s="4" t="n"/>
      <c r="G68" s="4" t="n"/>
      <c r="H68" s="4" t="n"/>
      <c r="I68" s="10">
        <f>IF(OR(E68="",F68=""),"",IF(E68&gt;F68,C68,IF(F68&gt;E68,D68,IF(OR(G68="-",G68=""),"Empate",IF(G68&gt;H68,C68,D68)))))</f>
        <v/>
      </c>
    </row>
    <row r="69" ht="20" customHeight="1">
      <c r="A69" s="8" t="inlineStr">
        <is>
          <t>M066</t>
        </is>
      </c>
      <c r="B69" s="8" t="inlineStr">
        <is>
          <t>Grupo K</t>
        </is>
      </c>
      <c r="C69" s="9" t="inlineStr">
        <is>
          <t>RD Congo</t>
        </is>
      </c>
      <c r="D69" s="9" t="inlineStr">
        <is>
          <t>Uzbekistan</t>
        </is>
      </c>
      <c r="E69" s="4" t="n"/>
      <c r="F69" s="4" t="n"/>
      <c r="G69" s="4" t="n"/>
      <c r="H69" s="4" t="n"/>
      <c r="I69" s="10">
        <f>IF(OR(E69="",F69=""),"",IF(E69&gt;F69,C69,IF(F69&gt;E69,D69,IF(OR(G69="-",G69=""),"Empate",IF(G69&gt;H69,C69,D69)))))</f>
        <v/>
      </c>
    </row>
    <row r="70" ht="20" customHeight="1">
      <c r="A70" s="8" t="inlineStr">
        <is>
          <t>M067</t>
        </is>
      </c>
      <c r="B70" s="8" t="inlineStr">
        <is>
          <t>Grupo L</t>
        </is>
      </c>
      <c r="C70" s="9" t="inlineStr">
        <is>
          <t>Inglaterra</t>
        </is>
      </c>
      <c r="D70" s="9" t="inlineStr">
        <is>
          <t>Croacia</t>
        </is>
      </c>
      <c r="E70" s="4" t="n"/>
      <c r="F70" s="4" t="n"/>
      <c r="G70" s="4" t="n"/>
      <c r="H70" s="4" t="n"/>
      <c r="I70" s="10">
        <f>IF(OR(E70="",F70=""),"",IF(E70&gt;F70,C70,IF(F70&gt;E70,D70,IF(OR(G70="-",G70=""),"Empate",IF(G70&gt;H70,C70,D70)))))</f>
        <v/>
      </c>
    </row>
    <row r="71" ht="20" customHeight="1">
      <c r="A71" s="8" t="inlineStr">
        <is>
          <t>M068</t>
        </is>
      </c>
      <c r="B71" s="8" t="inlineStr">
        <is>
          <t>Grupo L</t>
        </is>
      </c>
      <c r="C71" s="9" t="inlineStr">
        <is>
          <t>Ghana</t>
        </is>
      </c>
      <c r="D71" s="9" t="inlineStr">
        <is>
          <t>Panama</t>
        </is>
      </c>
      <c r="E71" s="4" t="n"/>
      <c r="F71" s="4" t="n"/>
      <c r="G71" s="4" t="n"/>
      <c r="H71" s="4" t="n"/>
      <c r="I71" s="10">
        <f>IF(OR(E71="",F71=""),"",IF(E71&gt;F71,C71,IF(F71&gt;E71,D71,IF(OR(G71="-",G71=""),"Empate",IF(G71&gt;H71,C71,D71)))))</f>
        <v/>
      </c>
    </row>
    <row r="72" ht="20" customHeight="1">
      <c r="A72" s="8" t="inlineStr">
        <is>
          <t>M069</t>
        </is>
      </c>
      <c r="B72" s="8" t="inlineStr">
        <is>
          <t>Grupo L</t>
        </is>
      </c>
      <c r="C72" s="9" t="inlineStr">
        <is>
          <t>Inglaterra</t>
        </is>
      </c>
      <c r="D72" s="9" t="inlineStr">
        <is>
          <t>Ghana</t>
        </is>
      </c>
      <c r="E72" s="4" t="n"/>
      <c r="F72" s="4" t="n"/>
      <c r="G72" s="4" t="n"/>
      <c r="H72" s="4" t="n"/>
      <c r="I72" s="10">
        <f>IF(OR(E72="",F72=""),"",IF(E72&gt;F72,C72,IF(F72&gt;E72,D72,IF(OR(G72="-",G72=""),"Empate",IF(G72&gt;H72,C72,D72)))))</f>
        <v/>
      </c>
    </row>
    <row r="73" ht="20" customHeight="1">
      <c r="A73" s="8" t="inlineStr">
        <is>
          <t>M070</t>
        </is>
      </c>
      <c r="B73" s="8" t="inlineStr">
        <is>
          <t>Grupo L</t>
        </is>
      </c>
      <c r="C73" s="9" t="inlineStr">
        <is>
          <t>Croacia</t>
        </is>
      </c>
      <c r="D73" s="9" t="inlineStr">
        <is>
          <t>Panama</t>
        </is>
      </c>
      <c r="E73" s="4" t="n"/>
      <c r="F73" s="4" t="n"/>
      <c r="G73" s="4" t="n"/>
      <c r="H73" s="4" t="n"/>
      <c r="I73" s="10">
        <f>IF(OR(E73="",F73=""),"",IF(E73&gt;F73,C73,IF(F73&gt;E73,D73,IF(OR(G73="-",G73=""),"Empate",IF(G73&gt;H73,C73,D73)))))</f>
        <v/>
      </c>
    </row>
    <row r="74" ht="20" customHeight="1">
      <c r="A74" s="8" t="inlineStr">
        <is>
          <t>M071</t>
        </is>
      </c>
      <c r="B74" s="8" t="inlineStr">
        <is>
          <t>Grupo L</t>
        </is>
      </c>
      <c r="C74" s="9" t="inlineStr">
        <is>
          <t>Panama</t>
        </is>
      </c>
      <c r="D74" s="9" t="inlineStr">
        <is>
          <t>Inglaterra</t>
        </is>
      </c>
      <c r="E74" s="4" t="n"/>
      <c r="F74" s="4" t="n"/>
      <c r="G74" s="4" t="n"/>
      <c r="H74" s="4" t="n"/>
      <c r="I74" s="10">
        <f>IF(OR(E74="",F74=""),"",IF(E74&gt;F74,C74,IF(F74&gt;E74,D74,IF(OR(G74="-",G74=""),"Empate",IF(G74&gt;H74,C74,D74)))))</f>
        <v/>
      </c>
    </row>
    <row r="75" ht="20" customHeight="1">
      <c r="A75" s="8" t="inlineStr">
        <is>
          <t>M072</t>
        </is>
      </c>
      <c r="B75" s="8" t="inlineStr">
        <is>
          <t>Grupo L</t>
        </is>
      </c>
      <c r="C75" s="9" t="inlineStr">
        <is>
          <t>Croacia</t>
        </is>
      </c>
      <c r="D75" s="9" t="inlineStr">
        <is>
          <t>Ghana</t>
        </is>
      </c>
      <c r="E75" s="4" t="n"/>
      <c r="F75" s="4" t="n"/>
      <c r="G75" s="4" t="n"/>
      <c r="H75" s="4" t="n"/>
      <c r="I75" s="10">
        <f>IF(OR(E75="",F75=""),"",IF(E75&gt;F75,C75,IF(F75&gt;E75,D75,IF(OR(G75="-",G75=""),"Empate",IF(G75&gt;H75,C75,D75)))))</f>
        <v/>
      </c>
    </row>
    <row r="76" ht="20" customHeight="1">
      <c r="A76" s="8" t="inlineStr">
        <is>
          <t>M73</t>
        </is>
      </c>
      <c r="B76" s="8" t="inlineStr">
        <is>
          <t>Dieciseisavos</t>
        </is>
      </c>
      <c r="C76" s="9" t="inlineStr">
        <is>
          <t>Local M73</t>
        </is>
      </c>
      <c r="D76" s="9" t="inlineStr">
        <is>
          <t>Visitante M73</t>
        </is>
      </c>
      <c r="E76" s="4" t="n"/>
      <c r="F76" s="4" t="n"/>
      <c r="G76" s="4" t="n"/>
      <c r="H76" s="4" t="n"/>
      <c r="I76" s="10">
        <f>IF(OR(E76="",F76=""),"",IF(E76&gt;F76,C76,IF(F76&gt;E76,D76,IF(OR(G76="-",G76=""),"Empate",IF(G76&gt;H76,C76,D76)))))</f>
        <v/>
      </c>
    </row>
    <row r="77" ht="20" customHeight="1">
      <c r="A77" s="8" t="inlineStr">
        <is>
          <t>M74</t>
        </is>
      </c>
      <c r="B77" s="8" t="inlineStr">
        <is>
          <t>Dieciseisavos</t>
        </is>
      </c>
      <c r="C77" s="9" t="inlineStr">
        <is>
          <t>Local M74</t>
        </is>
      </c>
      <c r="D77" s="9" t="inlineStr">
        <is>
          <t>Visitante M74</t>
        </is>
      </c>
      <c r="E77" s="4" t="n"/>
      <c r="F77" s="4" t="n"/>
      <c r="G77" s="4" t="n"/>
      <c r="H77" s="4" t="n"/>
      <c r="I77" s="10">
        <f>IF(OR(E77="",F77=""),"",IF(E77&gt;F77,C77,IF(F77&gt;E77,D77,IF(OR(G77="-",G77=""),"Empate",IF(G77&gt;H77,C77,D77)))))</f>
        <v/>
      </c>
    </row>
    <row r="78" ht="20" customHeight="1">
      <c r="A78" s="8" t="inlineStr">
        <is>
          <t>M75</t>
        </is>
      </c>
      <c r="B78" s="8" t="inlineStr">
        <is>
          <t>Dieciseisavos</t>
        </is>
      </c>
      <c r="C78" s="9" t="inlineStr">
        <is>
          <t>Local M75</t>
        </is>
      </c>
      <c r="D78" s="9" t="inlineStr">
        <is>
          <t>Visitante M75</t>
        </is>
      </c>
      <c r="E78" s="4" t="n"/>
      <c r="F78" s="4" t="n"/>
      <c r="G78" s="4" t="n"/>
      <c r="H78" s="4" t="n"/>
      <c r="I78" s="10">
        <f>IF(OR(E78="",F78=""),"",IF(E78&gt;F78,C78,IF(F78&gt;E78,D78,IF(OR(G78="-",G78=""),"Empate",IF(G78&gt;H78,C78,D78)))))</f>
        <v/>
      </c>
    </row>
    <row r="79" ht="20" customHeight="1">
      <c r="A79" s="8" t="inlineStr">
        <is>
          <t>M76</t>
        </is>
      </c>
      <c r="B79" s="8" t="inlineStr">
        <is>
          <t>Dieciseisavos</t>
        </is>
      </c>
      <c r="C79" s="9" t="inlineStr">
        <is>
          <t>Local M76</t>
        </is>
      </c>
      <c r="D79" s="9" t="inlineStr">
        <is>
          <t>Visitante M76</t>
        </is>
      </c>
      <c r="E79" s="4" t="n"/>
      <c r="F79" s="4" t="n"/>
      <c r="G79" s="4" t="n"/>
      <c r="H79" s="4" t="n"/>
      <c r="I79" s="10">
        <f>IF(OR(E79="",F79=""),"",IF(E79&gt;F79,C79,IF(F79&gt;E79,D79,IF(OR(G79="-",G79=""),"Empate",IF(G79&gt;H79,C79,D79)))))</f>
        <v/>
      </c>
    </row>
    <row r="80" ht="20" customHeight="1">
      <c r="A80" s="8" t="inlineStr">
        <is>
          <t>M77</t>
        </is>
      </c>
      <c r="B80" s="8" t="inlineStr">
        <is>
          <t>Dieciseisavos</t>
        </is>
      </c>
      <c r="C80" s="9" t="inlineStr">
        <is>
          <t>Local M77</t>
        </is>
      </c>
      <c r="D80" s="9" t="inlineStr">
        <is>
          <t>Visitante M77</t>
        </is>
      </c>
      <c r="E80" s="4" t="n"/>
      <c r="F80" s="4" t="n"/>
      <c r="G80" s="4" t="n"/>
      <c r="H80" s="4" t="n"/>
      <c r="I80" s="10">
        <f>IF(OR(E80="",F80=""),"",IF(E80&gt;F80,C80,IF(F80&gt;E80,D80,IF(OR(G80="-",G80=""),"Empate",IF(G80&gt;H80,C80,D80)))))</f>
        <v/>
      </c>
    </row>
    <row r="81" ht="20" customHeight="1">
      <c r="A81" s="8" t="inlineStr">
        <is>
          <t>M78</t>
        </is>
      </c>
      <c r="B81" s="8" t="inlineStr">
        <is>
          <t>Dieciseisavos</t>
        </is>
      </c>
      <c r="C81" s="9" t="inlineStr">
        <is>
          <t>Local M78</t>
        </is>
      </c>
      <c r="D81" s="9" t="inlineStr">
        <is>
          <t>Visitante M78</t>
        </is>
      </c>
      <c r="E81" s="4" t="n"/>
      <c r="F81" s="4" t="n"/>
      <c r="G81" s="4" t="n"/>
      <c r="H81" s="4" t="n"/>
      <c r="I81" s="10">
        <f>IF(OR(E81="",F81=""),"",IF(E81&gt;F81,C81,IF(F81&gt;E81,D81,IF(OR(G81="-",G81=""),"Empate",IF(G81&gt;H81,C81,D81)))))</f>
        <v/>
      </c>
    </row>
    <row r="82" ht="20" customHeight="1">
      <c r="A82" s="8" t="inlineStr">
        <is>
          <t>M79</t>
        </is>
      </c>
      <c r="B82" s="8" t="inlineStr">
        <is>
          <t>Dieciseisavos</t>
        </is>
      </c>
      <c r="C82" s="9" t="inlineStr">
        <is>
          <t>Local M79</t>
        </is>
      </c>
      <c r="D82" s="9" t="inlineStr">
        <is>
          <t>Visitante M79</t>
        </is>
      </c>
      <c r="E82" s="4" t="n"/>
      <c r="F82" s="4" t="n"/>
      <c r="G82" s="4" t="n"/>
      <c r="H82" s="4" t="n"/>
      <c r="I82" s="10">
        <f>IF(OR(E82="",F82=""),"",IF(E82&gt;F82,C82,IF(F82&gt;E82,D82,IF(OR(G82="-",G82=""),"Empate",IF(G82&gt;H82,C82,D82)))))</f>
        <v/>
      </c>
    </row>
    <row r="83" ht="20" customHeight="1">
      <c r="A83" s="8" t="inlineStr">
        <is>
          <t>M80</t>
        </is>
      </c>
      <c r="B83" s="8" t="inlineStr">
        <is>
          <t>Dieciseisavos</t>
        </is>
      </c>
      <c r="C83" s="9" t="inlineStr">
        <is>
          <t>Local M80</t>
        </is>
      </c>
      <c r="D83" s="9" t="inlineStr">
        <is>
          <t>Visitante M80</t>
        </is>
      </c>
      <c r="E83" s="4" t="n"/>
      <c r="F83" s="4" t="n"/>
      <c r="G83" s="4" t="n"/>
      <c r="H83" s="4" t="n"/>
      <c r="I83" s="10">
        <f>IF(OR(E83="",F83=""),"",IF(E83&gt;F83,C83,IF(F83&gt;E83,D83,IF(OR(G83="-",G83=""),"Empate",IF(G83&gt;H83,C83,D83)))))</f>
        <v/>
      </c>
    </row>
    <row r="84" ht="20" customHeight="1">
      <c r="A84" s="8" t="inlineStr">
        <is>
          <t>M81</t>
        </is>
      </c>
      <c r="B84" s="8" t="inlineStr">
        <is>
          <t>Dieciseisavos</t>
        </is>
      </c>
      <c r="C84" s="9" t="inlineStr">
        <is>
          <t>Local M81</t>
        </is>
      </c>
      <c r="D84" s="9" t="inlineStr">
        <is>
          <t>Visitante M81</t>
        </is>
      </c>
      <c r="E84" s="4" t="n"/>
      <c r="F84" s="4" t="n"/>
      <c r="G84" s="4" t="n"/>
      <c r="H84" s="4" t="n"/>
      <c r="I84" s="10">
        <f>IF(OR(E84="",F84=""),"",IF(E84&gt;F84,C84,IF(F84&gt;E84,D84,IF(OR(G84="-",G84=""),"Empate",IF(G84&gt;H84,C84,D84)))))</f>
        <v/>
      </c>
    </row>
    <row r="85" ht="20" customHeight="1">
      <c r="A85" s="8" t="inlineStr">
        <is>
          <t>M82</t>
        </is>
      </c>
      <c r="B85" s="8" t="inlineStr">
        <is>
          <t>Dieciseisavos</t>
        </is>
      </c>
      <c r="C85" s="9" t="inlineStr">
        <is>
          <t>Local M82</t>
        </is>
      </c>
      <c r="D85" s="9" t="inlineStr">
        <is>
          <t>Visitante M82</t>
        </is>
      </c>
      <c r="E85" s="4" t="n"/>
      <c r="F85" s="4" t="n"/>
      <c r="G85" s="4" t="n"/>
      <c r="H85" s="4" t="n"/>
      <c r="I85" s="10">
        <f>IF(OR(E85="",F85=""),"",IF(E85&gt;F85,C85,IF(F85&gt;E85,D85,IF(OR(G85="-",G85=""),"Empate",IF(G85&gt;H85,C85,D85)))))</f>
        <v/>
      </c>
    </row>
    <row r="86" ht="20" customHeight="1">
      <c r="A86" s="8" t="inlineStr">
        <is>
          <t>M83</t>
        </is>
      </c>
      <c r="B86" s="8" t="inlineStr">
        <is>
          <t>Dieciseisavos</t>
        </is>
      </c>
      <c r="C86" s="9" t="inlineStr">
        <is>
          <t>Local M83</t>
        </is>
      </c>
      <c r="D86" s="9" t="inlineStr">
        <is>
          <t>Visitante M83</t>
        </is>
      </c>
      <c r="E86" s="4" t="n"/>
      <c r="F86" s="4" t="n"/>
      <c r="G86" s="4" t="n"/>
      <c r="H86" s="4" t="n"/>
      <c r="I86" s="10">
        <f>IF(OR(E86="",F86=""),"",IF(E86&gt;F86,C86,IF(F86&gt;E86,D86,IF(OR(G86="-",G86=""),"Empate",IF(G86&gt;H86,C86,D86)))))</f>
        <v/>
      </c>
    </row>
    <row r="87" ht="20" customHeight="1">
      <c r="A87" s="8" t="inlineStr">
        <is>
          <t>M84</t>
        </is>
      </c>
      <c r="B87" s="8" t="inlineStr">
        <is>
          <t>Dieciseisavos</t>
        </is>
      </c>
      <c r="C87" s="9" t="inlineStr">
        <is>
          <t>Local M84</t>
        </is>
      </c>
      <c r="D87" s="9" t="inlineStr">
        <is>
          <t>Visitante M84</t>
        </is>
      </c>
      <c r="E87" s="4" t="n"/>
      <c r="F87" s="4" t="n"/>
      <c r="G87" s="4" t="n"/>
      <c r="H87" s="4" t="n"/>
      <c r="I87" s="10">
        <f>IF(OR(E87="",F87=""),"",IF(E87&gt;F87,C87,IF(F87&gt;E87,D87,IF(OR(G87="-",G87=""),"Empate",IF(G87&gt;H87,C87,D87)))))</f>
        <v/>
      </c>
    </row>
    <row r="88" ht="20" customHeight="1">
      <c r="A88" s="8" t="inlineStr">
        <is>
          <t>M85</t>
        </is>
      </c>
      <c r="B88" s="8" t="inlineStr">
        <is>
          <t>Dieciseisavos</t>
        </is>
      </c>
      <c r="C88" s="9" t="inlineStr">
        <is>
          <t>Local M85</t>
        </is>
      </c>
      <c r="D88" s="9" t="inlineStr">
        <is>
          <t>Visitante M85</t>
        </is>
      </c>
      <c r="E88" s="4" t="n"/>
      <c r="F88" s="4" t="n"/>
      <c r="G88" s="4" t="n"/>
      <c r="H88" s="4" t="n"/>
      <c r="I88" s="10">
        <f>IF(OR(E88="",F88=""),"",IF(E88&gt;F88,C88,IF(F88&gt;E88,D88,IF(OR(G88="-",G88=""),"Empate",IF(G88&gt;H88,C88,D88)))))</f>
        <v/>
      </c>
    </row>
    <row r="89" ht="20" customHeight="1">
      <c r="A89" s="8" t="inlineStr">
        <is>
          <t>M86</t>
        </is>
      </c>
      <c r="B89" s="8" t="inlineStr">
        <is>
          <t>Dieciseisavos</t>
        </is>
      </c>
      <c r="C89" s="9" t="inlineStr">
        <is>
          <t>Local M86</t>
        </is>
      </c>
      <c r="D89" s="9" t="inlineStr">
        <is>
          <t>Visitante M86</t>
        </is>
      </c>
      <c r="E89" s="4" t="n"/>
      <c r="F89" s="4" t="n"/>
      <c r="G89" s="4" t="n"/>
      <c r="H89" s="4" t="n"/>
      <c r="I89" s="10">
        <f>IF(OR(E89="",F89=""),"",IF(E89&gt;F89,C89,IF(F89&gt;E89,D89,IF(OR(G89="-",G89=""),"Empate",IF(G89&gt;H89,C89,D89)))))</f>
        <v/>
      </c>
    </row>
    <row r="90" ht="20" customHeight="1">
      <c r="A90" s="8" t="inlineStr">
        <is>
          <t>M87</t>
        </is>
      </c>
      <c r="B90" s="8" t="inlineStr">
        <is>
          <t>Dieciseisavos</t>
        </is>
      </c>
      <c r="C90" s="9" t="inlineStr">
        <is>
          <t>Local M87</t>
        </is>
      </c>
      <c r="D90" s="9" t="inlineStr">
        <is>
          <t>Visitante M87</t>
        </is>
      </c>
      <c r="E90" s="4" t="n"/>
      <c r="F90" s="4" t="n"/>
      <c r="G90" s="4" t="n"/>
      <c r="H90" s="4" t="n"/>
      <c r="I90" s="10">
        <f>IF(OR(E90="",F90=""),"",IF(E90&gt;F90,C90,IF(F90&gt;E90,D90,IF(OR(G90="-",G90=""),"Empate",IF(G90&gt;H90,C90,D90)))))</f>
        <v/>
      </c>
    </row>
    <row r="91" ht="20" customHeight="1">
      <c r="A91" s="8" t="inlineStr">
        <is>
          <t>M88</t>
        </is>
      </c>
      <c r="B91" s="8" t="inlineStr">
        <is>
          <t>Dieciseisavos</t>
        </is>
      </c>
      <c r="C91" s="9" t="inlineStr">
        <is>
          <t>Local M88</t>
        </is>
      </c>
      <c r="D91" s="9" t="inlineStr">
        <is>
          <t>Visitante M88</t>
        </is>
      </c>
      <c r="E91" s="4" t="n"/>
      <c r="F91" s="4" t="n"/>
      <c r="G91" s="4" t="n"/>
      <c r="H91" s="4" t="n"/>
      <c r="I91" s="10">
        <f>IF(OR(E91="",F91=""),"",IF(E91&gt;F91,C91,IF(F91&gt;E91,D91,IF(OR(G91="-",G91=""),"Empate",IF(G91&gt;H91,C91,D91)))))</f>
        <v/>
      </c>
    </row>
    <row r="92" ht="20" customHeight="1">
      <c r="A92" s="8" t="inlineStr">
        <is>
          <t>M89</t>
        </is>
      </c>
      <c r="B92" s="8" t="inlineStr">
        <is>
          <t>Octavos</t>
        </is>
      </c>
      <c r="C92" s="9" t="inlineStr">
        <is>
          <t>Local M89</t>
        </is>
      </c>
      <c r="D92" s="9" t="inlineStr">
        <is>
          <t>Visitante M89</t>
        </is>
      </c>
      <c r="E92" s="4" t="n"/>
      <c r="F92" s="4" t="n"/>
      <c r="G92" s="4" t="n"/>
      <c r="H92" s="4" t="n"/>
      <c r="I92" s="10">
        <f>IF(OR(E92="",F92=""),"",IF(E92&gt;F92,C92,IF(F92&gt;E92,D92,IF(OR(G92="-",G92=""),"Empate",IF(G92&gt;H92,C92,D92)))))</f>
        <v/>
      </c>
    </row>
    <row r="93" ht="20" customHeight="1">
      <c r="A93" s="8" t="inlineStr">
        <is>
          <t>M90</t>
        </is>
      </c>
      <c r="B93" s="8" t="inlineStr">
        <is>
          <t>Octavos</t>
        </is>
      </c>
      <c r="C93" s="9" t="inlineStr">
        <is>
          <t>Local M90</t>
        </is>
      </c>
      <c r="D93" s="9" t="inlineStr">
        <is>
          <t>Visitante M90</t>
        </is>
      </c>
      <c r="E93" s="4" t="n"/>
      <c r="F93" s="4" t="n"/>
      <c r="G93" s="4" t="n"/>
      <c r="H93" s="4" t="n"/>
      <c r="I93" s="10">
        <f>IF(OR(E93="",F93=""),"",IF(E93&gt;F93,C93,IF(F93&gt;E93,D93,IF(OR(G93="-",G93=""),"Empate",IF(G93&gt;H93,C93,D93)))))</f>
        <v/>
      </c>
    </row>
    <row r="94" ht="20" customHeight="1">
      <c r="A94" s="8" t="inlineStr">
        <is>
          <t>M91</t>
        </is>
      </c>
      <c r="B94" s="8" t="inlineStr">
        <is>
          <t>Octavos</t>
        </is>
      </c>
      <c r="C94" s="9" t="inlineStr">
        <is>
          <t>Local M91</t>
        </is>
      </c>
      <c r="D94" s="9" t="inlineStr">
        <is>
          <t>Visitante M91</t>
        </is>
      </c>
      <c r="E94" s="4" t="n"/>
      <c r="F94" s="4" t="n"/>
      <c r="G94" s="4" t="n"/>
      <c r="H94" s="4" t="n"/>
      <c r="I94" s="10">
        <f>IF(OR(E94="",F94=""),"",IF(E94&gt;F94,C94,IF(F94&gt;E94,D94,IF(OR(G94="-",G94=""),"Empate",IF(G94&gt;H94,C94,D94)))))</f>
        <v/>
      </c>
    </row>
    <row r="95" ht="20" customHeight="1">
      <c r="A95" s="8" t="inlineStr">
        <is>
          <t>M92</t>
        </is>
      </c>
      <c r="B95" s="8" t="inlineStr">
        <is>
          <t>Octavos</t>
        </is>
      </c>
      <c r="C95" s="9" t="inlineStr">
        <is>
          <t>Local M92</t>
        </is>
      </c>
      <c r="D95" s="9" t="inlineStr">
        <is>
          <t>Visitante M92</t>
        </is>
      </c>
      <c r="E95" s="4" t="n"/>
      <c r="F95" s="4" t="n"/>
      <c r="G95" s="4" t="n"/>
      <c r="H95" s="4" t="n"/>
      <c r="I95" s="10">
        <f>IF(OR(E95="",F95=""),"",IF(E95&gt;F95,C95,IF(F95&gt;E95,D95,IF(OR(G95="-",G95=""),"Empate",IF(G95&gt;H95,C95,D95)))))</f>
        <v/>
      </c>
    </row>
    <row r="96" ht="20" customHeight="1">
      <c r="A96" s="8" t="inlineStr">
        <is>
          <t>M93</t>
        </is>
      </c>
      <c r="B96" s="8" t="inlineStr">
        <is>
          <t>Octavos</t>
        </is>
      </c>
      <c r="C96" s="9" t="inlineStr">
        <is>
          <t>Local M93</t>
        </is>
      </c>
      <c r="D96" s="9" t="inlineStr">
        <is>
          <t>Visitante M93</t>
        </is>
      </c>
      <c r="E96" s="4" t="n"/>
      <c r="F96" s="4" t="n"/>
      <c r="G96" s="4" t="n"/>
      <c r="H96" s="4" t="n"/>
      <c r="I96" s="10">
        <f>IF(OR(E96="",F96=""),"",IF(E96&gt;F96,C96,IF(F96&gt;E96,D96,IF(OR(G96="-",G96=""),"Empate",IF(G96&gt;H96,C96,D96)))))</f>
        <v/>
      </c>
    </row>
    <row r="97" ht="20" customHeight="1">
      <c r="A97" s="8" t="inlineStr">
        <is>
          <t>M94</t>
        </is>
      </c>
      <c r="B97" s="8" t="inlineStr">
        <is>
          <t>Octavos</t>
        </is>
      </c>
      <c r="C97" s="9" t="inlineStr">
        <is>
          <t>Local M94</t>
        </is>
      </c>
      <c r="D97" s="9" t="inlineStr">
        <is>
          <t>Visitante M94</t>
        </is>
      </c>
      <c r="E97" s="4" t="n"/>
      <c r="F97" s="4" t="n"/>
      <c r="G97" s="4" t="n"/>
      <c r="H97" s="4" t="n"/>
      <c r="I97" s="10">
        <f>IF(OR(E97="",F97=""),"",IF(E97&gt;F97,C97,IF(F97&gt;E97,D97,IF(OR(G97="-",G97=""),"Empate",IF(G97&gt;H97,C97,D97)))))</f>
        <v/>
      </c>
    </row>
    <row r="98" ht="20" customHeight="1">
      <c r="A98" s="8" t="inlineStr">
        <is>
          <t>M95</t>
        </is>
      </c>
      <c r="B98" s="8" t="inlineStr">
        <is>
          <t>Octavos</t>
        </is>
      </c>
      <c r="C98" s="9" t="inlineStr">
        <is>
          <t>Local M95</t>
        </is>
      </c>
      <c r="D98" s="9" t="inlineStr">
        <is>
          <t>Visitante M95</t>
        </is>
      </c>
      <c r="E98" s="4" t="n"/>
      <c r="F98" s="4" t="n"/>
      <c r="G98" s="4" t="n"/>
      <c r="H98" s="4" t="n"/>
      <c r="I98" s="10">
        <f>IF(OR(E98="",F98=""),"",IF(E98&gt;F98,C98,IF(F98&gt;E98,D98,IF(OR(G98="-",G98=""),"Empate",IF(G98&gt;H98,C98,D98)))))</f>
        <v/>
      </c>
    </row>
    <row r="99" ht="20" customHeight="1">
      <c r="A99" s="8" t="inlineStr">
        <is>
          <t>M96</t>
        </is>
      </c>
      <c r="B99" s="8" t="inlineStr">
        <is>
          <t>Octavos</t>
        </is>
      </c>
      <c r="C99" s="9" t="inlineStr">
        <is>
          <t>Local M96</t>
        </is>
      </c>
      <c r="D99" s="9" t="inlineStr">
        <is>
          <t>Visitante M96</t>
        </is>
      </c>
      <c r="E99" s="4" t="n"/>
      <c r="F99" s="4" t="n"/>
      <c r="G99" s="4" t="n"/>
      <c r="H99" s="4" t="n"/>
      <c r="I99" s="10">
        <f>IF(OR(E99="",F99=""),"",IF(E99&gt;F99,C99,IF(F99&gt;E99,D99,IF(OR(G99="-",G99=""),"Empate",IF(G99&gt;H99,C99,D99)))))</f>
        <v/>
      </c>
    </row>
    <row r="100" ht="20" customHeight="1">
      <c r="A100" s="8" t="inlineStr">
        <is>
          <t>M97</t>
        </is>
      </c>
      <c r="B100" s="8" t="inlineStr">
        <is>
          <t>Cuartos</t>
        </is>
      </c>
      <c r="C100" s="9" t="inlineStr">
        <is>
          <t>Local M97</t>
        </is>
      </c>
      <c r="D100" s="9" t="inlineStr">
        <is>
          <t>Visitante M97</t>
        </is>
      </c>
      <c r="E100" s="4" t="n"/>
      <c r="F100" s="4" t="n"/>
      <c r="G100" s="4" t="n"/>
      <c r="H100" s="4" t="n"/>
      <c r="I100" s="10">
        <f>IF(OR(E100="",F100=""),"",IF(E100&gt;F100,C100,IF(F100&gt;E100,D100,IF(OR(G100="-",G100=""),"Empate",IF(G100&gt;H100,C100,D100)))))</f>
        <v/>
      </c>
    </row>
    <row r="101" ht="20" customHeight="1">
      <c r="A101" s="8" t="inlineStr">
        <is>
          <t>M98</t>
        </is>
      </c>
      <c r="B101" s="8" t="inlineStr">
        <is>
          <t>Cuartos</t>
        </is>
      </c>
      <c r="C101" s="9" t="inlineStr">
        <is>
          <t>Local M98</t>
        </is>
      </c>
      <c r="D101" s="9" t="inlineStr">
        <is>
          <t>Visitante M98</t>
        </is>
      </c>
      <c r="E101" s="4" t="n"/>
      <c r="F101" s="4" t="n"/>
      <c r="G101" s="4" t="n"/>
      <c r="H101" s="4" t="n"/>
      <c r="I101" s="10">
        <f>IF(OR(E101="",F101=""),"",IF(E101&gt;F101,C101,IF(F101&gt;E101,D101,IF(OR(G101="-",G101=""),"Empate",IF(G101&gt;H101,C101,D101)))))</f>
        <v/>
      </c>
    </row>
    <row r="102" ht="20" customHeight="1">
      <c r="A102" s="8" t="inlineStr">
        <is>
          <t>M99</t>
        </is>
      </c>
      <c r="B102" s="8" t="inlineStr">
        <is>
          <t>Cuartos</t>
        </is>
      </c>
      <c r="C102" s="9" t="inlineStr">
        <is>
          <t>Local M99</t>
        </is>
      </c>
      <c r="D102" s="9" t="inlineStr">
        <is>
          <t>Visitante M99</t>
        </is>
      </c>
      <c r="E102" s="4" t="n"/>
      <c r="F102" s="4" t="n"/>
      <c r="G102" s="4" t="n"/>
      <c r="H102" s="4" t="n"/>
      <c r="I102" s="10">
        <f>IF(OR(E102="",F102=""),"",IF(E102&gt;F102,C102,IF(F102&gt;E102,D102,IF(OR(G102="-",G102=""),"Empate",IF(G102&gt;H102,C102,D102)))))</f>
        <v/>
      </c>
    </row>
    <row r="103" ht="20" customHeight="1">
      <c r="A103" s="8" t="inlineStr">
        <is>
          <t>M100</t>
        </is>
      </c>
      <c r="B103" s="8" t="inlineStr">
        <is>
          <t>Cuartos</t>
        </is>
      </c>
      <c r="C103" s="9" t="inlineStr">
        <is>
          <t>Local M100</t>
        </is>
      </c>
      <c r="D103" s="9" t="inlineStr">
        <is>
          <t>Visitante M100</t>
        </is>
      </c>
      <c r="E103" s="4" t="n"/>
      <c r="F103" s="4" t="n"/>
      <c r="G103" s="4" t="n"/>
      <c r="H103" s="4" t="n"/>
      <c r="I103" s="10">
        <f>IF(OR(E103="",F103=""),"",IF(E103&gt;F103,C103,IF(F103&gt;E103,D103,IF(OR(G103="-",G103=""),"Empate",IF(G103&gt;H103,C103,D103)))))</f>
        <v/>
      </c>
    </row>
    <row r="104" ht="20" customHeight="1">
      <c r="A104" s="8" t="inlineStr">
        <is>
          <t>M101</t>
        </is>
      </c>
      <c r="B104" s="8" t="inlineStr">
        <is>
          <t>Semifinales</t>
        </is>
      </c>
      <c r="C104" s="9" t="inlineStr">
        <is>
          <t>Local M101</t>
        </is>
      </c>
      <c r="D104" s="9" t="inlineStr">
        <is>
          <t>Visitante M101</t>
        </is>
      </c>
      <c r="E104" s="4" t="n"/>
      <c r="F104" s="4" t="n"/>
      <c r="G104" s="4" t="n"/>
      <c r="H104" s="4" t="n"/>
      <c r="I104" s="10">
        <f>IF(OR(E104="",F104=""),"",IF(E104&gt;F104,C104,IF(F104&gt;E104,D104,IF(OR(G104="-",G104=""),"Empate",IF(G104&gt;H104,C104,D104)))))</f>
        <v/>
      </c>
    </row>
    <row r="105" ht="20" customHeight="1">
      <c r="A105" s="8" t="inlineStr">
        <is>
          <t>M102</t>
        </is>
      </c>
      <c r="B105" s="8" t="inlineStr">
        <is>
          <t>Semifinales</t>
        </is>
      </c>
      <c r="C105" s="9" t="inlineStr">
        <is>
          <t>Local M102</t>
        </is>
      </c>
      <c r="D105" s="9" t="inlineStr">
        <is>
          <t>Visitante M102</t>
        </is>
      </c>
      <c r="E105" s="4" t="n"/>
      <c r="F105" s="4" t="n"/>
      <c r="G105" s="4" t="n"/>
      <c r="H105" s="4" t="n"/>
      <c r="I105" s="10">
        <f>IF(OR(E105="",F105=""),"",IF(E105&gt;F105,C105,IF(F105&gt;E105,D105,IF(OR(G105="-",G105=""),"Empate",IF(G105&gt;H105,C105,D105)))))</f>
        <v/>
      </c>
    </row>
    <row r="106" ht="20" customHeight="1">
      <c r="A106" s="8" t="inlineStr">
        <is>
          <t>M103</t>
        </is>
      </c>
      <c r="B106" s="8" t="inlineStr">
        <is>
          <t>Finales</t>
        </is>
      </c>
      <c r="C106" s="9" t="inlineStr">
        <is>
          <t>Local M103</t>
        </is>
      </c>
      <c r="D106" s="9" t="inlineStr">
        <is>
          <t>Visitante M103</t>
        </is>
      </c>
      <c r="E106" s="4" t="n"/>
      <c r="F106" s="4" t="n"/>
      <c r="G106" s="4" t="n"/>
      <c r="H106" s="4" t="n"/>
      <c r="I106" s="10">
        <f>IF(OR(E106="",F106=""),"",IF(E106&gt;F106,C106,IF(F106&gt;E106,D106,IF(OR(G106="-",G106=""),"Empate",IF(G106&gt;H106,C106,D106)))))</f>
        <v/>
      </c>
    </row>
    <row r="107" ht="20" customHeight="1">
      <c r="A107" s="8" t="inlineStr">
        <is>
          <t>M104</t>
        </is>
      </c>
      <c r="B107" s="8" t="inlineStr">
        <is>
          <t>Finales</t>
        </is>
      </c>
      <c r="C107" s="9" t="inlineStr">
        <is>
          <t>Local M104</t>
        </is>
      </c>
      <c r="D107" s="9" t="inlineStr">
        <is>
          <t>Visitante M104</t>
        </is>
      </c>
      <c r="E107" s="4" t="n"/>
      <c r="F107" s="4" t="n"/>
      <c r="G107" s="4" t="n"/>
      <c r="H107" s="4" t="n"/>
      <c r="I107" s="10">
        <f>IF(OR(E107="",F107=""),"",IF(E107&gt;F107,C107,IF(F107&gt;E107,D107,IF(OR(G107="-",G107=""),"Empate",IF(G107&gt;H107,C107,D107)))))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BD5E0"/>
    <outlinePr summaryBelow="1" summaryRight="1"/>
    <pageSetUpPr/>
  </sheetPr>
  <dimension ref="A1:Q199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 ht="30" customHeight="1">
      <c r="A1" s="1" t="inlineStr">
        <is>
          <t>BASE DE DATOS DE PREDICCIONES IMPORTADAS</t>
        </is>
      </c>
    </row>
    <row r="3">
      <c r="A3" s="2" t="inlineStr">
        <is>
          <t>Clave (Helper)</t>
        </is>
      </c>
      <c r="B3" s="2" t="inlineStr">
        <is>
          <t>Participante</t>
        </is>
      </c>
      <c r="C3" s="2" t="inlineStr">
        <is>
          <t>ID Partido</t>
        </is>
      </c>
      <c r="D3" s="2" t="inlineStr">
        <is>
          <t>Fase</t>
        </is>
      </c>
      <c r="E3" s="2" t="inlineStr">
        <is>
          <t>Local</t>
        </is>
      </c>
      <c r="F3" s="2" t="inlineStr">
        <is>
          <t>Visitante</t>
        </is>
      </c>
      <c r="G3" s="2" t="inlineStr">
        <is>
          <t>GL Pred</t>
        </is>
      </c>
      <c r="H3" s="2" t="inlineStr">
        <is>
          <t>GV Pred</t>
        </is>
      </c>
      <c r="I3" s="2" t="inlineStr">
        <is>
          <t>PKL Pred</t>
        </is>
      </c>
      <c r="J3" s="2" t="inlineStr">
        <is>
          <t>PKV Pred</t>
        </is>
      </c>
      <c r="K3" s="2" t="inlineStr">
        <is>
          <t>Puntos Ganados</t>
        </is>
      </c>
      <c r="L3" s="2" t="inlineStr">
        <is>
          <t>Balón Oro</t>
        </is>
      </c>
      <c r="M3" s="2" t="inlineStr">
        <is>
          <t>Balón Plata</t>
        </is>
      </c>
      <c r="N3" s="2" t="inlineStr">
        <is>
          <t>Balón Bronce</t>
        </is>
      </c>
      <c r="O3" s="2" t="inlineStr">
        <is>
          <t>Bota Oro</t>
        </is>
      </c>
      <c r="P3" s="2" t="inlineStr">
        <is>
          <t>Bota Plata</t>
        </is>
      </c>
      <c r="Q3" s="2" t="inlineStr">
        <is>
          <t>Bota Bronce</t>
        </is>
      </c>
    </row>
    <row r="4">
      <c r="A4" s="8">
        <f>B4&amp;"_"&amp;C4</f>
        <v/>
      </c>
      <c r="B4" s="8" t="n"/>
      <c r="C4" s="8" t="n"/>
      <c r="D4" s="8" t="n"/>
      <c r="E4" s="11" t="n"/>
      <c r="F4" s="11" t="n"/>
      <c r="G4" s="8" t="n"/>
      <c r="H4" s="8" t="n"/>
      <c r="I4" s="8" t="n"/>
      <c r="J4" s="8" t="n"/>
      <c r="K4" s="12">
        <f>IF(OR(ISERROR(VLOOKUP(C4, Resultados_Reales!$A$4:$I$107, 5, FALSE)), ISERROR(VLOOKUP(C4, Resultados_Reales!$A$4:$I$107, 6, FALSE)), VLOOKUP(C4, Resultados_Reales!$A$4:$I$107, 5, FALSE)="", VLOOKUP(C4, Resultados_Reales!$A$4:$I$107, 6, FALSE)=""), 0, IF(AND(VLOOKUP(C4, Resultados_Reales!$A$4:$I$107, 5, FALSE)=G4, VLOOKUP(C4, Resultados_Reales!$A$4:$I$107, 6, FALSE)=H4), Configuracion!$B$5, IF(SIGN(VLOOKUP(C4, Resultados_Reales!$A$4:$I$107, 5, FALSE)-VLOOKUP(C4, Resultados_Reales!$A$4:$I$107, 6, FALSE)) = SIGN(G4-H4), Configuracion!$B$4, 0)))</f>
        <v/>
      </c>
      <c r="L4" s="11" t="n"/>
      <c r="M4" s="11" t="n"/>
      <c r="N4" s="11" t="n"/>
      <c r="O4" s="11" t="n"/>
      <c r="P4" s="11" t="n"/>
      <c r="Q4" s="11" t="n"/>
    </row>
    <row r="5">
      <c r="A5" s="8">
        <f>B5&amp;"_"&amp;C5</f>
        <v/>
      </c>
      <c r="B5" s="8" t="n"/>
      <c r="C5" s="8" t="n"/>
      <c r="D5" s="8" t="n"/>
      <c r="E5" s="11" t="n"/>
      <c r="F5" s="11" t="n"/>
      <c r="G5" s="8" t="n"/>
      <c r="H5" s="8" t="n"/>
      <c r="I5" s="8" t="n"/>
      <c r="J5" s="8" t="n"/>
      <c r="K5" s="12">
        <f>IF(OR(ISERROR(VLOOKUP(C5, Resultados_Reales!$A$4:$I$107, 5, FALSE)), ISERROR(VLOOKUP(C5, Resultados_Reales!$A$4:$I$107, 6, FALSE)), VLOOKUP(C5, Resultados_Reales!$A$4:$I$107, 5, FALSE)="", VLOOKUP(C5, Resultados_Reales!$A$4:$I$107, 6, FALSE)=""), 0, IF(AND(VLOOKUP(C5, Resultados_Reales!$A$4:$I$107, 5, FALSE)=G5, VLOOKUP(C5, Resultados_Reales!$A$4:$I$107, 6, FALSE)=H5), Configuracion!$B$5, IF(SIGN(VLOOKUP(C5, Resultados_Reales!$A$4:$I$107, 5, FALSE)-VLOOKUP(C5, Resultados_Reales!$A$4:$I$107, 6, FALSE)) = SIGN(G5-H5), Configuracion!$B$4, 0)))</f>
        <v/>
      </c>
      <c r="L5" s="11" t="n"/>
      <c r="M5" s="11" t="n"/>
      <c r="N5" s="11" t="n"/>
      <c r="O5" s="11" t="n"/>
      <c r="P5" s="11" t="n"/>
      <c r="Q5" s="11" t="n"/>
    </row>
    <row r="6">
      <c r="A6" s="8">
        <f>B6&amp;"_"&amp;C6</f>
        <v/>
      </c>
      <c r="B6" s="8" t="n"/>
      <c r="C6" s="8" t="n"/>
      <c r="D6" s="8" t="n"/>
      <c r="E6" s="11" t="n"/>
      <c r="F6" s="11" t="n"/>
      <c r="G6" s="8" t="n"/>
      <c r="H6" s="8" t="n"/>
      <c r="I6" s="8" t="n"/>
      <c r="J6" s="8" t="n"/>
      <c r="K6" s="12">
        <f>IF(OR(ISERROR(VLOOKUP(C6, Resultados_Reales!$A$4:$I$107, 5, FALSE)), ISERROR(VLOOKUP(C6, Resultados_Reales!$A$4:$I$107, 6, FALSE)), VLOOKUP(C6, Resultados_Reales!$A$4:$I$107, 5, FALSE)="", VLOOKUP(C6, Resultados_Reales!$A$4:$I$107, 6, FALSE)=""), 0, IF(AND(VLOOKUP(C6, Resultados_Reales!$A$4:$I$107, 5, FALSE)=G6, VLOOKUP(C6, Resultados_Reales!$A$4:$I$107, 6, FALSE)=H6), Configuracion!$B$5, IF(SIGN(VLOOKUP(C6, Resultados_Reales!$A$4:$I$107, 5, FALSE)-VLOOKUP(C6, Resultados_Reales!$A$4:$I$107, 6, FALSE)) = SIGN(G6-H6), Configuracion!$B$4, 0)))</f>
        <v/>
      </c>
      <c r="L6" s="11" t="n"/>
      <c r="M6" s="11" t="n"/>
      <c r="N6" s="11" t="n"/>
      <c r="O6" s="11" t="n"/>
      <c r="P6" s="11" t="n"/>
      <c r="Q6" s="11" t="n"/>
    </row>
    <row r="7">
      <c r="A7" s="8">
        <f>B7&amp;"_"&amp;C7</f>
        <v/>
      </c>
      <c r="B7" s="8" t="n"/>
      <c r="C7" s="8" t="n"/>
      <c r="D7" s="8" t="n"/>
      <c r="E7" s="11" t="n"/>
      <c r="F7" s="11" t="n"/>
      <c r="G7" s="8" t="n"/>
      <c r="H7" s="8" t="n"/>
      <c r="I7" s="8" t="n"/>
      <c r="J7" s="8" t="n"/>
      <c r="K7" s="12">
        <f>IF(OR(ISERROR(VLOOKUP(C7, Resultados_Reales!$A$4:$I$107, 5, FALSE)), ISERROR(VLOOKUP(C7, Resultados_Reales!$A$4:$I$107, 6, FALSE)), VLOOKUP(C7, Resultados_Reales!$A$4:$I$107, 5, FALSE)="", VLOOKUP(C7, Resultados_Reales!$A$4:$I$107, 6, FALSE)=""), 0, IF(AND(VLOOKUP(C7, Resultados_Reales!$A$4:$I$107, 5, FALSE)=G7, VLOOKUP(C7, Resultados_Reales!$A$4:$I$107, 6, FALSE)=H7), Configuracion!$B$5, IF(SIGN(VLOOKUP(C7, Resultados_Reales!$A$4:$I$107, 5, FALSE)-VLOOKUP(C7, Resultados_Reales!$A$4:$I$107, 6, FALSE)) = SIGN(G7-H7), Configuracion!$B$4, 0)))</f>
        <v/>
      </c>
      <c r="L7" s="11" t="n"/>
      <c r="M7" s="11" t="n"/>
      <c r="N7" s="11" t="n"/>
      <c r="O7" s="11" t="n"/>
      <c r="P7" s="11" t="n"/>
      <c r="Q7" s="11" t="n"/>
    </row>
    <row r="8">
      <c r="A8" s="8">
        <f>B8&amp;"_"&amp;C8</f>
        <v/>
      </c>
      <c r="B8" s="8" t="n"/>
      <c r="C8" s="8" t="n"/>
      <c r="D8" s="8" t="n"/>
      <c r="E8" s="11" t="n"/>
      <c r="F8" s="11" t="n"/>
      <c r="G8" s="8" t="n"/>
      <c r="H8" s="8" t="n"/>
      <c r="I8" s="8" t="n"/>
      <c r="J8" s="8" t="n"/>
      <c r="K8" s="12">
        <f>IF(OR(ISERROR(VLOOKUP(C8, Resultados_Reales!$A$4:$I$107, 5, FALSE)), ISERROR(VLOOKUP(C8, Resultados_Reales!$A$4:$I$107, 6, FALSE)), VLOOKUP(C8, Resultados_Reales!$A$4:$I$107, 5, FALSE)="", VLOOKUP(C8, Resultados_Reales!$A$4:$I$107, 6, FALSE)=""), 0, IF(AND(VLOOKUP(C8, Resultados_Reales!$A$4:$I$107, 5, FALSE)=G8, VLOOKUP(C8, Resultados_Reales!$A$4:$I$107, 6, FALSE)=H8), Configuracion!$B$5, IF(SIGN(VLOOKUP(C8, Resultados_Reales!$A$4:$I$107, 5, FALSE)-VLOOKUP(C8, Resultados_Reales!$A$4:$I$107, 6, FALSE)) = SIGN(G8-H8), Configuracion!$B$4, 0)))</f>
        <v/>
      </c>
      <c r="L8" s="11" t="n"/>
      <c r="M8" s="11" t="n"/>
      <c r="N8" s="11" t="n"/>
      <c r="O8" s="11" t="n"/>
      <c r="P8" s="11" t="n"/>
      <c r="Q8" s="11" t="n"/>
    </row>
    <row r="9">
      <c r="A9" s="8">
        <f>B9&amp;"_"&amp;C9</f>
        <v/>
      </c>
      <c r="B9" s="8" t="n"/>
      <c r="C9" s="8" t="n"/>
      <c r="D9" s="8" t="n"/>
      <c r="E9" s="11" t="n"/>
      <c r="F9" s="11" t="n"/>
      <c r="G9" s="8" t="n"/>
      <c r="H9" s="8" t="n"/>
      <c r="I9" s="8" t="n"/>
      <c r="J9" s="8" t="n"/>
      <c r="K9" s="12">
        <f>IF(OR(ISERROR(VLOOKUP(C9, Resultados_Reales!$A$4:$I$107, 5, FALSE)), ISERROR(VLOOKUP(C9, Resultados_Reales!$A$4:$I$107, 6, FALSE)), VLOOKUP(C9, Resultados_Reales!$A$4:$I$107, 5, FALSE)="", VLOOKUP(C9, Resultados_Reales!$A$4:$I$107, 6, FALSE)=""), 0, IF(AND(VLOOKUP(C9, Resultados_Reales!$A$4:$I$107, 5, FALSE)=G9, VLOOKUP(C9, Resultados_Reales!$A$4:$I$107, 6, FALSE)=H9), Configuracion!$B$5, IF(SIGN(VLOOKUP(C9, Resultados_Reales!$A$4:$I$107, 5, FALSE)-VLOOKUP(C9, Resultados_Reales!$A$4:$I$107, 6, FALSE)) = SIGN(G9-H9), Configuracion!$B$4, 0)))</f>
        <v/>
      </c>
      <c r="L9" s="11" t="n"/>
      <c r="M9" s="11" t="n"/>
      <c r="N9" s="11" t="n"/>
      <c r="O9" s="11" t="n"/>
      <c r="P9" s="11" t="n"/>
      <c r="Q9" s="11" t="n"/>
    </row>
    <row r="10">
      <c r="A10" s="8">
        <f>B10&amp;"_"&amp;C10</f>
        <v/>
      </c>
      <c r="B10" s="8" t="n"/>
      <c r="C10" s="8" t="n"/>
      <c r="D10" s="8" t="n"/>
      <c r="E10" s="11" t="n"/>
      <c r="F10" s="11" t="n"/>
      <c r="G10" s="8" t="n"/>
      <c r="H10" s="8" t="n"/>
      <c r="I10" s="8" t="n"/>
      <c r="J10" s="8" t="n"/>
      <c r="K10" s="12">
        <f>IF(OR(ISERROR(VLOOKUP(C10, Resultados_Reales!$A$4:$I$107, 5, FALSE)), ISERROR(VLOOKUP(C10, Resultados_Reales!$A$4:$I$107, 6, FALSE)), VLOOKUP(C10, Resultados_Reales!$A$4:$I$107, 5, FALSE)="", VLOOKUP(C10, Resultados_Reales!$A$4:$I$107, 6, FALSE)=""), 0, IF(AND(VLOOKUP(C10, Resultados_Reales!$A$4:$I$107, 5, FALSE)=G10, VLOOKUP(C10, Resultados_Reales!$A$4:$I$107, 6, FALSE)=H10), Configuracion!$B$5, IF(SIGN(VLOOKUP(C10, Resultados_Reales!$A$4:$I$107, 5, FALSE)-VLOOKUP(C10, Resultados_Reales!$A$4:$I$107, 6, FALSE)) = SIGN(G10-H10), Configuracion!$B$4, 0)))</f>
        <v/>
      </c>
      <c r="L10" s="11" t="n"/>
      <c r="M10" s="11" t="n"/>
      <c r="N10" s="11" t="n"/>
      <c r="O10" s="11" t="n"/>
      <c r="P10" s="11" t="n"/>
      <c r="Q10" s="11" t="n"/>
    </row>
    <row r="11">
      <c r="A11" s="8">
        <f>B11&amp;"_"&amp;C11</f>
        <v/>
      </c>
      <c r="B11" s="8" t="n"/>
      <c r="C11" s="8" t="n"/>
      <c r="D11" s="8" t="n"/>
      <c r="E11" s="11" t="n"/>
      <c r="F11" s="11" t="n"/>
      <c r="G11" s="8" t="n"/>
      <c r="H11" s="8" t="n"/>
      <c r="I11" s="8" t="n"/>
      <c r="J11" s="8" t="n"/>
      <c r="K11" s="12">
        <f>IF(OR(ISERROR(VLOOKUP(C11, Resultados_Reales!$A$4:$I$107, 5, FALSE)), ISERROR(VLOOKUP(C11, Resultados_Reales!$A$4:$I$107, 6, FALSE)), VLOOKUP(C11, Resultados_Reales!$A$4:$I$107, 5, FALSE)="", VLOOKUP(C11, Resultados_Reales!$A$4:$I$107, 6, FALSE)=""), 0, IF(AND(VLOOKUP(C11, Resultados_Reales!$A$4:$I$107, 5, FALSE)=G11, VLOOKUP(C11, Resultados_Reales!$A$4:$I$107, 6, FALSE)=H11), Configuracion!$B$5, IF(SIGN(VLOOKUP(C11, Resultados_Reales!$A$4:$I$107, 5, FALSE)-VLOOKUP(C11, Resultados_Reales!$A$4:$I$107, 6, FALSE)) = SIGN(G11-H11), Configuracion!$B$4, 0)))</f>
        <v/>
      </c>
      <c r="L11" s="11" t="n"/>
      <c r="M11" s="11" t="n"/>
      <c r="N11" s="11" t="n"/>
      <c r="O11" s="11" t="n"/>
      <c r="P11" s="11" t="n"/>
      <c r="Q11" s="11" t="n"/>
    </row>
    <row r="12">
      <c r="A12" s="8">
        <f>B12&amp;"_"&amp;C12</f>
        <v/>
      </c>
      <c r="B12" s="8" t="n"/>
      <c r="C12" s="8" t="n"/>
      <c r="D12" s="8" t="n"/>
      <c r="E12" s="11" t="n"/>
      <c r="F12" s="11" t="n"/>
      <c r="G12" s="8" t="n"/>
      <c r="H12" s="8" t="n"/>
      <c r="I12" s="8" t="n"/>
      <c r="J12" s="8" t="n"/>
      <c r="K12" s="12">
        <f>IF(OR(ISERROR(VLOOKUP(C12, Resultados_Reales!$A$4:$I$107, 5, FALSE)), ISERROR(VLOOKUP(C12, Resultados_Reales!$A$4:$I$107, 6, FALSE)), VLOOKUP(C12, Resultados_Reales!$A$4:$I$107, 5, FALSE)="", VLOOKUP(C12, Resultados_Reales!$A$4:$I$107, 6, FALSE)=""), 0, IF(AND(VLOOKUP(C12, Resultados_Reales!$A$4:$I$107, 5, FALSE)=G12, VLOOKUP(C12, Resultados_Reales!$A$4:$I$107, 6, FALSE)=H12), Configuracion!$B$5, IF(SIGN(VLOOKUP(C12, Resultados_Reales!$A$4:$I$107, 5, FALSE)-VLOOKUP(C12, Resultados_Reales!$A$4:$I$107, 6, FALSE)) = SIGN(G12-H12), Configuracion!$B$4, 0)))</f>
        <v/>
      </c>
      <c r="L12" s="11" t="n"/>
      <c r="M12" s="11" t="n"/>
      <c r="N12" s="11" t="n"/>
      <c r="O12" s="11" t="n"/>
      <c r="P12" s="11" t="n"/>
      <c r="Q12" s="11" t="n"/>
    </row>
    <row r="13">
      <c r="A13" s="8">
        <f>B13&amp;"_"&amp;C13</f>
        <v/>
      </c>
      <c r="B13" s="8" t="n"/>
      <c r="C13" s="8" t="n"/>
      <c r="D13" s="8" t="n"/>
      <c r="E13" s="11" t="n"/>
      <c r="F13" s="11" t="n"/>
      <c r="G13" s="8" t="n"/>
      <c r="H13" s="8" t="n"/>
      <c r="I13" s="8" t="n"/>
      <c r="J13" s="8" t="n"/>
      <c r="K13" s="12">
        <f>IF(OR(ISERROR(VLOOKUP(C13, Resultados_Reales!$A$4:$I$107, 5, FALSE)), ISERROR(VLOOKUP(C13, Resultados_Reales!$A$4:$I$107, 6, FALSE)), VLOOKUP(C13, Resultados_Reales!$A$4:$I$107, 5, FALSE)="", VLOOKUP(C13, Resultados_Reales!$A$4:$I$107, 6, FALSE)=""), 0, IF(AND(VLOOKUP(C13, Resultados_Reales!$A$4:$I$107, 5, FALSE)=G13, VLOOKUP(C13, Resultados_Reales!$A$4:$I$107, 6, FALSE)=H13), Configuracion!$B$5, IF(SIGN(VLOOKUP(C13, Resultados_Reales!$A$4:$I$107, 5, FALSE)-VLOOKUP(C13, Resultados_Reales!$A$4:$I$107, 6, FALSE)) = SIGN(G13-H13), Configuracion!$B$4, 0)))</f>
        <v/>
      </c>
      <c r="L13" s="11" t="n"/>
      <c r="M13" s="11" t="n"/>
      <c r="N13" s="11" t="n"/>
      <c r="O13" s="11" t="n"/>
      <c r="P13" s="11" t="n"/>
      <c r="Q13" s="11" t="n"/>
    </row>
    <row r="14">
      <c r="A14" s="8">
        <f>B14&amp;"_"&amp;C14</f>
        <v/>
      </c>
      <c r="B14" s="8" t="n"/>
      <c r="C14" s="8" t="n"/>
      <c r="D14" s="8" t="n"/>
      <c r="E14" s="11" t="n"/>
      <c r="F14" s="11" t="n"/>
      <c r="G14" s="8" t="n"/>
      <c r="H14" s="8" t="n"/>
      <c r="I14" s="8" t="n"/>
      <c r="J14" s="8" t="n"/>
      <c r="K14" s="12">
        <f>IF(OR(ISERROR(VLOOKUP(C14, Resultados_Reales!$A$4:$I$107, 5, FALSE)), ISERROR(VLOOKUP(C14, Resultados_Reales!$A$4:$I$107, 6, FALSE)), VLOOKUP(C14, Resultados_Reales!$A$4:$I$107, 5, FALSE)="", VLOOKUP(C14, Resultados_Reales!$A$4:$I$107, 6, FALSE)=""), 0, IF(AND(VLOOKUP(C14, Resultados_Reales!$A$4:$I$107, 5, FALSE)=G14, VLOOKUP(C14, Resultados_Reales!$A$4:$I$107, 6, FALSE)=H14), Configuracion!$B$5, IF(SIGN(VLOOKUP(C14, Resultados_Reales!$A$4:$I$107, 5, FALSE)-VLOOKUP(C14, Resultados_Reales!$A$4:$I$107, 6, FALSE)) = SIGN(G14-H14), Configuracion!$B$4, 0)))</f>
        <v/>
      </c>
      <c r="L14" s="11" t="n"/>
      <c r="M14" s="11" t="n"/>
      <c r="N14" s="11" t="n"/>
      <c r="O14" s="11" t="n"/>
      <c r="P14" s="11" t="n"/>
      <c r="Q14" s="11" t="n"/>
    </row>
    <row r="15">
      <c r="A15" s="8">
        <f>B15&amp;"_"&amp;C15</f>
        <v/>
      </c>
      <c r="B15" s="8" t="n"/>
      <c r="C15" s="8" t="n"/>
      <c r="D15" s="8" t="n"/>
      <c r="E15" s="11" t="n"/>
      <c r="F15" s="11" t="n"/>
      <c r="G15" s="8" t="n"/>
      <c r="H15" s="8" t="n"/>
      <c r="I15" s="8" t="n"/>
      <c r="J15" s="8" t="n"/>
      <c r="K15" s="12">
        <f>IF(OR(ISERROR(VLOOKUP(C15, Resultados_Reales!$A$4:$I$107, 5, FALSE)), ISERROR(VLOOKUP(C15, Resultados_Reales!$A$4:$I$107, 6, FALSE)), VLOOKUP(C15, Resultados_Reales!$A$4:$I$107, 5, FALSE)="", VLOOKUP(C15, Resultados_Reales!$A$4:$I$107, 6, FALSE)=""), 0, IF(AND(VLOOKUP(C15, Resultados_Reales!$A$4:$I$107, 5, FALSE)=G15, VLOOKUP(C15, Resultados_Reales!$A$4:$I$107, 6, FALSE)=H15), Configuracion!$B$5, IF(SIGN(VLOOKUP(C15, Resultados_Reales!$A$4:$I$107, 5, FALSE)-VLOOKUP(C15, Resultados_Reales!$A$4:$I$107, 6, FALSE)) = SIGN(G15-H15), Configuracion!$B$4, 0)))</f>
        <v/>
      </c>
      <c r="L15" s="11" t="n"/>
      <c r="M15" s="11" t="n"/>
      <c r="N15" s="11" t="n"/>
      <c r="O15" s="11" t="n"/>
      <c r="P15" s="11" t="n"/>
      <c r="Q15" s="11" t="n"/>
    </row>
    <row r="16">
      <c r="A16" s="8">
        <f>B16&amp;"_"&amp;C16</f>
        <v/>
      </c>
      <c r="B16" s="8" t="n"/>
      <c r="C16" s="8" t="n"/>
      <c r="D16" s="8" t="n"/>
      <c r="E16" s="11" t="n"/>
      <c r="F16" s="11" t="n"/>
      <c r="G16" s="8" t="n"/>
      <c r="H16" s="8" t="n"/>
      <c r="I16" s="8" t="n"/>
      <c r="J16" s="8" t="n"/>
      <c r="K16" s="12">
        <f>IF(OR(ISERROR(VLOOKUP(C16, Resultados_Reales!$A$4:$I$107, 5, FALSE)), ISERROR(VLOOKUP(C16, Resultados_Reales!$A$4:$I$107, 6, FALSE)), VLOOKUP(C16, Resultados_Reales!$A$4:$I$107, 5, FALSE)="", VLOOKUP(C16, Resultados_Reales!$A$4:$I$107, 6, FALSE)=""), 0, IF(AND(VLOOKUP(C16, Resultados_Reales!$A$4:$I$107, 5, FALSE)=G16, VLOOKUP(C16, Resultados_Reales!$A$4:$I$107, 6, FALSE)=H16), Configuracion!$B$5, IF(SIGN(VLOOKUP(C16, Resultados_Reales!$A$4:$I$107, 5, FALSE)-VLOOKUP(C16, Resultados_Reales!$A$4:$I$107, 6, FALSE)) = SIGN(G16-H16), Configuracion!$B$4, 0)))</f>
        <v/>
      </c>
      <c r="L16" s="11" t="n"/>
      <c r="M16" s="11" t="n"/>
      <c r="N16" s="11" t="n"/>
      <c r="O16" s="11" t="n"/>
      <c r="P16" s="11" t="n"/>
      <c r="Q16" s="11" t="n"/>
    </row>
    <row r="17">
      <c r="A17" s="8">
        <f>B17&amp;"_"&amp;C17</f>
        <v/>
      </c>
      <c r="B17" s="8" t="n"/>
      <c r="C17" s="8" t="n"/>
      <c r="D17" s="8" t="n"/>
      <c r="E17" s="11" t="n"/>
      <c r="F17" s="11" t="n"/>
      <c r="G17" s="8" t="n"/>
      <c r="H17" s="8" t="n"/>
      <c r="I17" s="8" t="n"/>
      <c r="J17" s="8" t="n"/>
      <c r="K17" s="12">
        <f>IF(OR(ISERROR(VLOOKUP(C17, Resultados_Reales!$A$4:$I$107, 5, FALSE)), ISERROR(VLOOKUP(C17, Resultados_Reales!$A$4:$I$107, 6, FALSE)), VLOOKUP(C17, Resultados_Reales!$A$4:$I$107, 5, FALSE)="", VLOOKUP(C17, Resultados_Reales!$A$4:$I$107, 6, FALSE)=""), 0, IF(AND(VLOOKUP(C17, Resultados_Reales!$A$4:$I$107, 5, FALSE)=G17, VLOOKUP(C17, Resultados_Reales!$A$4:$I$107, 6, FALSE)=H17), Configuracion!$B$5, IF(SIGN(VLOOKUP(C17, Resultados_Reales!$A$4:$I$107, 5, FALSE)-VLOOKUP(C17, Resultados_Reales!$A$4:$I$107, 6, FALSE)) = SIGN(G17-H17), Configuracion!$B$4, 0)))</f>
        <v/>
      </c>
      <c r="L17" s="11" t="n"/>
      <c r="M17" s="11" t="n"/>
      <c r="N17" s="11" t="n"/>
      <c r="O17" s="11" t="n"/>
      <c r="P17" s="11" t="n"/>
      <c r="Q17" s="11" t="n"/>
    </row>
    <row r="18">
      <c r="A18" s="8">
        <f>B18&amp;"_"&amp;C18</f>
        <v/>
      </c>
      <c r="B18" s="8" t="n"/>
      <c r="C18" s="8" t="n"/>
      <c r="D18" s="8" t="n"/>
      <c r="E18" s="11" t="n"/>
      <c r="F18" s="11" t="n"/>
      <c r="G18" s="8" t="n"/>
      <c r="H18" s="8" t="n"/>
      <c r="I18" s="8" t="n"/>
      <c r="J18" s="8" t="n"/>
      <c r="K18" s="12">
        <f>IF(OR(ISERROR(VLOOKUP(C18, Resultados_Reales!$A$4:$I$107, 5, FALSE)), ISERROR(VLOOKUP(C18, Resultados_Reales!$A$4:$I$107, 6, FALSE)), VLOOKUP(C18, Resultados_Reales!$A$4:$I$107, 5, FALSE)="", VLOOKUP(C18, Resultados_Reales!$A$4:$I$107, 6, FALSE)=""), 0, IF(AND(VLOOKUP(C18, Resultados_Reales!$A$4:$I$107, 5, FALSE)=G18, VLOOKUP(C18, Resultados_Reales!$A$4:$I$107, 6, FALSE)=H18), Configuracion!$B$5, IF(SIGN(VLOOKUP(C18, Resultados_Reales!$A$4:$I$107, 5, FALSE)-VLOOKUP(C18, Resultados_Reales!$A$4:$I$107, 6, FALSE)) = SIGN(G18-H18), Configuracion!$B$4, 0)))</f>
        <v/>
      </c>
      <c r="L18" s="11" t="n"/>
      <c r="M18" s="11" t="n"/>
      <c r="N18" s="11" t="n"/>
      <c r="O18" s="11" t="n"/>
      <c r="P18" s="11" t="n"/>
      <c r="Q18" s="11" t="n"/>
    </row>
    <row r="19">
      <c r="A19" s="8">
        <f>B19&amp;"_"&amp;C19</f>
        <v/>
      </c>
      <c r="B19" s="8" t="n"/>
      <c r="C19" s="8" t="n"/>
      <c r="D19" s="8" t="n"/>
      <c r="E19" s="11" t="n"/>
      <c r="F19" s="11" t="n"/>
      <c r="G19" s="8" t="n"/>
      <c r="H19" s="8" t="n"/>
      <c r="I19" s="8" t="n"/>
      <c r="J19" s="8" t="n"/>
      <c r="K19" s="12">
        <f>IF(OR(ISERROR(VLOOKUP(C19, Resultados_Reales!$A$4:$I$107, 5, FALSE)), ISERROR(VLOOKUP(C19, Resultados_Reales!$A$4:$I$107, 6, FALSE)), VLOOKUP(C19, Resultados_Reales!$A$4:$I$107, 5, FALSE)="", VLOOKUP(C19, Resultados_Reales!$A$4:$I$107, 6, FALSE)=""), 0, IF(AND(VLOOKUP(C19, Resultados_Reales!$A$4:$I$107, 5, FALSE)=G19, VLOOKUP(C19, Resultados_Reales!$A$4:$I$107, 6, FALSE)=H19), Configuracion!$B$5, IF(SIGN(VLOOKUP(C19, Resultados_Reales!$A$4:$I$107, 5, FALSE)-VLOOKUP(C19, Resultados_Reales!$A$4:$I$107, 6, FALSE)) = SIGN(G19-H19), Configuracion!$B$4, 0)))</f>
        <v/>
      </c>
      <c r="L19" s="11" t="n"/>
      <c r="M19" s="11" t="n"/>
      <c r="N19" s="11" t="n"/>
      <c r="O19" s="11" t="n"/>
      <c r="P19" s="11" t="n"/>
      <c r="Q19" s="11" t="n"/>
    </row>
    <row r="20">
      <c r="A20" s="8">
        <f>B20&amp;"_"&amp;C20</f>
        <v/>
      </c>
      <c r="B20" s="8" t="n"/>
      <c r="C20" s="8" t="n"/>
      <c r="D20" s="8" t="n"/>
      <c r="E20" s="11" t="n"/>
      <c r="F20" s="11" t="n"/>
      <c r="G20" s="8" t="n"/>
      <c r="H20" s="8" t="n"/>
      <c r="I20" s="8" t="n"/>
      <c r="J20" s="8" t="n"/>
      <c r="K20" s="12">
        <f>IF(OR(ISERROR(VLOOKUP(C20, Resultados_Reales!$A$4:$I$107, 5, FALSE)), ISERROR(VLOOKUP(C20, Resultados_Reales!$A$4:$I$107, 6, FALSE)), VLOOKUP(C20, Resultados_Reales!$A$4:$I$107, 5, FALSE)="", VLOOKUP(C20, Resultados_Reales!$A$4:$I$107, 6, FALSE)=""), 0, IF(AND(VLOOKUP(C20, Resultados_Reales!$A$4:$I$107, 5, FALSE)=G20, VLOOKUP(C20, Resultados_Reales!$A$4:$I$107, 6, FALSE)=H20), Configuracion!$B$5, IF(SIGN(VLOOKUP(C20, Resultados_Reales!$A$4:$I$107, 5, FALSE)-VLOOKUP(C20, Resultados_Reales!$A$4:$I$107, 6, FALSE)) = SIGN(G20-H20), Configuracion!$B$4, 0)))</f>
        <v/>
      </c>
      <c r="L20" s="11" t="n"/>
      <c r="M20" s="11" t="n"/>
      <c r="N20" s="11" t="n"/>
      <c r="O20" s="11" t="n"/>
      <c r="P20" s="11" t="n"/>
      <c r="Q20" s="11" t="n"/>
    </row>
    <row r="21">
      <c r="A21" s="8">
        <f>B21&amp;"_"&amp;C21</f>
        <v/>
      </c>
      <c r="B21" s="8" t="n"/>
      <c r="C21" s="8" t="n"/>
      <c r="D21" s="8" t="n"/>
      <c r="E21" s="11" t="n"/>
      <c r="F21" s="11" t="n"/>
      <c r="G21" s="8" t="n"/>
      <c r="H21" s="8" t="n"/>
      <c r="I21" s="8" t="n"/>
      <c r="J21" s="8" t="n"/>
      <c r="K21" s="12">
        <f>IF(OR(ISERROR(VLOOKUP(C21, Resultados_Reales!$A$4:$I$107, 5, FALSE)), ISERROR(VLOOKUP(C21, Resultados_Reales!$A$4:$I$107, 6, FALSE)), VLOOKUP(C21, Resultados_Reales!$A$4:$I$107, 5, FALSE)="", VLOOKUP(C21, Resultados_Reales!$A$4:$I$107, 6, FALSE)=""), 0, IF(AND(VLOOKUP(C21, Resultados_Reales!$A$4:$I$107, 5, FALSE)=G21, VLOOKUP(C21, Resultados_Reales!$A$4:$I$107, 6, FALSE)=H21), Configuracion!$B$5, IF(SIGN(VLOOKUP(C21, Resultados_Reales!$A$4:$I$107, 5, FALSE)-VLOOKUP(C21, Resultados_Reales!$A$4:$I$107, 6, FALSE)) = SIGN(G21-H21), Configuracion!$B$4, 0)))</f>
        <v/>
      </c>
      <c r="L21" s="11" t="n"/>
      <c r="M21" s="11" t="n"/>
      <c r="N21" s="11" t="n"/>
      <c r="O21" s="11" t="n"/>
      <c r="P21" s="11" t="n"/>
      <c r="Q21" s="11" t="n"/>
    </row>
    <row r="22">
      <c r="A22" s="8">
        <f>B22&amp;"_"&amp;C22</f>
        <v/>
      </c>
      <c r="B22" s="8" t="n"/>
      <c r="C22" s="8" t="n"/>
      <c r="D22" s="8" t="n"/>
      <c r="E22" s="11" t="n"/>
      <c r="F22" s="11" t="n"/>
      <c r="G22" s="8" t="n"/>
      <c r="H22" s="8" t="n"/>
      <c r="I22" s="8" t="n"/>
      <c r="J22" s="8" t="n"/>
      <c r="K22" s="12">
        <f>IF(OR(ISERROR(VLOOKUP(C22, Resultados_Reales!$A$4:$I$107, 5, FALSE)), ISERROR(VLOOKUP(C22, Resultados_Reales!$A$4:$I$107, 6, FALSE)), VLOOKUP(C22, Resultados_Reales!$A$4:$I$107, 5, FALSE)="", VLOOKUP(C22, Resultados_Reales!$A$4:$I$107, 6, FALSE)=""), 0, IF(AND(VLOOKUP(C22, Resultados_Reales!$A$4:$I$107, 5, FALSE)=G22, VLOOKUP(C22, Resultados_Reales!$A$4:$I$107, 6, FALSE)=H22), Configuracion!$B$5, IF(SIGN(VLOOKUP(C22, Resultados_Reales!$A$4:$I$107, 5, FALSE)-VLOOKUP(C22, Resultados_Reales!$A$4:$I$107, 6, FALSE)) = SIGN(G22-H22), Configuracion!$B$4, 0)))</f>
        <v/>
      </c>
      <c r="L22" s="11" t="n"/>
      <c r="M22" s="11" t="n"/>
      <c r="N22" s="11" t="n"/>
      <c r="O22" s="11" t="n"/>
      <c r="P22" s="11" t="n"/>
      <c r="Q22" s="11" t="n"/>
    </row>
    <row r="23">
      <c r="A23" s="8">
        <f>B23&amp;"_"&amp;C23</f>
        <v/>
      </c>
      <c r="B23" s="8" t="n"/>
      <c r="C23" s="8" t="n"/>
      <c r="D23" s="8" t="n"/>
      <c r="E23" s="11" t="n"/>
      <c r="F23" s="11" t="n"/>
      <c r="G23" s="8" t="n"/>
      <c r="H23" s="8" t="n"/>
      <c r="I23" s="8" t="n"/>
      <c r="J23" s="8" t="n"/>
      <c r="K23" s="12">
        <f>IF(OR(ISERROR(VLOOKUP(C23, Resultados_Reales!$A$4:$I$107, 5, FALSE)), ISERROR(VLOOKUP(C23, Resultados_Reales!$A$4:$I$107, 6, FALSE)), VLOOKUP(C23, Resultados_Reales!$A$4:$I$107, 5, FALSE)="", VLOOKUP(C23, Resultados_Reales!$A$4:$I$107, 6, FALSE)=""), 0, IF(AND(VLOOKUP(C23, Resultados_Reales!$A$4:$I$107, 5, FALSE)=G23, VLOOKUP(C23, Resultados_Reales!$A$4:$I$107, 6, FALSE)=H23), Configuracion!$B$5, IF(SIGN(VLOOKUP(C23, Resultados_Reales!$A$4:$I$107, 5, FALSE)-VLOOKUP(C23, Resultados_Reales!$A$4:$I$107, 6, FALSE)) = SIGN(G23-H23), Configuracion!$B$4, 0)))</f>
        <v/>
      </c>
      <c r="L23" s="11" t="n"/>
      <c r="M23" s="11" t="n"/>
      <c r="N23" s="11" t="n"/>
      <c r="O23" s="11" t="n"/>
      <c r="P23" s="11" t="n"/>
      <c r="Q23" s="11" t="n"/>
    </row>
    <row r="24">
      <c r="A24" s="8">
        <f>B24&amp;"_"&amp;C24</f>
        <v/>
      </c>
      <c r="B24" s="8" t="n"/>
      <c r="C24" s="8" t="n"/>
      <c r="D24" s="8" t="n"/>
      <c r="E24" s="11" t="n"/>
      <c r="F24" s="11" t="n"/>
      <c r="G24" s="8" t="n"/>
      <c r="H24" s="8" t="n"/>
      <c r="I24" s="8" t="n"/>
      <c r="J24" s="8" t="n"/>
      <c r="K24" s="12">
        <f>IF(OR(ISERROR(VLOOKUP(C24, Resultados_Reales!$A$4:$I$107, 5, FALSE)), ISERROR(VLOOKUP(C24, Resultados_Reales!$A$4:$I$107, 6, FALSE)), VLOOKUP(C24, Resultados_Reales!$A$4:$I$107, 5, FALSE)="", VLOOKUP(C24, Resultados_Reales!$A$4:$I$107, 6, FALSE)=""), 0, IF(AND(VLOOKUP(C24, Resultados_Reales!$A$4:$I$107, 5, FALSE)=G24, VLOOKUP(C24, Resultados_Reales!$A$4:$I$107, 6, FALSE)=H24), Configuracion!$B$5, IF(SIGN(VLOOKUP(C24, Resultados_Reales!$A$4:$I$107, 5, FALSE)-VLOOKUP(C24, Resultados_Reales!$A$4:$I$107, 6, FALSE)) = SIGN(G24-H24), Configuracion!$B$4, 0)))</f>
        <v/>
      </c>
      <c r="L24" s="11" t="n"/>
      <c r="M24" s="11" t="n"/>
      <c r="N24" s="11" t="n"/>
      <c r="O24" s="11" t="n"/>
      <c r="P24" s="11" t="n"/>
      <c r="Q24" s="11" t="n"/>
    </row>
    <row r="25">
      <c r="A25" s="8">
        <f>B25&amp;"_"&amp;C25</f>
        <v/>
      </c>
      <c r="B25" s="8" t="n"/>
      <c r="C25" s="8" t="n"/>
      <c r="D25" s="8" t="n"/>
      <c r="E25" s="11" t="n"/>
      <c r="F25" s="11" t="n"/>
      <c r="G25" s="8" t="n"/>
      <c r="H25" s="8" t="n"/>
      <c r="I25" s="8" t="n"/>
      <c r="J25" s="8" t="n"/>
      <c r="K25" s="12">
        <f>IF(OR(ISERROR(VLOOKUP(C25, Resultados_Reales!$A$4:$I$107, 5, FALSE)), ISERROR(VLOOKUP(C25, Resultados_Reales!$A$4:$I$107, 6, FALSE)), VLOOKUP(C25, Resultados_Reales!$A$4:$I$107, 5, FALSE)="", VLOOKUP(C25, Resultados_Reales!$A$4:$I$107, 6, FALSE)=""), 0, IF(AND(VLOOKUP(C25, Resultados_Reales!$A$4:$I$107, 5, FALSE)=G25, VLOOKUP(C25, Resultados_Reales!$A$4:$I$107, 6, FALSE)=H25), Configuracion!$B$5, IF(SIGN(VLOOKUP(C25, Resultados_Reales!$A$4:$I$107, 5, FALSE)-VLOOKUP(C25, Resultados_Reales!$A$4:$I$107, 6, FALSE)) = SIGN(G25-H25), Configuracion!$B$4, 0)))</f>
        <v/>
      </c>
      <c r="L25" s="11" t="n"/>
      <c r="M25" s="11" t="n"/>
      <c r="N25" s="11" t="n"/>
      <c r="O25" s="11" t="n"/>
      <c r="P25" s="11" t="n"/>
      <c r="Q25" s="11" t="n"/>
    </row>
    <row r="26">
      <c r="A26" s="8">
        <f>B26&amp;"_"&amp;C26</f>
        <v/>
      </c>
      <c r="B26" s="8" t="n"/>
      <c r="C26" s="8" t="n"/>
      <c r="D26" s="8" t="n"/>
      <c r="E26" s="11" t="n"/>
      <c r="F26" s="11" t="n"/>
      <c r="G26" s="8" t="n"/>
      <c r="H26" s="8" t="n"/>
      <c r="I26" s="8" t="n"/>
      <c r="J26" s="8" t="n"/>
      <c r="K26" s="12">
        <f>IF(OR(ISERROR(VLOOKUP(C26, Resultados_Reales!$A$4:$I$107, 5, FALSE)), ISERROR(VLOOKUP(C26, Resultados_Reales!$A$4:$I$107, 6, FALSE)), VLOOKUP(C26, Resultados_Reales!$A$4:$I$107, 5, FALSE)="", VLOOKUP(C26, Resultados_Reales!$A$4:$I$107, 6, FALSE)=""), 0, IF(AND(VLOOKUP(C26, Resultados_Reales!$A$4:$I$107, 5, FALSE)=G26, VLOOKUP(C26, Resultados_Reales!$A$4:$I$107, 6, FALSE)=H26), Configuracion!$B$5, IF(SIGN(VLOOKUP(C26, Resultados_Reales!$A$4:$I$107, 5, FALSE)-VLOOKUP(C26, Resultados_Reales!$A$4:$I$107, 6, FALSE)) = SIGN(G26-H26), Configuracion!$B$4, 0)))</f>
        <v/>
      </c>
      <c r="L26" s="11" t="n"/>
      <c r="M26" s="11" t="n"/>
      <c r="N26" s="11" t="n"/>
      <c r="O26" s="11" t="n"/>
      <c r="P26" s="11" t="n"/>
      <c r="Q26" s="11" t="n"/>
    </row>
    <row r="27">
      <c r="A27" s="8">
        <f>B27&amp;"_"&amp;C27</f>
        <v/>
      </c>
      <c r="B27" s="8" t="n"/>
      <c r="C27" s="8" t="n"/>
      <c r="D27" s="8" t="n"/>
      <c r="E27" s="11" t="n"/>
      <c r="F27" s="11" t="n"/>
      <c r="G27" s="8" t="n"/>
      <c r="H27" s="8" t="n"/>
      <c r="I27" s="8" t="n"/>
      <c r="J27" s="8" t="n"/>
      <c r="K27" s="12">
        <f>IF(OR(ISERROR(VLOOKUP(C27, Resultados_Reales!$A$4:$I$107, 5, FALSE)), ISERROR(VLOOKUP(C27, Resultados_Reales!$A$4:$I$107, 6, FALSE)), VLOOKUP(C27, Resultados_Reales!$A$4:$I$107, 5, FALSE)="", VLOOKUP(C27, Resultados_Reales!$A$4:$I$107, 6, FALSE)=""), 0, IF(AND(VLOOKUP(C27, Resultados_Reales!$A$4:$I$107, 5, FALSE)=G27, VLOOKUP(C27, Resultados_Reales!$A$4:$I$107, 6, FALSE)=H27), Configuracion!$B$5, IF(SIGN(VLOOKUP(C27, Resultados_Reales!$A$4:$I$107, 5, FALSE)-VLOOKUP(C27, Resultados_Reales!$A$4:$I$107, 6, FALSE)) = SIGN(G27-H27), Configuracion!$B$4, 0)))</f>
        <v/>
      </c>
      <c r="L27" s="11" t="n"/>
      <c r="M27" s="11" t="n"/>
      <c r="N27" s="11" t="n"/>
      <c r="O27" s="11" t="n"/>
      <c r="P27" s="11" t="n"/>
      <c r="Q27" s="11" t="n"/>
    </row>
    <row r="28">
      <c r="A28" s="8">
        <f>B28&amp;"_"&amp;C28</f>
        <v/>
      </c>
      <c r="B28" s="8" t="n"/>
      <c r="C28" s="8" t="n"/>
      <c r="D28" s="8" t="n"/>
      <c r="E28" s="11" t="n"/>
      <c r="F28" s="11" t="n"/>
      <c r="G28" s="8" t="n"/>
      <c r="H28" s="8" t="n"/>
      <c r="I28" s="8" t="n"/>
      <c r="J28" s="8" t="n"/>
      <c r="K28" s="12">
        <f>IF(OR(ISERROR(VLOOKUP(C28, Resultados_Reales!$A$4:$I$107, 5, FALSE)), ISERROR(VLOOKUP(C28, Resultados_Reales!$A$4:$I$107, 6, FALSE)), VLOOKUP(C28, Resultados_Reales!$A$4:$I$107, 5, FALSE)="", VLOOKUP(C28, Resultados_Reales!$A$4:$I$107, 6, FALSE)=""), 0, IF(AND(VLOOKUP(C28, Resultados_Reales!$A$4:$I$107, 5, FALSE)=G28, VLOOKUP(C28, Resultados_Reales!$A$4:$I$107, 6, FALSE)=H28), Configuracion!$B$5, IF(SIGN(VLOOKUP(C28, Resultados_Reales!$A$4:$I$107, 5, FALSE)-VLOOKUP(C28, Resultados_Reales!$A$4:$I$107, 6, FALSE)) = SIGN(G28-H28), Configuracion!$B$4, 0)))</f>
        <v/>
      </c>
      <c r="L28" s="11" t="n"/>
      <c r="M28" s="11" t="n"/>
      <c r="N28" s="11" t="n"/>
      <c r="O28" s="11" t="n"/>
      <c r="P28" s="11" t="n"/>
      <c r="Q28" s="11" t="n"/>
    </row>
    <row r="29">
      <c r="A29" s="8">
        <f>B29&amp;"_"&amp;C29</f>
        <v/>
      </c>
      <c r="B29" s="8" t="n"/>
      <c r="C29" s="8" t="n"/>
      <c r="D29" s="8" t="n"/>
      <c r="E29" s="11" t="n"/>
      <c r="F29" s="11" t="n"/>
      <c r="G29" s="8" t="n"/>
      <c r="H29" s="8" t="n"/>
      <c r="I29" s="8" t="n"/>
      <c r="J29" s="8" t="n"/>
      <c r="K29" s="12">
        <f>IF(OR(ISERROR(VLOOKUP(C29, Resultados_Reales!$A$4:$I$107, 5, FALSE)), ISERROR(VLOOKUP(C29, Resultados_Reales!$A$4:$I$107, 6, FALSE)), VLOOKUP(C29, Resultados_Reales!$A$4:$I$107, 5, FALSE)="", VLOOKUP(C29, Resultados_Reales!$A$4:$I$107, 6, FALSE)=""), 0, IF(AND(VLOOKUP(C29, Resultados_Reales!$A$4:$I$107, 5, FALSE)=G29, VLOOKUP(C29, Resultados_Reales!$A$4:$I$107, 6, FALSE)=H29), Configuracion!$B$5, IF(SIGN(VLOOKUP(C29, Resultados_Reales!$A$4:$I$107, 5, FALSE)-VLOOKUP(C29, Resultados_Reales!$A$4:$I$107, 6, FALSE)) = SIGN(G29-H29), Configuracion!$B$4, 0)))</f>
        <v/>
      </c>
      <c r="L29" s="11" t="n"/>
      <c r="M29" s="11" t="n"/>
      <c r="N29" s="11" t="n"/>
      <c r="O29" s="11" t="n"/>
      <c r="P29" s="11" t="n"/>
      <c r="Q29" s="11" t="n"/>
    </row>
    <row r="30">
      <c r="A30" s="8">
        <f>B30&amp;"_"&amp;C30</f>
        <v/>
      </c>
      <c r="B30" s="8" t="n"/>
      <c r="C30" s="8" t="n"/>
      <c r="D30" s="8" t="n"/>
      <c r="E30" s="11" t="n"/>
      <c r="F30" s="11" t="n"/>
      <c r="G30" s="8" t="n"/>
      <c r="H30" s="8" t="n"/>
      <c r="I30" s="8" t="n"/>
      <c r="J30" s="8" t="n"/>
      <c r="K30" s="12">
        <f>IF(OR(ISERROR(VLOOKUP(C30, Resultados_Reales!$A$4:$I$107, 5, FALSE)), ISERROR(VLOOKUP(C30, Resultados_Reales!$A$4:$I$107, 6, FALSE)), VLOOKUP(C30, Resultados_Reales!$A$4:$I$107, 5, FALSE)="", VLOOKUP(C30, Resultados_Reales!$A$4:$I$107, 6, FALSE)=""), 0, IF(AND(VLOOKUP(C30, Resultados_Reales!$A$4:$I$107, 5, FALSE)=G30, VLOOKUP(C30, Resultados_Reales!$A$4:$I$107, 6, FALSE)=H30), Configuracion!$B$5, IF(SIGN(VLOOKUP(C30, Resultados_Reales!$A$4:$I$107, 5, FALSE)-VLOOKUP(C30, Resultados_Reales!$A$4:$I$107, 6, FALSE)) = SIGN(G30-H30), Configuracion!$B$4, 0)))</f>
        <v/>
      </c>
      <c r="L30" s="11" t="n"/>
      <c r="M30" s="11" t="n"/>
      <c r="N30" s="11" t="n"/>
      <c r="O30" s="11" t="n"/>
      <c r="P30" s="11" t="n"/>
      <c r="Q30" s="11" t="n"/>
    </row>
    <row r="31">
      <c r="A31" s="8">
        <f>B31&amp;"_"&amp;C31</f>
        <v/>
      </c>
      <c r="B31" s="8" t="n"/>
      <c r="C31" s="8" t="n"/>
      <c r="D31" s="8" t="n"/>
      <c r="E31" s="11" t="n"/>
      <c r="F31" s="11" t="n"/>
      <c r="G31" s="8" t="n"/>
      <c r="H31" s="8" t="n"/>
      <c r="I31" s="8" t="n"/>
      <c r="J31" s="8" t="n"/>
      <c r="K31" s="12">
        <f>IF(OR(ISERROR(VLOOKUP(C31, Resultados_Reales!$A$4:$I$107, 5, FALSE)), ISERROR(VLOOKUP(C31, Resultados_Reales!$A$4:$I$107, 6, FALSE)), VLOOKUP(C31, Resultados_Reales!$A$4:$I$107, 5, FALSE)="", VLOOKUP(C31, Resultados_Reales!$A$4:$I$107, 6, FALSE)=""), 0, IF(AND(VLOOKUP(C31, Resultados_Reales!$A$4:$I$107, 5, FALSE)=G31, VLOOKUP(C31, Resultados_Reales!$A$4:$I$107, 6, FALSE)=H31), Configuracion!$B$5, IF(SIGN(VLOOKUP(C31, Resultados_Reales!$A$4:$I$107, 5, FALSE)-VLOOKUP(C31, Resultados_Reales!$A$4:$I$107, 6, FALSE)) = SIGN(G31-H31), Configuracion!$B$4, 0)))</f>
        <v/>
      </c>
      <c r="L31" s="11" t="n"/>
      <c r="M31" s="11" t="n"/>
      <c r="N31" s="11" t="n"/>
      <c r="O31" s="11" t="n"/>
      <c r="P31" s="11" t="n"/>
      <c r="Q31" s="11" t="n"/>
    </row>
    <row r="32">
      <c r="A32" s="8">
        <f>B32&amp;"_"&amp;C32</f>
        <v/>
      </c>
      <c r="B32" s="8" t="n"/>
      <c r="C32" s="8" t="n"/>
      <c r="D32" s="8" t="n"/>
      <c r="E32" s="11" t="n"/>
      <c r="F32" s="11" t="n"/>
      <c r="G32" s="8" t="n"/>
      <c r="H32" s="8" t="n"/>
      <c r="I32" s="8" t="n"/>
      <c r="J32" s="8" t="n"/>
      <c r="K32" s="12">
        <f>IF(OR(ISERROR(VLOOKUP(C32, Resultados_Reales!$A$4:$I$107, 5, FALSE)), ISERROR(VLOOKUP(C32, Resultados_Reales!$A$4:$I$107, 6, FALSE)), VLOOKUP(C32, Resultados_Reales!$A$4:$I$107, 5, FALSE)="", VLOOKUP(C32, Resultados_Reales!$A$4:$I$107, 6, FALSE)=""), 0, IF(AND(VLOOKUP(C32, Resultados_Reales!$A$4:$I$107, 5, FALSE)=G32, VLOOKUP(C32, Resultados_Reales!$A$4:$I$107, 6, FALSE)=H32), Configuracion!$B$5, IF(SIGN(VLOOKUP(C32, Resultados_Reales!$A$4:$I$107, 5, FALSE)-VLOOKUP(C32, Resultados_Reales!$A$4:$I$107, 6, FALSE)) = SIGN(G32-H32), Configuracion!$B$4, 0)))</f>
        <v/>
      </c>
      <c r="L32" s="11" t="n"/>
      <c r="M32" s="11" t="n"/>
      <c r="N32" s="11" t="n"/>
      <c r="O32" s="11" t="n"/>
      <c r="P32" s="11" t="n"/>
      <c r="Q32" s="11" t="n"/>
    </row>
    <row r="33">
      <c r="A33" s="8">
        <f>B33&amp;"_"&amp;C33</f>
        <v/>
      </c>
      <c r="B33" s="8" t="n"/>
      <c r="C33" s="8" t="n"/>
      <c r="D33" s="8" t="n"/>
      <c r="E33" s="11" t="n"/>
      <c r="F33" s="11" t="n"/>
      <c r="G33" s="8" t="n"/>
      <c r="H33" s="8" t="n"/>
      <c r="I33" s="8" t="n"/>
      <c r="J33" s="8" t="n"/>
      <c r="K33" s="12">
        <f>IF(OR(ISERROR(VLOOKUP(C33, Resultados_Reales!$A$4:$I$107, 5, FALSE)), ISERROR(VLOOKUP(C33, Resultados_Reales!$A$4:$I$107, 6, FALSE)), VLOOKUP(C33, Resultados_Reales!$A$4:$I$107, 5, FALSE)="", VLOOKUP(C33, Resultados_Reales!$A$4:$I$107, 6, FALSE)=""), 0, IF(AND(VLOOKUP(C33, Resultados_Reales!$A$4:$I$107, 5, FALSE)=G33, VLOOKUP(C33, Resultados_Reales!$A$4:$I$107, 6, FALSE)=H33), Configuracion!$B$5, IF(SIGN(VLOOKUP(C33, Resultados_Reales!$A$4:$I$107, 5, FALSE)-VLOOKUP(C33, Resultados_Reales!$A$4:$I$107, 6, FALSE)) = SIGN(G33-H33), Configuracion!$B$4, 0)))</f>
        <v/>
      </c>
      <c r="L33" s="11" t="n"/>
      <c r="M33" s="11" t="n"/>
      <c r="N33" s="11" t="n"/>
      <c r="O33" s="11" t="n"/>
      <c r="P33" s="11" t="n"/>
      <c r="Q33" s="11" t="n"/>
    </row>
    <row r="34">
      <c r="A34" s="8">
        <f>B34&amp;"_"&amp;C34</f>
        <v/>
      </c>
      <c r="B34" s="8" t="n"/>
      <c r="C34" s="8" t="n"/>
      <c r="D34" s="8" t="n"/>
      <c r="E34" s="11" t="n"/>
      <c r="F34" s="11" t="n"/>
      <c r="G34" s="8" t="n"/>
      <c r="H34" s="8" t="n"/>
      <c r="I34" s="8" t="n"/>
      <c r="J34" s="8" t="n"/>
      <c r="K34" s="12">
        <f>IF(OR(ISERROR(VLOOKUP(C34, Resultados_Reales!$A$4:$I$107, 5, FALSE)), ISERROR(VLOOKUP(C34, Resultados_Reales!$A$4:$I$107, 6, FALSE)), VLOOKUP(C34, Resultados_Reales!$A$4:$I$107, 5, FALSE)="", VLOOKUP(C34, Resultados_Reales!$A$4:$I$107, 6, FALSE)=""), 0, IF(AND(VLOOKUP(C34, Resultados_Reales!$A$4:$I$107, 5, FALSE)=G34, VLOOKUP(C34, Resultados_Reales!$A$4:$I$107, 6, FALSE)=H34), Configuracion!$B$5, IF(SIGN(VLOOKUP(C34, Resultados_Reales!$A$4:$I$107, 5, FALSE)-VLOOKUP(C34, Resultados_Reales!$A$4:$I$107, 6, FALSE)) = SIGN(G34-H34), Configuracion!$B$4, 0)))</f>
        <v/>
      </c>
      <c r="L34" s="11" t="n"/>
      <c r="M34" s="11" t="n"/>
      <c r="N34" s="11" t="n"/>
      <c r="O34" s="11" t="n"/>
      <c r="P34" s="11" t="n"/>
      <c r="Q34" s="11" t="n"/>
    </row>
    <row r="35">
      <c r="A35" s="8">
        <f>B35&amp;"_"&amp;C35</f>
        <v/>
      </c>
      <c r="B35" s="8" t="n"/>
      <c r="C35" s="8" t="n"/>
      <c r="D35" s="8" t="n"/>
      <c r="E35" s="11" t="n"/>
      <c r="F35" s="11" t="n"/>
      <c r="G35" s="8" t="n"/>
      <c r="H35" s="8" t="n"/>
      <c r="I35" s="8" t="n"/>
      <c r="J35" s="8" t="n"/>
      <c r="K35" s="12">
        <f>IF(OR(ISERROR(VLOOKUP(C35, Resultados_Reales!$A$4:$I$107, 5, FALSE)), ISERROR(VLOOKUP(C35, Resultados_Reales!$A$4:$I$107, 6, FALSE)), VLOOKUP(C35, Resultados_Reales!$A$4:$I$107, 5, FALSE)="", VLOOKUP(C35, Resultados_Reales!$A$4:$I$107, 6, FALSE)=""), 0, IF(AND(VLOOKUP(C35, Resultados_Reales!$A$4:$I$107, 5, FALSE)=G35, VLOOKUP(C35, Resultados_Reales!$A$4:$I$107, 6, FALSE)=H35), Configuracion!$B$5, IF(SIGN(VLOOKUP(C35, Resultados_Reales!$A$4:$I$107, 5, FALSE)-VLOOKUP(C35, Resultados_Reales!$A$4:$I$107, 6, FALSE)) = SIGN(G35-H35), Configuracion!$B$4, 0)))</f>
        <v/>
      </c>
      <c r="L35" s="11" t="n"/>
      <c r="M35" s="11" t="n"/>
      <c r="N35" s="11" t="n"/>
      <c r="O35" s="11" t="n"/>
      <c r="P35" s="11" t="n"/>
      <c r="Q35" s="11" t="n"/>
    </row>
    <row r="36">
      <c r="A36" s="8">
        <f>B36&amp;"_"&amp;C36</f>
        <v/>
      </c>
      <c r="B36" s="8" t="n"/>
      <c r="C36" s="8" t="n"/>
      <c r="D36" s="8" t="n"/>
      <c r="E36" s="11" t="n"/>
      <c r="F36" s="11" t="n"/>
      <c r="G36" s="8" t="n"/>
      <c r="H36" s="8" t="n"/>
      <c r="I36" s="8" t="n"/>
      <c r="J36" s="8" t="n"/>
      <c r="K36" s="12">
        <f>IF(OR(ISERROR(VLOOKUP(C36, Resultados_Reales!$A$4:$I$107, 5, FALSE)), ISERROR(VLOOKUP(C36, Resultados_Reales!$A$4:$I$107, 6, FALSE)), VLOOKUP(C36, Resultados_Reales!$A$4:$I$107, 5, FALSE)="", VLOOKUP(C36, Resultados_Reales!$A$4:$I$107, 6, FALSE)=""), 0, IF(AND(VLOOKUP(C36, Resultados_Reales!$A$4:$I$107, 5, FALSE)=G36, VLOOKUP(C36, Resultados_Reales!$A$4:$I$107, 6, FALSE)=H36), Configuracion!$B$5, IF(SIGN(VLOOKUP(C36, Resultados_Reales!$A$4:$I$107, 5, FALSE)-VLOOKUP(C36, Resultados_Reales!$A$4:$I$107, 6, FALSE)) = SIGN(G36-H36), Configuracion!$B$4, 0)))</f>
        <v/>
      </c>
      <c r="L36" s="11" t="n"/>
      <c r="M36" s="11" t="n"/>
      <c r="N36" s="11" t="n"/>
      <c r="O36" s="11" t="n"/>
      <c r="P36" s="11" t="n"/>
      <c r="Q36" s="11" t="n"/>
    </row>
    <row r="37">
      <c r="A37" s="8">
        <f>B37&amp;"_"&amp;C37</f>
        <v/>
      </c>
      <c r="B37" s="8" t="n"/>
      <c r="C37" s="8" t="n"/>
      <c r="D37" s="8" t="n"/>
      <c r="E37" s="11" t="n"/>
      <c r="F37" s="11" t="n"/>
      <c r="G37" s="8" t="n"/>
      <c r="H37" s="8" t="n"/>
      <c r="I37" s="8" t="n"/>
      <c r="J37" s="8" t="n"/>
      <c r="K37" s="12">
        <f>IF(OR(ISERROR(VLOOKUP(C37, Resultados_Reales!$A$4:$I$107, 5, FALSE)), ISERROR(VLOOKUP(C37, Resultados_Reales!$A$4:$I$107, 6, FALSE)), VLOOKUP(C37, Resultados_Reales!$A$4:$I$107, 5, FALSE)="", VLOOKUP(C37, Resultados_Reales!$A$4:$I$107, 6, FALSE)=""), 0, IF(AND(VLOOKUP(C37, Resultados_Reales!$A$4:$I$107, 5, FALSE)=G37, VLOOKUP(C37, Resultados_Reales!$A$4:$I$107, 6, FALSE)=H37), Configuracion!$B$5, IF(SIGN(VLOOKUP(C37, Resultados_Reales!$A$4:$I$107, 5, FALSE)-VLOOKUP(C37, Resultados_Reales!$A$4:$I$107, 6, FALSE)) = SIGN(G37-H37), Configuracion!$B$4, 0)))</f>
        <v/>
      </c>
      <c r="L37" s="11" t="n"/>
      <c r="M37" s="11" t="n"/>
      <c r="N37" s="11" t="n"/>
      <c r="O37" s="11" t="n"/>
      <c r="P37" s="11" t="n"/>
      <c r="Q37" s="11" t="n"/>
    </row>
    <row r="38">
      <c r="A38" s="8">
        <f>B38&amp;"_"&amp;C38</f>
        <v/>
      </c>
      <c r="B38" s="8" t="n"/>
      <c r="C38" s="8" t="n"/>
      <c r="D38" s="8" t="n"/>
      <c r="E38" s="11" t="n"/>
      <c r="F38" s="11" t="n"/>
      <c r="G38" s="8" t="n"/>
      <c r="H38" s="8" t="n"/>
      <c r="I38" s="8" t="n"/>
      <c r="J38" s="8" t="n"/>
      <c r="K38" s="12">
        <f>IF(OR(ISERROR(VLOOKUP(C38, Resultados_Reales!$A$4:$I$107, 5, FALSE)), ISERROR(VLOOKUP(C38, Resultados_Reales!$A$4:$I$107, 6, FALSE)), VLOOKUP(C38, Resultados_Reales!$A$4:$I$107, 5, FALSE)="", VLOOKUP(C38, Resultados_Reales!$A$4:$I$107, 6, FALSE)=""), 0, IF(AND(VLOOKUP(C38, Resultados_Reales!$A$4:$I$107, 5, FALSE)=G38, VLOOKUP(C38, Resultados_Reales!$A$4:$I$107, 6, FALSE)=H38), Configuracion!$B$5, IF(SIGN(VLOOKUP(C38, Resultados_Reales!$A$4:$I$107, 5, FALSE)-VLOOKUP(C38, Resultados_Reales!$A$4:$I$107, 6, FALSE)) = SIGN(G38-H38), Configuracion!$B$4, 0)))</f>
        <v/>
      </c>
      <c r="L38" s="11" t="n"/>
      <c r="M38" s="11" t="n"/>
      <c r="N38" s="11" t="n"/>
      <c r="O38" s="11" t="n"/>
      <c r="P38" s="11" t="n"/>
      <c r="Q38" s="11" t="n"/>
    </row>
    <row r="39">
      <c r="A39" s="8">
        <f>B39&amp;"_"&amp;C39</f>
        <v/>
      </c>
      <c r="B39" s="8" t="n"/>
      <c r="C39" s="8" t="n"/>
      <c r="D39" s="8" t="n"/>
      <c r="E39" s="11" t="n"/>
      <c r="F39" s="11" t="n"/>
      <c r="G39" s="8" t="n"/>
      <c r="H39" s="8" t="n"/>
      <c r="I39" s="8" t="n"/>
      <c r="J39" s="8" t="n"/>
      <c r="K39" s="12">
        <f>IF(OR(ISERROR(VLOOKUP(C39, Resultados_Reales!$A$4:$I$107, 5, FALSE)), ISERROR(VLOOKUP(C39, Resultados_Reales!$A$4:$I$107, 6, FALSE)), VLOOKUP(C39, Resultados_Reales!$A$4:$I$107, 5, FALSE)="", VLOOKUP(C39, Resultados_Reales!$A$4:$I$107, 6, FALSE)=""), 0, IF(AND(VLOOKUP(C39, Resultados_Reales!$A$4:$I$107, 5, FALSE)=G39, VLOOKUP(C39, Resultados_Reales!$A$4:$I$107, 6, FALSE)=H39), Configuracion!$B$5, IF(SIGN(VLOOKUP(C39, Resultados_Reales!$A$4:$I$107, 5, FALSE)-VLOOKUP(C39, Resultados_Reales!$A$4:$I$107, 6, FALSE)) = SIGN(G39-H39), Configuracion!$B$4, 0)))</f>
        <v/>
      </c>
      <c r="L39" s="11" t="n"/>
      <c r="M39" s="11" t="n"/>
      <c r="N39" s="11" t="n"/>
      <c r="O39" s="11" t="n"/>
      <c r="P39" s="11" t="n"/>
      <c r="Q39" s="11" t="n"/>
    </row>
    <row r="40">
      <c r="A40" s="8">
        <f>B40&amp;"_"&amp;C40</f>
        <v/>
      </c>
      <c r="B40" s="8" t="n"/>
      <c r="C40" s="8" t="n"/>
      <c r="D40" s="8" t="n"/>
      <c r="E40" s="11" t="n"/>
      <c r="F40" s="11" t="n"/>
      <c r="G40" s="8" t="n"/>
      <c r="H40" s="8" t="n"/>
      <c r="I40" s="8" t="n"/>
      <c r="J40" s="8" t="n"/>
      <c r="K40" s="12">
        <f>IF(OR(ISERROR(VLOOKUP(C40, Resultados_Reales!$A$4:$I$107, 5, FALSE)), ISERROR(VLOOKUP(C40, Resultados_Reales!$A$4:$I$107, 6, FALSE)), VLOOKUP(C40, Resultados_Reales!$A$4:$I$107, 5, FALSE)="", VLOOKUP(C40, Resultados_Reales!$A$4:$I$107, 6, FALSE)=""), 0, IF(AND(VLOOKUP(C40, Resultados_Reales!$A$4:$I$107, 5, FALSE)=G40, VLOOKUP(C40, Resultados_Reales!$A$4:$I$107, 6, FALSE)=H40), Configuracion!$B$5, IF(SIGN(VLOOKUP(C40, Resultados_Reales!$A$4:$I$107, 5, FALSE)-VLOOKUP(C40, Resultados_Reales!$A$4:$I$107, 6, FALSE)) = SIGN(G40-H40), Configuracion!$B$4, 0)))</f>
        <v/>
      </c>
      <c r="L40" s="11" t="n"/>
      <c r="M40" s="11" t="n"/>
      <c r="N40" s="11" t="n"/>
      <c r="O40" s="11" t="n"/>
      <c r="P40" s="11" t="n"/>
      <c r="Q40" s="11" t="n"/>
    </row>
    <row r="41">
      <c r="A41" s="8">
        <f>B41&amp;"_"&amp;C41</f>
        <v/>
      </c>
      <c r="B41" s="8" t="n"/>
      <c r="C41" s="8" t="n"/>
      <c r="D41" s="8" t="n"/>
      <c r="E41" s="11" t="n"/>
      <c r="F41" s="11" t="n"/>
      <c r="G41" s="8" t="n"/>
      <c r="H41" s="8" t="n"/>
      <c r="I41" s="8" t="n"/>
      <c r="J41" s="8" t="n"/>
      <c r="K41" s="12">
        <f>IF(OR(ISERROR(VLOOKUP(C41, Resultados_Reales!$A$4:$I$107, 5, FALSE)), ISERROR(VLOOKUP(C41, Resultados_Reales!$A$4:$I$107, 6, FALSE)), VLOOKUP(C41, Resultados_Reales!$A$4:$I$107, 5, FALSE)="", VLOOKUP(C41, Resultados_Reales!$A$4:$I$107, 6, FALSE)=""), 0, IF(AND(VLOOKUP(C41, Resultados_Reales!$A$4:$I$107, 5, FALSE)=G41, VLOOKUP(C41, Resultados_Reales!$A$4:$I$107, 6, FALSE)=H41), Configuracion!$B$5, IF(SIGN(VLOOKUP(C41, Resultados_Reales!$A$4:$I$107, 5, FALSE)-VLOOKUP(C41, Resultados_Reales!$A$4:$I$107, 6, FALSE)) = SIGN(G41-H41), Configuracion!$B$4, 0)))</f>
        <v/>
      </c>
      <c r="L41" s="11" t="n"/>
      <c r="M41" s="11" t="n"/>
      <c r="N41" s="11" t="n"/>
      <c r="O41" s="11" t="n"/>
      <c r="P41" s="11" t="n"/>
      <c r="Q41" s="11" t="n"/>
    </row>
    <row r="42">
      <c r="A42" s="8">
        <f>B42&amp;"_"&amp;C42</f>
        <v/>
      </c>
      <c r="B42" s="8" t="n"/>
      <c r="C42" s="8" t="n"/>
      <c r="D42" s="8" t="n"/>
      <c r="E42" s="11" t="n"/>
      <c r="F42" s="11" t="n"/>
      <c r="G42" s="8" t="n"/>
      <c r="H42" s="8" t="n"/>
      <c r="I42" s="8" t="n"/>
      <c r="J42" s="8" t="n"/>
      <c r="K42" s="12">
        <f>IF(OR(ISERROR(VLOOKUP(C42, Resultados_Reales!$A$4:$I$107, 5, FALSE)), ISERROR(VLOOKUP(C42, Resultados_Reales!$A$4:$I$107, 6, FALSE)), VLOOKUP(C42, Resultados_Reales!$A$4:$I$107, 5, FALSE)="", VLOOKUP(C42, Resultados_Reales!$A$4:$I$107, 6, FALSE)=""), 0, IF(AND(VLOOKUP(C42, Resultados_Reales!$A$4:$I$107, 5, FALSE)=G42, VLOOKUP(C42, Resultados_Reales!$A$4:$I$107, 6, FALSE)=H42), Configuracion!$B$5, IF(SIGN(VLOOKUP(C42, Resultados_Reales!$A$4:$I$107, 5, FALSE)-VLOOKUP(C42, Resultados_Reales!$A$4:$I$107, 6, FALSE)) = SIGN(G42-H42), Configuracion!$B$4, 0)))</f>
        <v/>
      </c>
      <c r="L42" s="11" t="n"/>
      <c r="M42" s="11" t="n"/>
      <c r="N42" s="11" t="n"/>
      <c r="O42" s="11" t="n"/>
      <c r="P42" s="11" t="n"/>
      <c r="Q42" s="11" t="n"/>
    </row>
    <row r="43">
      <c r="A43" s="8">
        <f>B43&amp;"_"&amp;C43</f>
        <v/>
      </c>
      <c r="B43" s="8" t="n"/>
      <c r="C43" s="8" t="n"/>
      <c r="D43" s="8" t="n"/>
      <c r="E43" s="11" t="n"/>
      <c r="F43" s="11" t="n"/>
      <c r="G43" s="8" t="n"/>
      <c r="H43" s="8" t="n"/>
      <c r="I43" s="8" t="n"/>
      <c r="J43" s="8" t="n"/>
      <c r="K43" s="12">
        <f>IF(OR(ISERROR(VLOOKUP(C43, Resultados_Reales!$A$4:$I$107, 5, FALSE)), ISERROR(VLOOKUP(C43, Resultados_Reales!$A$4:$I$107, 6, FALSE)), VLOOKUP(C43, Resultados_Reales!$A$4:$I$107, 5, FALSE)="", VLOOKUP(C43, Resultados_Reales!$A$4:$I$107, 6, FALSE)=""), 0, IF(AND(VLOOKUP(C43, Resultados_Reales!$A$4:$I$107, 5, FALSE)=G43, VLOOKUP(C43, Resultados_Reales!$A$4:$I$107, 6, FALSE)=H43), Configuracion!$B$5, IF(SIGN(VLOOKUP(C43, Resultados_Reales!$A$4:$I$107, 5, FALSE)-VLOOKUP(C43, Resultados_Reales!$A$4:$I$107, 6, FALSE)) = SIGN(G43-H43), Configuracion!$B$4, 0)))</f>
        <v/>
      </c>
      <c r="L43" s="11" t="n"/>
      <c r="M43" s="11" t="n"/>
      <c r="N43" s="11" t="n"/>
      <c r="O43" s="11" t="n"/>
      <c r="P43" s="11" t="n"/>
      <c r="Q43" s="11" t="n"/>
    </row>
    <row r="44">
      <c r="A44" s="8">
        <f>B44&amp;"_"&amp;C44</f>
        <v/>
      </c>
      <c r="B44" s="8" t="n"/>
      <c r="C44" s="8" t="n"/>
      <c r="D44" s="8" t="n"/>
      <c r="E44" s="11" t="n"/>
      <c r="F44" s="11" t="n"/>
      <c r="G44" s="8" t="n"/>
      <c r="H44" s="8" t="n"/>
      <c r="I44" s="8" t="n"/>
      <c r="J44" s="8" t="n"/>
      <c r="K44" s="12">
        <f>IF(OR(ISERROR(VLOOKUP(C44, Resultados_Reales!$A$4:$I$107, 5, FALSE)), ISERROR(VLOOKUP(C44, Resultados_Reales!$A$4:$I$107, 6, FALSE)), VLOOKUP(C44, Resultados_Reales!$A$4:$I$107, 5, FALSE)="", VLOOKUP(C44, Resultados_Reales!$A$4:$I$107, 6, FALSE)=""), 0, IF(AND(VLOOKUP(C44, Resultados_Reales!$A$4:$I$107, 5, FALSE)=G44, VLOOKUP(C44, Resultados_Reales!$A$4:$I$107, 6, FALSE)=H44), Configuracion!$B$5, IF(SIGN(VLOOKUP(C44, Resultados_Reales!$A$4:$I$107, 5, FALSE)-VLOOKUP(C44, Resultados_Reales!$A$4:$I$107, 6, FALSE)) = SIGN(G44-H44), Configuracion!$B$4, 0)))</f>
        <v/>
      </c>
      <c r="L44" s="11" t="n"/>
      <c r="M44" s="11" t="n"/>
      <c r="N44" s="11" t="n"/>
      <c r="O44" s="11" t="n"/>
      <c r="P44" s="11" t="n"/>
      <c r="Q44" s="11" t="n"/>
    </row>
    <row r="45">
      <c r="A45" s="8">
        <f>B45&amp;"_"&amp;C45</f>
        <v/>
      </c>
      <c r="B45" s="8" t="n"/>
      <c r="C45" s="8" t="n"/>
      <c r="D45" s="8" t="n"/>
      <c r="E45" s="11" t="n"/>
      <c r="F45" s="11" t="n"/>
      <c r="G45" s="8" t="n"/>
      <c r="H45" s="8" t="n"/>
      <c r="I45" s="8" t="n"/>
      <c r="J45" s="8" t="n"/>
      <c r="K45" s="12">
        <f>IF(OR(ISERROR(VLOOKUP(C45, Resultados_Reales!$A$4:$I$107, 5, FALSE)), ISERROR(VLOOKUP(C45, Resultados_Reales!$A$4:$I$107, 6, FALSE)), VLOOKUP(C45, Resultados_Reales!$A$4:$I$107, 5, FALSE)="", VLOOKUP(C45, Resultados_Reales!$A$4:$I$107, 6, FALSE)=""), 0, IF(AND(VLOOKUP(C45, Resultados_Reales!$A$4:$I$107, 5, FALSE)=G45, VLOOKUP(C45, Resultados_Reales!$A$4:$I$107, 6, FALSE)=H45), Configuracion!$B$5, IF(SIGN(VLOOKUP(C45, Resultados_Reales!$A$4:$I$107, 5, FALSE)-VLOOKUP(C45, Resultados_Reales!$A$4:$I$107, 6, FALSE)) = SIGN(G45-H45), Configuracion!$B$4, 0)))</f>
        <v/>
      </c>
      <c r="L45" s="11" t="n"/>
      <c r="M45" s="11" t="n"/>
      <c r="N45" s="11" t="n"/>
      <c r="O45" s="11" t="n"/>
      <c r="P45" s="11" t="n"/>
      <c r="Q45" s="11" t="n"/>
    </row>
    <row r="46">
      <c r="A46" s="8">
        <f>B46&amp;"_"&amp;C46</f>
        <v/>
      </c>
      <c r="B46" s="8" t="n"/>
      <c r="C46" s="8" t="n"/>
      <c r="D46" s="8" t="n"/>
      <c r="E46" s="11" t="n"/>
      <c r="F46" s="11" t="n"/>
      <c r="G46" s="8" t="n"/>
      <c r="H46" s="8" t="n"/>
      <c r="I46" s="8" t="n"/>
      <c r="J46" s="8" t="n"/>
      <c r="K46" s="12">
        <f>IF(OR(ISERROR(VLOOKUP(C46, Resultados_Reales!$A$4:$I$107, 5, FALSE)), ISERROR(VLOOKUP(C46, Resultados_Reales!$A$4:$I$107, 6, FALSE)), VLOOKUP(C46, Resultados_Reales!$A$4:$I$107, 5, FALSE)="", VLOOKUP(C46, Resultados_Reales!$A$4:$I$107, 6, FALSE)=""), 0, IF(AND(VLOOKUP(C46, Resultados_Reales!$A$4:$I$107, 5, FALSE)=G46, VLOOKUP(C46, Resultados_Reales!$A$4:$I$107, 6, FALSE)=H46), Configuracion!$B$5, IF(SIGN(VLOOKUP(C46, Resultados_Reales!$A$4:$I$107, 5, FALSE)-VLOOKUP(C46, Resultados_Reales!$A$4:$I$107, 6, FALSE)) = SIGN(G46-H46), Configuracion!$B$4, 0)))</f>
        <v/>
      </c>
      <c r="L46" s="11" t="n"/>
      <c r="M46" s="11" t="n"/>
      <c r="N46" s="11" t="n"/>
      <c r="O46" s="11" t="n"/>
      <c r="P46" s="11" t="n"/>
      <c r="Q46" s="11" t="n"/>
    </row>
    <row r="47">
      <c r="A47" s="8">
        <f>B47&amp;"_"&amp;C47</f>
        <v/>
      </c>
      <c r="B47" s="8" t="n"/>
      <c r="C47" s="8" t="n"/>
      <c r="D47" s="8" t="n"/>
      <c r="E47" s="11" t="n"/>
      <c r="F47" s="11" t="n"/>
      <c r="G47" s="8" t="n"/>
      <c r="H47" s="8" t="n"/>
      <c r="I47" s="8" t="n"/>
      <c r="J47" s="8" t="n"/>
      <c r="K47" s="12">
        <f>IF(OR(ISERROR(VLOOKUP(C47, Resultados_Reales!$A$4:$I$107, 5, FALSE)), ISERROR(VLOOKUP(C47, Resultados_Reales!$A$4:$I$107, 6, FALSE)), VLOOKUP(C47, Resultados_Reales!$A$4:$I$107, 5, FALSE)="", VLOOKUP(C47, Resultados_Reales!$A$4:$I$107, 6, FALSE)=""), 0, IF(AND(VLOOKUP(C47, Resultados_Reales!$A$4:$I$107, 5, FALSE)=G47, VLOOKUP(C47, Resultados_Reales!$A$4:$I$107, 6, FALSE)=H47), Configuracion!$B$5, IF(SIGN(VLOOKUP(C47, Resultados_Reales!$A$4:$I$107, 5, FALSE)-VLOOKUP(C47, Resultados_Reales!$A$4:$I$107, 6, FALSE)) = SIGN(G47-H47), Configuracion!$B$4, 0)))</f>
        <v/>
      </c>
      <c r="L47" s="11" t="n"/>
      <c r="M47" s="11" t="n"/>
      <c r="N47" s="11" t="n"/>
      <c r="O47" s="11" t="n"/>
      <c r="P47" s="11" t="n"/>
      <c r="Q47" s="11" t="n"/>
    </row>
    <row r="48">
      <c r="A48" s="8">
        <f>B48&amp;"_"&amp;C48</f>
        <v/>
      </c>
      <c r="B48" s="8" t="n"/>
      <c r="C48" s="8" t="n"/>
      <c r="D48" s="8" t="n"/>
      <c r="E48" s="11" t="n"/>
      <c r="F48" s="11" t="n"/>
      <c r="G48" s="8" t="n"/>
      <c r="H48" s="8" t="n"/>
      <c r="I48" s="8" t="n"/>
      <c r="J48" s="8" t="n"/>
      <c r="K48" s="12">
        <f>IF(OR(ISERROR(VLOOKUP(C48, Resultados_Reales!$A$4:$I$107, 5, FALSE)), ISERROR(VLOOKUP(C48, Resultados_Reales!$A$4:$I$107, 6, FALSE)), VLOOKUP(C48, Resultados_Reales!$A$4:$I$107, 5, FALSE)="", VLOOKUP(C48, Resultados_Reales!$A$4:$I$107, 6, FALSE)=""), 0, IF(AND(VLOOKUP(C48, Resultados_Reales!$A$4:$I$107, 5, FALSE)=G48, VLOOKUP(C48, Resultados_Reales!$A$4:$I$107, 6, FALSE)=H48), Configuracion!$B$5, IF(SIGN(VLOOKUP(C48, Resultados_Reales!$A$4:$I$107, 5, FALSE)-VLOOKUP(C48, Resultados_Reales!$A$4:$I$107, 6, FALSE)) = SIGN(G48-H48), Configuracion!$B$4, 0)))</f>
        <v/>
      </c>
      <c r="L48" s="11" t="n"/>
      <c r="M48" s="11" t="n"/>
      <c r="N48" s="11" t="n"/>
      <c r="O48" s="11" t="n"/>
      <c r="P48" s="11" t="n"/>
      <c r="Q48" s="11" t="n"/>
    </row>
    <row r="49">
      <c r="A49" s="8">
        <f>B49&amp;"_"&amp;C49</f>
        <v/>
      </c>
      <c r="B49" s="8" t="n"/>
      <c r="C49" s="8" t="n"/>
      <c r="D49" s="8" t="n"/>
      <c r="E49" s="11" t="n"/>
      <c r="F49" s="11" t="n"/>
      <c r="G49" s="8" t="n"/>
      <c r="H49" s="8" t="n"/>
      <c r="I49" s="8" t="n"/>
      <c r="J49" s="8" t="n"/>
      <c r="K49" s="12">
        <f>IF(OR(ISERROR(VLOOKUP(C49, Resultados_Reales!$A$4:$I$107, 5, FALSE)), ISERROR(VLOOKUP(C49, Resultados_Reales!$A$4:$I$107, 6, FALSE)), VLOOKUP(C49, Resultados_Reales!$A$4:$I$107, 5, FALSE)="", VLOOKUP(C49, Resultados_Reales!$A$4:$I$107, 6, FALSE)=""), 0, IF(AND(VLOOKUP(C49, Resultados_Reales!$A$4:$I$107, 5, FALSE)=G49, VLOOKUP(C49, Resultados_Reales!$A$4:$I$107, 6, FALSE)=H49), Configuracion!$B$5, IF(SIGN(VLOOKUP(C49, Resultados_Reales!$A$4:$I$107, 5, FALSE)-VLOOKUP(C49, Resultados_Reales!$A$4:$I$107, 6, FALSE)) = SIGN(G49-H49), Configuracion!$B$4, 0)))</f>
        <v/>
      </c>
      <c r="L49" s="11" t="n"/>
      <c r="M49" s="11" t="n"/>
      <c r="N49" s="11" t="n"/>
      <c r="O49" s="11" t="n"/>
      <c r="P49" s="11" t="n"/>
      <c r="Q49" s="11" t="n"/>
    </row>
    <row r="50">
      <c r="A50" s="8">
        <f>B50&amp;"_"&amp;C50</f>
        <v/>
      </c>
      <c r="B50" s="8" t="n"/>
      <c r="C50" s="8" t="n"/>
      <c r="D50" s="8" t="n"/>
      <c r="E50" s="11" t="n"/>
      <c r="F50" s="11" t="n"/>
      <c r="G50" s="8" t="n"/>
      <c r="H50" s="8" t="n"/>
      <c r="I50" s="8" t="n"/>
      <c r="J50" s="8" t="n"/>
      <c r="K50" s="12">
        <f>IF(OR(ISERROR(VLOOKUP(C50, Resultados_Reales!$A$4:$I$107, 5, FALSE)), ISERROR(VLOOKUP(C50, Resultados_Reales!$A$4:$I$107, 6, FALSE)), VLOOKUP(C50, Resultados_Reales!$A$4:$I$107, 5, FALSE)="", VLOOKUP(C50, Resultados_Reales!$A$4:$I$107, 6, FALSE)=""), 0, IF(AND(VLOOKUP(C50, Resultados_Reales!$A$4:$I$107, 5, FALSE)=G50, VLOOKUP(C50, Resultados_Reales!$A$4:$I$107, 6, FALSE)=H50), Configuracion!$B$5, IF(SIGN(VLOOKUP(C50, Resultados_Reales!$A$4:$I$107, 5, FALSE)-VLOOKUP(C50, Resultados_Reales!$A$4:$I$107, 6, FALSE)) = SIGN(G50-H50), Configuracion!$B$4, 0)))</f>
        <v/>
      </c>
      <c r="L50" s="11" t="n"/>
      <c r="M50" s="11" t="n"/>
      <c r="N50" s="11" t="n"/>
      <c r="O50" s="11" t="n"/>
      <c r="P50" s="11" t="n"/>
      <c r="Q50" s="11" t="n"/>
    </row>
    <row r="51">
      <c r="A51" s="8">
        <f>B51&amp;"_"&amp;C51</f>
        <v/>
      </c>
      <c r="B51" s="8" t="n"/>
      <c r="C51" s="8" t="n"/>
      <c r="D51" s="8" t="n"/>
      <c r="E51" s="11" t="n"/>
      <c r="F51" s="11" t="n"/>
      <c r="G51" s="8" t="n"/>
      <c r="H51" s="8" t="n"/>
      <c r="I51" s="8" t="n"/>
      <c r="J51" s="8" t="n"/>
      <c r="K51" s="12">
        <f>IF(OR(ISERROR(VLOOKUP(C51, Resultados_Reales!$A$4:$I$107, 5, FALSE)), ISERROR(VLOOKUP(C51, Resultados_Reales!$A$4:$I$107, 6, FALSE)), VLOOKUP(C51, Resultados_Reales!$A$4:$I$107, 5, FALSE)="", VLOOKUP(C51, Resultados_Reales!$A$4:$I$107, 6, FALSE)=""), 0, IF(AND(VLOOKUP(C51, Resultados_Reales!$A$4:$I$107, 5, FALSE)=G51, VLOOKUP(C51, Resultados_Reales!$A$4:$I$107, 6, FALSE)=H51), Configuracion!$B$5, IF(SIGN(VLOOKUP(C51, Resultados_Reales!$A$4:$I$107, 5, FALSE)-VLOOKUP(C51, Resultados_Reales!$A$4:$I$107, 6, FALSE)) = SIGN(G51-H51), Configuracion!$B$4, 0)))</f>
        <v/>
      </c>
      <c r="L51" s="11" t="n"/>
      <c r="M51" s="11" t="n"/>
      <c r="N51" s="11" t="n"/>
      <c r="O51" s="11" t="n"/>
      <c r="P51" s="11" t="n"/>
      <c r="Q51" s="11" t="n"/>
    </row>
    <row r="52">
      <c r="A52" s="8">
        <f>B52&amp;"_"&amp;C52</f>
        <v/>
      </c>
      <c r="B52" s="8" t="n"/>
      <c r="C52" s="8" t="n"/>
      <c r="D52" s="8" t="n"/>
      <c r="E52" s="11" t="n"/>
      <c r="F52" s="11" t="n"/>
      <c r="G52" s="8" t="n"/>
      <c r="H52" s="8" t="n"/>
      <c r="I52" s="8" t="n"/>
      <c r="J52" s="8" t="n"/>
      <c r="K52" s="12">
        <f>IF(OR(ISERROR(VLOOKUP(C52, Resultados_Reales!$A$4:$I$107, 5, FALSE)), ISERROR(VLOOKUP(C52, Resultados_Reales!$A$4:$I$107, 6, FALSE)), VLOOKUP(C52, Resultados_Reales!$A$4:$I$107, 5, FALSE)="", VLOOKUP(C52, Resultados_Reales!$A$4:$I$107, 6, FALSE)=""), 0, IF(AND(VLOOKUP(C52, Resultados_Reales!$A$4:$I$107, 5, FALSE)=G52, VLOOKUP(C52, Resultados_Reales!$A$4:$I$107, 6, FALSE)=H52), Configuracion!$B$5, IF(SIGN(VLOOKUP(C52, Resultados_Reales!$A$4:$I$107, 5, FALSE)-VLOOKUP(C52, Resultados_Reales!$A$4:$I$107, 6, FALSE)) = SIGN(G52-H52), Configuracion!$B$4, 0)))</f>
        <v/>
      </c>
      <c r="L52" s="11" t="n"/>
      <c r="M52" s="11" t="n"/>
      <c r="N52" s="11" t="n"/>
      <c r="O52" s="11" t="n"/>
      <c r="P52" s="11" t="n"/>
      <c r="Q52" s="11" t="n"/>
    </row>
    <row r="53">
      <c r="A53" s="8">
        <f>B53&amp;"_"&amp;C53</f>
        <v/>
      </c>
      <c r="B53" s="8" t="n"/>
      <c r="C53" s="8" t="n"/>
      <c r="D53" s="8" t="n"/>
      <c r="E53" s="11" t="n"/>
      <c r="F53" s="11" t="n"/>
      <c r="G53" s="8" t="n"/>
      <c r="H53" s="8" t="n"/>
      <c r="I53" s="8" t="n"/>
      <c r="J53" s="8" t="n"/>
      <c r="K53" s="12">
        <f>IF(OR(ISERROR(VLOOKUP(C53, Resultados_Reales!$A$4:$I$107, 5, FALSE)), ISERROR(VLOOKUP(C53, Resultados_Reales!$A$4:$I$107, 6, FALSE)), VLOOKUP(C53, Resultados_Reales!$A$4:$I$107, 5, FALSE)="", VLOOKUP(C53, Resultados_Reales!$A$4:$I$107, 6, FALSE)=""), 0, IF(AND(VLOOKUP(C53, Resultados_Reales!$A$4:$I$107, 5, FALSE)=G53, VLOOKUP(C53, Resultados_Reales!$A$4:$I$107, 6, FALSE)=H53), Configuracion!$B$5, IF(SIGN(VLOOKUP(C53, Resultados_Reales!$A$4:$I$107, 5, FALSE)-VLOOKUP(C53, Resultados_Reales!$A$4:$I$107, 6, FALSE)) = SIGN(G53-H53), Configuracion!$B$4, 0)))</f>
        <v/>
      </c>
      <c r="L53" s="11" t="n"/>
      <c r="M53" s="11" t="n"/>
      <c r="N53" s="11" t="n"/>
      <c r="O53" s="11" t="n"/>
      <c r="P53" s="11" t="n"/>
      <c r="Q53" s="11" t="n"/>
    </row>
    <row r="54">
      <c r="A54" s="8">
        <f>B54&amp;"_"&amp;C54</f>
        <v/>
      </c>
      <c r="B54" s="8" t="n"/>
      <c r="C54" s="8" t="n"/>
      <c r="D54" s="8" t="n"/>
      <c r="E54" s="11" t="n"/>
      <c r="F54" s="11" t="n"/>
      <c r="G54" s="8" t="n"/>
      <c r="H54" s="8" t="n"/>
      <c r="I54" s="8" t="n"/>
      <c r="J54" s="8" t="n"/>
      <c r="K54" s="12">
        <f>IF(OR(ISERROR(VLOOKUP(C54, Resultados_Reales!$A$4:$I$107, 5, FALSE)), ISERROR(VLOOKUP(C54, Resultados_Reales!$A$4:$I$107, 6, FALSE)), VLOOKUP(C54, Resultados_Reales!$A$4:$I$107, 5, FALSE)="", VLOOKUP(C54, Resultados_Reales!$A$4:$I$107, 6, FALSE)=""), 0, IF(AND(VLOOKUP(C54, Resultados_Reales!$A$4:$I$107, 5, FALSE)=G54, VLOOKUP(C54, Resultados_Reales!$A$4:$I$107, 6, FALSE)=H54), Configuracion!$B$5, IF(SIGN(VLOOKUP(C54, Resultados_Reales!$A$4:$I$107, 5, FALSE)-VLOOKUP(C54, Resultados_Reales!$A$4:$I$107, 6, FALSE)) = SIGN(G54-H54), Configuracion!$B$4, 0)))</f>
        <v/>
      </c>
      <c r="L54" s="11" t="n"/>
      <c r="M54" s="11" t="n"/>
      <c r="N54" s="11" t="n"/>
      <c r="O54" s="11" t="n"/>
      <c r="P54" s="11" t="n"/>
      <c r="Q54" s="11" t="n"/>
    </row>
    <row r="55">
      <c r="A55" s="8">
        <f>B55&amp;"_"&amp;C55</f>
        <v/>
      </c>
      <c r="B55" s="8" t="n"/>
      <c r="C55" s="8" t="n"/>
      <c r="D55" s="8" t="n"/>
      <c r="E55" s="11" t="n"/>
      <c r="F55" s="11" t="n"/>
      <c r="G55" s="8" t="n"/>
      <c r="H55" s="8" t="n"/>
      <c r="I55" s="8" t="n"/>
      <c r="J55" s="8" t="n"/>
      <c r="K55" s="12">
        <f>IF(OR(ISERROR(VLOOKUP(C55, Resultados_Reales!$A$4:$I$107, 5, FALSE)), ISERROR(VLOOKUP(C55, Resultados_Reales!$A$4:$I$107, 6, FALSE)), VLOOKUP(C55, Resultados_Reales!$A$4:$I$107, 5, FALSE)="", VLOOKUP(C55, Resultados_Reales!$A$4:$I$107, 6, FALSE)=""), 0, IF(AND(VLOOKUP(C55, Resultados_Reales!$A$4:$I$107, 5, FALSE)=G55, VLOOKUP(C55, Resultados_Reales!$A$4:$I$107, 6, FALSE)=H55), Configuracion!$B$5, IF(SIGN(VLOOKUP(C55, Resultados_Reales!$A$4:$I$107, 5, FALSE)-VLOOKUP(C55, Resultados_Reales!$A$4:$I$107, 6, FALSE)) = SIGN(G55-H55), Configuracion!$B$4, 0)))</f>
        <v/>
      </c>
      <c r="L55" s="11" t="n"/>
      <c r="M55" s="11" t="n"/>
      <c r="N55" s="11" t="n"/>
      <c r="O55" s="11" t="n"/>
      <c r="P55" s="11" t="n"/>
      <c r="Q55" s="11" t="n"/>
    </row>
    <row r="56">
      <c r="A56" s="8">
        <f>B56&amp;"_"&amp;C56</f>
        <v/>
      </c>
      <c r="B56" s="8" t="n"/>
      <c r="C56" s="8" t="n"/>
      <c r="D56" s="8" t="n"/>
      <c r="E56" s="11" t="n"/>
      <c r="F56" s="11" t="n"/>
      <c r="G56" s="8" t="n"/>
      <c r="H56" s="8" t="n"/>
      <c r="I56" s="8" t="n"/>
      <c r="J56" s="8" t="n"/>
      <c r="K56" s="12">
        <f>IF(OR(ISERROR(VLOOKUP(C56, Resultados_Reales!$A$4:$I$107, 5, FALSE)), ISERROR(VLOOKUP(C56, Resultados_Reales!$A$4:$I$107, 6, FALSE)), VLOOKUP(C56, Resultados_Reales!$A$4:$I$107, 5, FALSE)="", VLOOKUP(C56, Resultados_Reales!$A$4:$I$107, 6, FALSE)=""), 0, IF(AND(VLOOKUP(C56, Resultados_Reales!$A$4:$I$107, 5, FALSE)=G56, VLOOKUP(C56, Resultados_Reales!$A$4:$I$107, 6, FALSE)=H56), Configuracion!$B$5, IF(SIGN(VLOOKUP(C56, Resultados_Reales!$A$4:$I$107, 5, FALSE)-VLOOKUP(C56, Resultados_Reales!$A$4:$I$107, 6, FALSE)) = SIGN(G56-H56), Configuracion!$B$4, 0)))</f>
        <v/>
      </c>
      <c r="L56" s="11" t="n"/>
      <c r="M56" s="11" t="n"/>
      <c r="N56" s="11" t="n"/>
      <c r="O56" s="11" t="n"/>
      <c r="P56" s="11" t="n"/>
      <c r="Q56" s="11" t="n"/>
    </row>
    <row r="57">
      <c r="A57" s="8">
        <f>B57&amp;"_"&amp;C57</f>
        <v/>
      </c>
      <c r="B57" s="8" t="n"/>
      <c r="C57" s="8" t="n"/>
      <c r="D57" s="8" t="n"/>
      <c r="E57" s="11" t="n"/>
      <c r="F57" s="11" t="n"/>
      <c r="G57" s="8" t="n"/>
      <c r="H57" s="8" t="n"/>
      <c r="I57" s="8" t="n"/>
      <c r="J57" s="8" t="n"/>
      <c r="K57" s="12">
        <f>IF(OR(ISERROR(VLOOKUP(C57, Resultados_Reales!$A$4:$I$107, 5, FALSE)), ISERROR(VLOOKUP(C57, Resultados_Reales!$A$4:$I$107, 6, FALSE)), VLOOKUP(C57, Resultados_Reales!$A$4:$I$107, 5, FALSE)="", VLOOKUP(C57, Resultados_Reales!$A$4:$I$107, 6, FALSE)=""), 0, IF(AND(VLOOKUP(C57, Resultados_Reales!$A$4:$I$107, 5, FALSE)=G57, VLOOKUP(C57, Resultados_Reales!$A$4:$I$107, 6, FALSE)=H57), Configuracion!$B$5, IF(SIGN(VLOOKUP(C57, Resultados_Reales!$A$4:$I$107, 5, FALSE)-VLOOKUP(C57, Resultados_Reales!$A$4:$I$107, 6, FALSE)) = SIGN(G57-H57), Configuracion!$B$4, 0)))</f>
        <v/>
      </c>
      <c r="L57" s="11" t="n"/>
      <c r="M57" s="11" t="n"/>
      <c r="N57" s="11" t="n"/>
      <c r="O57" s="11" t="n"/>
      <c r="P57" s="11" t="n"/>
      <c r="Q57" s="11" t="n"/>
    </row>
    <row r="58">
      <c r="A58" s="8">
        <f>B58&amp;"_"&amp;C58</f>
        <v/>
      </c>
      <c r="B58" s="8" t="n"/>
      <c r="C58" s="8" t="n"/>
      <c r="D58" s="8" t="n"/>
      <c r="E58" s="11" t="n"/>
      <c r="F58" s="11" t="n"/>
      <c r="G58" s="8" t="n"/>
      <c r="H58" s="8" t="n"/>
      <c r="I58" s="8" t="n"/>
      <c r="J58" s="8" t="n"/>
      <c r="K58" s="12">
        <f>IF(OR(ISERROR(VLOOKUP(C58, Resultados_Reales!$A$4:$I$107, 5, FALSE)), ISERROR(VLOOKUP(C58, Resultados_Reales!$A$4:$I$107, 6, FALSE)), VLOOKUP(C58, Resultados_Reales!$A$4:$I$107, 5, FALSE)="", VLOOKUP(C58, Resultados_Reales!$A$4:$I$107, 6, FALSE)=""), 0, IF(AND(VLOOKUP(C58, Resultados_Reales!$A$4:$I$107, 5, FALSE)=G58, VLOOKUP(C58, Resultados_Reales!$A$4:$I$107, 6, FALSE)=H58), Configuracion!$B$5, IF(SIGN(VLOOKUP(C58, Resultados_Reales!$A$4:$I$107, 5, FALSE)-VLOOKUP(C58, Resultados_Reales!$A$4:$I$107, 6, FALSE)) = SIGN(G58-H58), Configuracion!$B$4, 0)))</f>
        <v/>
      </c>
      <c r="L58" s="11" t="n"/>
      <c r="M58" s="11" t="n"/>
      <c r="N58" s="11" t="n"/>
      <c r="O58" s="11" t="n"/>
      <c r="P58" s="11" t="n"/>
      <c r="Q58" s="11" t="n"/>
    </row>
    <row r="59">
      <c r="A59" s="8">
        <f>B59&amp;"_"&amp;C59</f>
        <v/>
      </c>
      <c r="B59" s="8" t="n"/>
      <c r="C59" s="8" t="n"/>
      <c r="D59" s="8" t="n"/>
      <c r="E59" s="11" t="n"/>
      <c r="F59" s="11" t="n"/>
      <c r="G59" s="8" t="n"/>
      <c r="H59" s="8" t="n"/>
      <c r="I59" s="8" t="n"/>
      <c r="J59" s="8" t="n"/>
      <c r="K59" s="12">
        <f>IF(OR(ISERROR(VLOOKUP(C59, Resultados_Reales!$A$4:$I$107, 5, FALSE)), ISERROR(VLOOKUP(C59, Resultados_Reales!$A$4:$I$107, 6, FALSE)), VLOOKUP(C59, Resultados_Reales!$A$4:$I$107, 5, FALSE)="", VLOOKUP(C59, Resultados_Reales!$A$4:$I$107, 6, FALSE)=""), 0, IF(AND(VLOOKUP(C59, Resultados_Reales!$A$4:$I$107, 5, FALSE)=G59, VLOOKUP(C59, Resultados_Reales!$A$4:$I$107, 6, FALSE)=H59), Configuracion!$B$5, IF(SIGN(VLOOKUP(C59, Resultados_Reales!$A$4:$I$107, 5, FALSE)-VLOOKUP(C59, Resultados_Reales!$A$4:$I$107, 6, FALSE)) = SIGN(G59-H59), Configuracion!$B$4, 0)))</f>
        <v/>
      </c>
      <c r="L59" s="11" t="n"/>
      <c r="M59" s="11" t="n"/>
      <c r="N59" s="11" t="n"/>
      <c r="O59" s="11" t="n"/>
      <c r="P59" s="11" t="n"/>
      <c r="Q59" s="11" t="n"/>
    </row>
    <row r="60">
      <c r="A60" s="8">
        <f>B60&amp;"_"&amp;C60</f>
        <v/>
      </c>
      <c r="B60" s="8" t="n"/>
      <c r="C60" s="8" t="n"/>
      <c r="D60" s="8" t="n"/>
      <c r="E60" s="11" t="n"/>
      <c r="F60" s="11" t="n"/>
      <c r="G60" s="8" t="n"/>
      <c r="H60" s="8" t="n"/>
      <c r="I60" s="8" t="n"/>
      <c r="J60" s="8" t="n"/>
      <c r="K60" s="12">
        <f>IF(OR(ISERROR(VLOOKUP(C60, Resultados_Reales!$A$4:$I$107, 5, FALSE)), ISERROR(VLOOKUP(C60, Resultados_Reales!$A$4:$I$107, 6, FALSE)), VLOOKUP(C60, Resultados_Reales!$A$4:$I$107, 5, FALSE)="", VLOOKUP(C60, Resultados_Reales!$A$4:$I$107, 6, FALSE)=""), 0, IF(AND(VLOOKUP(C60, Resultados_Reales!$A$4:$I$107, 5, FALSE)=G60, VLOOKUP(C60, Resultados_Reales!$A$4:$I$107, 6, FALSE)=H60), Configuracion!$B$5, IF(SIGN(VLOOKUP(C60, Resultados_Reales!$A$4:$I$107, 5, FALSE)-VLOOKUP(C60, Resultados_Reales!$A$4:$I$107, 6, FALSE)) = SIGN(G60-H60), Configuracion!$B$4, 0)))</f>
        <v/>
      </c>
      <c r="L60" s="11" t="n"/>
      <c r="M60" s="11" t="n"/>
      <c r="N60" s="11" t="n"/>
      <c r="O60" s="11" t="n"/>
      <c r="P60" s="11" t="n"/>
      <c r="Q60" s="11" t="n"/>
    </row>
    <row r="61">
      <c r="A61" s="8">
        <f>B61&amp;"_"&amp;C61</f>
        <v/>
      </c>
      <c r="B61" s="8" t="n"/>
      <c r="C61" s="8" t="n"/>
      <c r="D61" s="8" t="n"/>
      <c r="E61" s="11" t="n"/>
      <c r="F61" s="11" t="n"/>
      <c r="G61" s="8" t="n"/>
      <c r="H61" s="8" t="n"/>
      <c r="I61" s="8" t="n"/>
      <c r="J61" s="8" t="n"/>
      <c r="K61" s="12">
        <f>IF(OR(ISERROR(VLOOKUP(C61, Resultados_Reales!$A$4:$I$107, 5, FALSE)), ISERROR(VLOOKUP(C61, Resultados_Reales!$A$4:$I$107, 6, FALSE)), VLOOKUP(C61, Resultados_Reales!$A$4:$I$107, 5, FALSE)="", VLOOKUP(C61, Resultados_Reales!$A$4:$I$107, 6, FALSE)=""), 0, IF(AND(VLOOKUP(C61, Resultados_Reales!$A$4:$I$107, 5, FALSE)=G61, VLOOKUP(C61, Resultados_Reales!$A$4:$I$107, 6, FALSE)=H61), Configuracion!$B$5, IF(SIGN(VLOOKUP(C61, Resultados_Reales!$A$4:$I$107, 5, FALSE)-VLOOKUP(C61, Resultados_Reales!$A$4:$I$107, 6, FALSE)) = SIGN(G61-H61), Configuracion!$B$4, 0)))</f>
        <v/>
      </c>
      <c r="L61" s="11" t="n"/>
      <c r="M61" s="11" t="n"/>
      <c r="N61" s="11" t="n"/>
      <c r="O61" s="11" t="n"/>
      <c r="P61" s="11" t="n"/>
      <c r="Q61" s="11" t="n"/>
    </row>
    <row r="62">
      <c r="A62" s="8">
        <f>B62&amp;"_"&amp;C62</f>
        <v/>
      </c>
      <c r="B62" s="8" t="n"/>
      <c r="C62" s="8" t="n"/>
      <c r="D62" s="8" t="n"/>
      <c r="E62" s="11" t="n"/>
      <c r="F62" s="11" t="n"/>
      <c r="G62" s="8" t="n"/>
      <c r="H62" s="8" t="n"/>
      <c r="I62" s="8" t="n"/>
      <c r="J62" s="8" t="n"/>
      <c r="K62" s="12">
        <f>IF(OR(ISERROR(VLOOKUP(C62, Resultados_Reales!$A$4:$I$107, 5, FALSE)), ISERROR(VLOOKUP(C62, Resultados_Reales!$A$4:$I$107, 6, FALSE)), VLOOKUP(C62, Resultados_Reales!$A$4:$I$107, 5, FALSE)="", VLOOKUP(C62, Resultados_Reales!$A$4:$I$107, 6, FALSE)=""), 0, IF(AND(VLOOKUP(C62, Resultados_Reales!$A$4:$I$107, 5, FALSE)=G62, VLOOKUP(C62, Resultados_Reales!$A$4:$I$107, 6, FALSE)=H62), Configuracion!$B$5, IF(SIGN(VLOOKUP(C62, Resultados_Reales!$A$4:$I$107, 5, FALSE)-VLOOKUP(C62, Resultados_Reales!$A$4:$I$107, 6, FALSE)) = SIGN(G62-H62), Configuracion!$B$4, 0)))</f>
        <v/>
      </c>
      <c r="L62" s="11" t="n"/>
      <c r="M62" s="11" t="n"/>
      <c r="N62" s="11" t="n"/>
      <c r="O62" s="11" t="n"/>
      <c r="P62" s="11" t="n"/>
      <c r="Q62" s="11" t="n"/>
    </row>
    <row r="63">
      <c r="A63" s="8">
        <f>B63&amp;"_"&amp;C63</f>
        <v/>
      </c>
      <c r="B63" s="8" t="n"/>
      <c r="C63" s="8" t="n"/>
      <c r="D63" s="8" t="n"/>
      <c r="E63" s="11" t="n"/>
      <c r="F63" s="11" t="n"/>
      <c r="G63" s="8" t="n"/>
      <c r="H63" s="8" t="n"/>
      <c r="I63" s="8" t="n"/>
      <c r="J63" s="8" t="n"/>
      <c r="K63" s="12">
        <f>IF(OR(ISERROR(VLOOKUP(C63, Resultados_Reales!$A$4:$I$107, 5, FALSE)), ISERROR(VLOOKUP(C63, Resultados_Reales!$A$4:$I$107, 6, FALSE)), VLOOKUP(C63, Resultados_Reales!$A$4:$I$107, 5, FALSE)="", VLOOKUP(C63, Resultados_Reales!$A$4:$I$107, 6, FALSE)=""), 0, IF(AND(VLOOKUP(C63, Resultados_Reales!$A$4:$I$107, 5, FALSE)=G63, VLOOKUP(C63, Resultados_Reales!$A$4:$I$107, 6, FALSE)=H63), Configuracion!$B$5, IF(SIGN(VLOOKUP(C63, Resultados_Reales!$A$4:$I$107, 5, FALSE)-VLOOKUP(C63, Resultados_Reales!$A$4:$I$107, 6, FALSE)) = SIGN(G63-H63), Configuracion!$B$4, 0)))</f>
        <v/>
      </c>
      <c r="L63" s="11" t="n"/>
      <c r="M63" s="11" t="n"/>
      <c r="N63" s="11" t="n"/>
      <c r="O63" s="11" t="n"/>
      <c r="P63" s="11" t="n"/>
      <c r="Q63" s="11" t="n"/>
    </row>
    <row r="64">
      <c r="A64" s="8">
        <f>B64&amp;"_"&amp;C64</f>
        <v/>
      </c>
      <c r="B64" s="8" t="n"/>
      <c r="C64" s="8" t="n"/>
      <c r="D64" s="8" t="n"/>
      <c r="E64" s="11" t="n"/>
      <c r="F64" s="11" t="n"/>
      <c r="G64" s="8" t="n"/>
      <c r="H64" s="8" t="n"/>
      <c r="I64" s="8" t="n"/>
      <c r="J64" s="8" t="n"/>
      <c r="K64" s="12">
        <f>IF(OR(ISERROR(VLOOKUP(C64, Resultados_Reales!$A$4:$I$107, 5, FALSE)), ISERROR(VLOOKUP(C64, Resultados_Reales!$A$4:$I$107, 6, FALSE)), VLOOKUP(C64, Resultados_Reales!$A$4:$I$107, 5, FALSE)="", VLOOKUP(C64, Resultados_Reales!$A$4:$I$107, 6, FALSE)=""), 0, IF(AND(VLOOKUP(C64, Resultados_Reales!$A$4:$I$107, 5, FALSE)=G64, VLOOKUP(C64, Resultados_Reales!$A$4:$I$107, 6, FALSE)=H64), Configuracion!$B$5, IF(SIGN(VLOOKUP(C64, Resultados_Reales!$A$4:$I$107, 5, FALSE)-VLOOKUP(C64, Resultados_Reales!$A$4:$I$107, 6, FALSE)) = SIGN(G64-H64), Configuracion!$B$4, 0)))</f>
        <v/>
      </c>
      <c r="L64" s="11" t="n"/>
      <c r="M64" s="11" t="n"/>
      <c r="N64" s="11" t="n"/>
      <c r="O64" s="11" t="n"/>
      <c r="P64" s="11" t="n"/>
      <c r="Q64" s="11" t="n"/>
    </row>
    <row r="65">
      <c r="A65" s="8">
        <f>B65&amp;"_"&amp;C65</f>
        <v/>
      </c>
      <c r="B65" s="8" t="n"/>
      <c r="C65" s="8" t="n"/>
      <c r="D65" s="8" t="n"/>
      <c r="E65" s="11" t="n"/>
      <c r="F65" s="11" t="n"/>
      <c r="G65" s="8" t="n"/>
      <c r="H65" s="8" t="n"/>
      <c r="I65" s="8" t="n"/>
      <c r="J65" s="8" t="n"/>
      <c r="K65" s="12">
        <f>IF(OR(ISERROR(VLOOKUP(C65, Resultados_Reales!$A$4:$I$107, 5, FALSE)), ISERROR(VLOOKUP(C65, Resultados_Reales!$A$4:$I$107, 6, FALSE)), VLOOKUP(C65, Resultados_Reales!$A$4:$I$107, 5, FALSE)="", VLOOKUP(C65, Resultados_Reales!$A$4:$I$107, 6, FALSE)=""), 0, IF(AND(VLOOKUP(C65, Resultados_Reales!$A$4:$I$107, 5, FALSE)=G65, VLOOKUP(C65, Resultados_Reales!$A$4:$I$107, 6, FALSE)=H65), Configuracion!$B$5, IF(SIGN(VLOOKUP(C65, Resultados_Reales!$A$4:$I$107, 5, FALSE)-VLOOKUP(C65, Resultados_Reales!$A$4:$I$107, 6, FALSE)) = SIGN(G65-H65), Configuracion!$B$4, 0)))</f>
        <v/>
      </c>
      <c r="L65" s="11" t="n"/>
      <c r="M65" s="11" t="n"/>
      <c r="N65" s="11" t="n"/>
      <c r="O65" s="11" t="n"/>
      <c r="P65" s="11" t="n"/>
      <c r="Q65" s="11" t="n"/>
    </row>
    <row r="66">
      <c r="A66" s="8">
        <f>B66&amp;"_"&amp;C66</f>
        <v/>
      </c>
      <c r="B66" s="8" t="n"/>
      <c r="C66" s="8" t="n"/>
      <c r="D66" s="8" t="n"/>
      <c r="E66" s="11" t="n"/>
      <c r="F66" s="11" t="n"/>
      <c r="G66" s="8" t="n"/>
      <c r="H66" s="8" t="n"/>
      <c r="I66" s="8" t="n"/>
      <c r="J66" s="8" t="n"/>
      <c r="K66" s="12">
        <f>IF(OR(ISERROR(VLOOKUP(C66, Resultados_Reales!$A$4:$I$107, 5, FALSE)), ISERROR(VLOOKUP(C66, Resultados_Reales!$A$4:$I$107, 6, FALSE)), VLOOKUP(C66, Resultados_Reales!$A$4:$I$107, 5, FALSE)="", VLOOKUP(C66, Resultados_Reales!$A$4:$I$107, 6, FALSE)=""), 0, IF(AND(VLOOKUP(C66, Resultados_Reales!$A$4:$I$107, 5, FALSE)=G66, VLOOKUP(C66, Resultados_Reales!$A$4:$I$107, 6, FALSE)=H66), Configuracion!$B$5, IF(SIGN(VLOOKUP(C66, Resultados_Reales!$A$4:$I$107, 5, FALSE)-VLOOKUP(C66, Resultados_Reales!$A$4:$I$107, 6, FALSE)) = SIGN(G66-H66), Configuracion!$B$4, 0)))</f>
        <v/>
      </c>
      <c r="L66" s="11" t="n"/>
      <c r="M66" s="11" t="n"/>
      <c r="N66" s="11" t="n"/>
      <c r="O66" s="11" t="n"/>
      <c r="P66" s="11" t="n"/>
      <c r="Q66" s="11" t="n"/>
    </row>
    <row r="67">
      <c r="A67" s="8">
        <f>B67&amp;"_"&amp;C67</f>
        <v/>
      </c>
      <c r="B67" s="8" t="n"/>
      <c r="C67" s="8" t="n"/>
      <c r="D67" s="8" t="n"/>
      <c r="E67" s="11" t="n"/>
      <c r="F67" s="11" t="n"/>
      <c r="G67" s="8" t="n"/>
      <c r="H67" s="8" t="n"/>
      <c r="I67" s="8" t="n"/>
      <c r="J67" s="8" t="n"/>
      <c r="K67" s="12">
        <f>IF(OR(ISERROR(VLOOKUP(C67, Resultados_Reales!$A$4:$I$107, 5, FALSE)), ISERROR(VLOOKUP(C67, Resultados_Reales!$A$4:$I$107, 6, FALSE)), VLOOKUP(C67, Resultados_Reales!$A$4:$I$107, 5, FALSE)="", VLOOKUP(C67, Resultados_Reales!$A$4:$I$107, 6, FALSE)=""), 0, IF(AND(VLOOKUP(C67, Resultados_Reales!$A$4:$I$107, 5, FALSE)=G67, VLOOKUP(C67, Resultados_Reales!$A$4:$I$107, 6, FALSE)=H67), Configuracion!$B$5, IF(SIGN(VLOOKUP(C67, Resultados_Reales!$A$4:$I$107, 5, FALSE)-VLOOKUP(C67, Resultados_Reales!$A$4:$I$107, 6, FALSE)) = SIGN(G67-H67), Configuracion!$B$4, 0)))</f>
        <v/>
      </c>
      <c r="L67" s="11" t="n"/>
      <c r="M67" s="11" t="n"/>
      <c r="N67" s="11" t="n"/>
      <c r="O67" s="11" t="n"/>
      <c r="P67" s="11" t="n"/>
      <c r="Q67" s="11" t="n"/>
    </row>
    <row r="68">
      <c r="A68" s="8">
        <f>B68&amp;"_"&amp;C68</f>
        <v/>
      </c>
      <c r="B68" s="8" t="n"/>
      <c r="C68" s="8" t="n"/>
      <c r="D68" s="8" t="n"/>
      <c r="E68" s="11" t="n"/>
      <c r="F68" s="11" t="n"/>
      <c r="G68" s="8" t="n"/>
      <c r="H68" s="8" t="n"/>
      <c r="I68" s="8" t="n"/>
      <c r="J68" s="8" t="n"/>
      <c r="K68" s="12">
        <f>IF(OR(ISERROR(VLOOKUP(C68, Resultados_Reales!$A$4:$I$107, 5, FALSE)), ISERROR(VLOOKUP(C68, Resultados_Reales!$A$4:$I$107, 6, FALSE)), VLOOKUP(C68, Resultados_Reales!$A$4:$I$107, 5, FALSE)="", VLOOKUP(C68, Resultados_Reales!$A$4:$I$107, 6, FALSE)=""), 0, IF(AND(VLOOKUP(C68, Resultados_Reales!$A$4:$I$107, 5, FALSE)=G68, VLOOKUP(C68, Resultados_Reales!$A$4:$I$107, 6, FALSE)=H68), Configuracion!$B$5, IF(SIGN(VLOOKUP(C68, Resultados_Reales!$A$4:$I$107, 5, FALSE)-VLOOKUP(C68, Resultados_Reales!$A$4:$I$107, 6, FALSE)) = SIGN(G68-H68), Configuracion!$B$4, 0)))</f>
        <v/>
      </c>
      <c r="L68" s="11" t="n"/>
      <c r="M68" s="11" t="n"/>
      <c r="N68" s="11" t="n"/>
      <c r="O68" s="11" t="n"/>
      <c r="P68" s="11" t="n"/>
      <c r="Q68" s="11" t="n"/>
    </row>
    <row r="69">
      <c r="A69" s="8">
        <f>B69&amp;"_"&amp;C69</f>
        <v/>
      </c>
      <c r="B69" s="8" t="n"/>
      <c r="C69" s="8" t="n"/>
      <c r="D69" s="8" t="n"/>
      <c r="E69" s="11" t="n"/>
      <c r="F69" s="11" t="n"/>
      <c r="G69" s="8" t="n"/>
      <c r="H69" s="8" t="n"/>
      <c r="I69" s="8" t="n"/>
      <c r="J69" s="8" t="n"/>
      <c r="K69" s="12">
        <f>IF(OR(ISERROR(VLOOKUP(C69, Resultados_Reales!$A$4:$I$107, 5, FALSE)), ISERROR(VLOOKUP(C69, Resultados_Reales!$A$4:$I$107, 6, FALSE)), VLOOKUP(C69, Resultados_Reales!$A$4:$I$107, 5, FALSE)="", VLOOKUP(C69, Resultados_Reales!$A$4:$I$107, 6, FALSE)=""), 0, IF(AND(VLOOKUP(C69, Resultados_Reales!$A$4:$I$107, 5, FALSE)=G69, VLOOKUP(C69, Resultados_Reales!$A$4:$I$107, 6, FALSE)=H69), Configuracion!$B$5, IF(SIGN(VLOOKUP(C69, Resultados_Reales!$A$4:$I$107, 5, FALSE)-VLOOKUP(C69, Resultados_Reales!$A$4:$I$107, 6, FALSE)) = SIGN(G69-H69), Configuracion!$B$4, 0)))</f>
        <v/>
      </c>
      <c r="L69" s="11" t="n"/>
      <c r="M69" s="11" t="n"/>
      <c r="N69" s="11" t="n"/>
      <c r="O69" s="11" t="n"/>
      <c r="P69" s="11" t="n"/>
      <c r="Q69" s="11" t="n"/>
    </row>
    <row r="70">
      <c r="A70" s="8">
        <f>B70&amp;"_"&amp;C70</f>
        <v/>
      </c>
      <c r="B70" s="8" t="n"/>
      <c r="C70" s="8" t="n"/>
      <c r="D70" s="8" t="n"/>
      <c r="E70" s="11" t="n"/>
      <c r="F70" s="11" t="n"/>
      <c r="G70" s="8" t="n"/>
      <c r="H70" s="8" t="n"/>
      <c r="I70" s="8" t="n"/>
      <c r="J70" s="8" t="n"/>
      <c r="K70" s="12">
        <f>IF(OR(ISERROR(VLOOKUP(C70, Resultados_Reales!$A$4:$I$107, 5, FALSE)), ISERROR(VLOOKUP(C70, Resultados_Reales!$A$4:$I$107, 6, FALSE)), VLOOKUP(C70, Resultados_Reales!$A$4:$I$107, 5, FALSE)="", VLOOKUP(C70, Resultados_Reales!$A$4:$I$107, 6, FALSE)=""), 0, IF(AND(VLOOKUP(C70, Resultados_Reales!$A$4:$I$107, 5, FALSE)=G70, VLOOKUP(C70, Resultados_Reales!$A$4:$I$107, 6, FALSE)=H70), Configuracion!$B$5, IF(SIGN(VLOOKUP(C70, Resultados_Reales!$A$4:$I$107, 5, FALSE)-VLOOKUP(C70, Resultados_Reales!$A$4:$I$107, 6, FALSE)) = SIGN(G70-H70), Configuracion!$B$4, 0)))</f>
        <v/>
      </c>
      <c r="L70" s="11" t="n"/>
      <c r="M70" s="11" t="n"/>
      <c r="N70" s="11" t="n"/>
      <c r="O70" s="11" t="n"/>
      <c r="P70" s="11" t="n"/>
      <c r="Q70" s="11" t="n"/>
    </row>
    <row r="71">
      <c r="A71" s="8">
        <f>B71&amp;"_"&amp;C71</f>
        <v/>
      </c>
      <c r="B71" s="8" t="n"/>
      <c r="C71" s="8" t="n"/>
      <c r="D71" s="8" t="n"/>
      <c r="E71" s="11" t="n"/>
      <c r="F71" s="11" t="n"/>
      <c r="G71" s="8" t="n"/>
      <c r="H71" s="8" t="n"/>
      <c r="I71" s="8" t="n"/>
      <c r="J71" s="8" t="n"/>
      <c r="K71" s="12">
        <f>IF(OR(ISERROR(VLOOKUP(C71, Resultados_Reales!$A$4:$I$107, 5, FALSE)), ISERROR(VLOOKUP(C71, Resultados_Reales!$A$4:$I$107, 6, FALSE)), VLOOKUP(C71, Resultados_Reales!$A$4:$I$107, 5, FALSE)="", VLOOKUP(C71, Resultados_Reales!$A$4:$I$107, 6, FALSE)=""), 0, IF(AND(VLOOKUP(C71, Resultados_Reales!$A$4:$I$107, 5, FALSE)=G71, VLOOKUP(C71, Resultados_Reales!$A$4:$I$107, 6, FALSE)=H71), Configuracion!$B$5, IF(SIGN(VLOOKUP(C71, Resultados_Reales!$A$4:$I$107, 5, FALSE)-VLOOKUP(C71, Resultados_Reales!$A$4:$I$107, 6, FALSE)) = SIGN(G71-H71), Configuracion!$B$4, 0)))</f>
        <v/>
      </c>
      <c r="L71" s="11" t="n"/>
      <c r="M71" s="11" t="n"/>
      <c r="N71" s="11" t="n"/>
      <c r="O71" s="11" t="n"/>
      <c r="P71" s="11" t="n"/>
      <c r="Q71" s="11" t="n"/>
    </row>
    <row r="72">
      <c r="A72" s="8">
        <f>B72&amp;"_"&amp;C72</f>
        <v/>
      </c>
      <c r="B72" s="8" t="n"/>
      <c r="C72" s="8" t="n"/>
      <c r="D72" s="8" t="n"/>
      <c r="E72" s="11" t="n"/>
      <c r="F72" s="11" t="n"/>
      <c r="G72" s="8" t="n"/>
      <c r="H72" s="8" t="n"/>
      <c r="I72" s="8" t="n"/>
      <c r="J72" s="8" t="n"/>
      <c r="K72" s="12">
        <f>IF(OR(ISERROR(VLOOKUP(C72, Resultados_Reales!$A$4:$I$107, 5, FALSE)), ISERROR(VLOOKUP(C72, Resultados_Reales!$A$4:$I$107, 6, FALSE)), VLOOKUP(C72, Resultados_Reales!$A$4:$I$107, 5, FALSE)="", VLOOKUP(C72, Resultados_Reales!$A$4:$I$107, 6, FALSE)=""), 0, IF(AND(VLOOKUP(C72, Resultados_Reales!$A$4:$I$107, 5, FALSE)=G72, VLOOKUP(C72, Resultados_Reales!$A$4:$I$107, 6, FALSE)=H72), Configuracion!$B$5, IF(SIGN(VLOOKUP(C72, Resultados_Reales!$A$4:$I$107, 5, FALSE)-VLOOKUP(C72, Resultados_Reales!$A$4:$I$107, 6, FALSE)) = SIGN(G72-H72), Configuracion!$B$4, 0)))</f>
        <v/>
      </c>
      <c r="L72" s="11" t="n"/>
      <c r="M72" s="11" t="n"/>
      <c r="N72" s="11" t="n"/>
      <c r="O72" s="11" t="n"/>
      <c r="P72" s="11" t="n"/>
      <c r="Q72" s="11" t="n"/>
    </row>
    <row r="73">
      <c r="A73" s="8">
        <f>B73&amp;"_"&amp;C73</f>
        <v/>
      </c>
      <c r="B73" s="8" t="n"/>
      <c r="C73" s="8" t="n"/>
      <c r="D73" s="8" t="n"/>
      <c r="E73" s="11" t="n"/>
      <c r="F73" s="11" t="n"/>
      <c r="G73" s="8" t="n"/>
      <c r="H73" s="8" t="n"/>
      <c r="I73" s="8" t="n"/>
      <c r="J73" s="8" t="n"/>
      <c r="K73" s="12">
        <f>IF(OR(ISERROR(VLOOKUP(C73, Resultados_Reales!$A$4:$I$107, 5, FALSE)), ISERROR(VLOOKUP(C73, Resultados_Reales!$A$4:$I$107, 6, FALSE)), VLOOKUP(C73, Resultados_Reales!$A$4:$I$107, 5, FALSE)="", VLOOKUP(C73, Resultados_Reales!$A$4:$I$107, 6, FALSE)=""), 0, IF(AND(VLOOKUP(C73, Resultados_Reales!$A$4:$I$107, 5, FALSE)=G73, VLOOKUP(C73, Resultados_Reales!$A$4:$I$107, 6, FALSE)=H73), Configuracion!$B$5, IF(SIGN(VLOOKUP(C73, Resultados_Reales!$A$4:$I$107, 5, FALSE)-VLOOKUP(C73, Resultados_Reales!$A$4:$I$107, 6, FALSE)) = SIGN(G73-H73), Configuracion!$B$4, 0)))</f>
        <v/>
      </c>
      <c r="L73" s="11" t="n"/>
      <c r="M73" s="11" t="n"/>
      <c r="N73" s="11" t="n"/>
      <c r="O73" s="11" t="n"/>
      <c r="P73" s="11" t="n"/>
      <c r="Q73" s="11" t="n"/>
    </row>
    <row r="74">
      <c r="A74" s="8">
        <f>B74&amp;"_"&amp;C74</f>
        <v/>
      </c>
      <c r="B74" s="8" t="n"/>
      <c r="C74" s="8" t="n"/>
      <c r="D74" s="8" t="n"/>
      <c r="E74" s="11" t="n"/>
      <c r="F74" s="11" t="n"/>
      <c r="G74" s="8" t="n"/>
      <c r="H74" s="8" t="n"/>
      <c r="I74" s="8" t="n"/>
      <c r="J74" s="8" t="n"/>
      <c r="K74" s="12">
        <f>IF(OR(ISERROR(VLOOKUP(C74, Resultados_Reales!$A$4:$I$107, 5, FALSE)), ISERROR(VLOOKUP(C74, Resultados_Reales!$A$4:$I$107, 6, FALSE)), VLOOKUP(C74, Resultados_Reales!$A$4:$I$107, 5, FALSE)="", VLOOKUP(C74, Resultados_Reales!$A$4:$I$107, 6, FALSE)=""), 0, IF(AND(VLOOKUP(C74, Resultados_Reales!$A$4:$I$107, 5, FALSE)=G74, VLOOKUP(C74, Resultados_Reales!$A$4:$I$107, 6, FALSE)=H74), Configuracion!$B$5, IF(SIGN(VLOOKUP(C74, Resultados_Reales!$A$4:$I$107, 5, FALSE)-VLOOKUP(C74, Resultados_Reales!$A$4:$I$107, 6, FALSE)) = SIGN(G74-H74), Configuracion!$B$4, 0)))</f>
        <v/>
      </c>
      <c r="L74" s="11" t="n"/>
      <c r="M74" s="11" t="n"/>
      <c r="N74" s="11" t="n"/>
      <c r="O74" s="11" t="n"/>
      <c r="P74" s="11" t="n"/>
      <c r="Q74" s="11" t="n"/>
    </row>
    <row r="75">
      <c r="A75" s="8">
        <f>B75&amp;"_"&amp;C75</f>
        <v/>
      </c>
      <c r="B75" s="8" t="n"/>
      <c r="C75" s="8" t="n"/>
      <c r="D75" s="8" t="n"/>
      <c r="E75" s="11" t="n"/>
      <c r="F75" s="11" t="n"/>
      <c r="G75" s="8" t="n"/>
      <c r="H75" s="8" t="n"/>
      <c r="I75" s="8" t="n"/>
      <c r="J75" s="8" t="n"/>
      <c r="K75" s="12">
        <f>IF(OR(ISERROR(VLOOKUP(C75, Resultados_Reales!$A$4:$I$107, 5, FALSE)), ISERROR(VLOOKUP(C75, Resultados_Reales!$A$4:$I$107, 6, FALSE)), VLOOKUP(C75, Resultados_Reales!$A$4:$I$107, 5, FALSE)="", VLOOKUP(C75, Resultados_Reales!$A$4:$I$107, 6, FALSE)=""), 0, IF(AND(VLOOKUP(C75, Resultados_Reales!$A$4:$I$107, 5, FALSE)=G75, VLOOKUP(C75, Resultados_Reales!$A$4:$I$107, 6, FALSE)=H75), Configuracion!$B$5, IF(SIGN(VLOOKUP(C75, Resultados_Reales!$A$4:$I$107, 5, FALSE)-VLOOKUP(C75, Resultados_Reales!$A$4:$I$107, 6, FALSE)) = SIGN(G75-H75), Configuracion!$B$4, 0)))</f>
        <v/>
      </c>
      <c r="L75" s="11" t="n"/>
      <c r="M75" s="11" t="n"/>
      <c r="N75" s="11" t="n"/>
      <c r="O75" s="11" t="n"/>
      <c r="P75" s="11" t="n"/>
      <c r="Q75" s="11" t="n"/>
    </row>
    <row r="76">
      <c r="A76" s="8">
        <f>B76&amp;"_"&amp;C76</f>
        <v/>
      </c>
      <c r="B76" s="8" t="n"/>
      <c r="C76" s="8" t="n"/>
      <c r="D76" s="8" t="n"/>
      <c r="E76" s="11" t="n"/>
      <c r="F76" s="11" t="n"/>
      <c r="G76" s="8" t="n"/>
      <c r="H76" s="8" t="n"/>
      <c r="I76" s="8" t="n"/>
      <c r="J76" s="8" t="n"/>
      <c r="K76" s="12">
        <f>IF(OR(ISERROR(VLOOKUP(C76, Resultados_Reales!$A$4:$I$107, 5, FALSE)), ISERROR(VLOOKUP(C76, Resultados_Reales!$A$4:$I$107, 6, FALSE)), VLOOKUP(C76, Resultados_Reales!$A$4:$I$107, 5, FALSE)="", VLOOKUP(C76, Resultados_Reales!$A$4:$I$107, 6, FALSE)=""), 0, IF(AND(VLOOKUP(C76, Resultados_Reales!$A$4:$I$107, 5, FALSE)=G76, VLOOKUP(C76, Resultados_Reales!$A$4:$I$107, 6, FALSE)=H76), Configuracion!$B$5, IF(SIGN(VLOOKUP(C76, Resultados_Reales!$A$4:$I$107, 5, FALSE)-VLOOKUP(C76, Resultados_Reales!$A$4:$I$107, 6, FALSE)) = SIGN(G76-H76), Configuracion!$B$4, 0)))</f>
        <v/>
      </c>
      <c r="L76" s="11" t="n"/>
      <c r="M76" s="11" t="n"/>
      <c r="N76" s="11" t="n"/>
      <c r="O76" s="11" t="n"/>
      <c r="P76" s="11" t="n"/>
      <c r="Q76" s="11" t="n"/>
    </row>
    <row r="77">
      <c r="A77" s="8">
        <f>B77&amp;"_"&amp;C77</f>
        <v/>
      </c>
      <c r="B77" s="8" t="n"/>
      <c r="C77" s="8" t="n"/>
      <c r="D77" s="8" t="n"/>
      <c r="E77" s="11" t="n"/>
      <c r="F77" s="11" t="n"/>
      <c r="G77" s="8" t="n"/>
      <c r="H77" s="8" t="n"/>
      <c r="I77" s="8" t="n"/>
      <c r="J77" s="8" t="n"/>
      <c r="K77" s="12">
        <f>IF(OR(ISERROR(VLOOKUP(C77, Resultados_Reales!$A$4:$I$107, 5, FALSE)), ISERROR(VLOOKUP(C77, Resultados_Reales!$A$4:$I$107, 6, FALSE)), VLOOKUP(C77, Resultados_Reales!$A$4:$I$107, 5, FALSE)="", VLOOKUP(C77, Resultados_Reales!$A$4:$I$107, 6, FALSE)=""), 0, IF(AND(VLOOKUP(C77, Resultados_Reales!$A$4:$I$107, 5, FALSE)=G77, VLOOKUP(C77, Resultados_Reales!$A$4:$I$107, 6, FALSE)=H77), Configuracion!$B$5, IF(SIGN(VLOOKUP(C77, Resultados_Reales!$A$4:$I$107, 5, FALSE)-VLOOKUP(C77, Resultados_Reales!$A$4:$I$107, 6, FALSE)) = SIGN(G77-H77), Configuracion!$B$4, 0)))</f>
        <v/>
      </c>
      <c r="L77" s="11" t="n"/>
      <c r="M77" s="11" t="n"/>
      <c r="N77" s="11" t="n"/>
      <c r="O77" s="11" t="n"/>
      <c r="P77" s="11" t="n"/>
      <c r="Q77" s="11" t="n"/>
    </row>
    <row r="78">
      <c r="A78" s="8">
        <f>B78&amp;"_"&amp;C78</f>
        <v/>
      </c>
      <c r="B78" s="8" t="n"/>
      <c r="C78" s="8" t="n"/>
      <c r="D78" s="8" t="n"/>
      <c r="E78" s="11" t="n"/>
      <c r="F78" s="11" t="n"/>
      <c r="G78" s="8" t="n"/>
      <c r="H78" s="8" t="n"/>
      <c r="I78" s="8" t="n"/>
      <c r="J78" s="8" t="n"/>
      <c r="K78" s="12">
        <f>IF(OR(ISERROR(VLOOKUP(C78, Resultados_Reales!$A$4:$I$107, 5, FALSE)), ISERROR(VLOOKUP(C78, Resultados_Reales!$A$4:$I$107, 6, FALSE)), VLOOKUP(C78, Resultados_Reales!$A$4:$I$107, 5, FALSE)="", VLOOKUP(C78, Resultados_Reales!$A$4:$I$107, 6, FALSE)=""), 0, IF(AND(VLOOKUP(C78, Resultados_Reales!$A$4:$I$107, 5, FALSE)=G78, VLOOKUP(C78, Resultados_Reales!$A$4:$I$107, 6, FALSE)=H78), Configuracion!$B$5, IF(SIGN(VLOOKUP(C78, Resultados_Reales!$A$4:$I$107, 5, FALSE)-VLOOKUP(C78, Resultados_Reales!$A$4:$I$107, 6, FALSE)) = SIGN(G78-H78), Configuracion!$B$4, 0)))</f>
        <v/>
      </c>
      <c r="L78" s="11" t="n"/>
      <c r="M78" s="11" t="n"/>
      <c r="N78" s="11" t="n"/>
      <c r="O78" s="11" t="n"/>
      <c r="P78" s="11" t="n"/>
      <c r="Q78" s="11" t="n"/>
    </row>
    <row r="79">
      <c r="A79" s="8">
        <f>B79&amp;"_"&amp;C79</f>
        <v/>
      </c>
      <c r="B79" s="8" t="n"/>
      <c r="C79" s="8" t="n"/>
      <c r="D79" s="8" t="n"/>
      <c r="E79" s="11" t="n"/>
      <c r="F79" s="11" t="n"/>
      <c r="G79" s="8" t="n"/>
      <c r="H79" s="8" t="n"/>
      <c r="I79" s="8" t="n"/>
      <c r="J79" s="8" t="n"/>
      <c r="K79" s="12">
        <f>IF(OR(ISERROR(VLOOKUP(C79, Resultados_Reales!$A$4:$I$107, 5, FALSE)), ISERROR(VLOOKUP(C79, Resultados_Reales!$A$4:$I$107, 6, FALSE)), VLOOKUP(C79, Resultados_Reales!$A$4:$I$107, 5, FALSE)="", VLOOKUP(C79, Resultados_Reales!$A$4:$I$107, 6, FALSE)=""), 0, IF(AND(VLOOKUP(C79, Resultados_Reales!$A$4:$I$107, 5, FALSE)=G79, VLOOKUP(C79, Resultados_Reales!$A$4:$I$107, 6, FALSE)=H79), Configuracion!$B$5, IF(SIGN(VLOOKUP(C79, Resultados_Reales!$A$4:$I$107, 5, FALSE)-VLOOKUP(C79, Resultados_Reales!$A$4:$I$107, 6, FALSE)) = SIGN(G79-H79), Configuracion!$B$4, 0)))</f>
        <v/>
      </c>
      <c r="L79" s="11" t="n"/>
      <c r="M79" s="11" t="n"/>
      <c r="N79" s="11" t="n"/>
      <c r="O79" s="11" t="n"/>
      <c r="P79" s="11" t="n"/>
      <c r="Q79" s="11" t="n"/>
    </row>
    <row r="80">
      <c r="A80" s="8">
        <f>B80&amp;"_"&amp;C80</f>
        <v/>
      </c>
      <c r="B80" s="8" t="n"/>
      <c r="C80" s="8" t="n"/>
      <c r="D80" s="8" t="n"/>
      <c r="E80" s="11" t="n"/>
      <c r="F80" s="11" t="n"/>
      <c r="G80" s="8" t="n"/>
      <c r="H80" s="8" t="n"/>
      <c r="I80" s="8" t="n"/>
      <c r="J80" s="8" t="n"/>
      <c r="K80" s="12">
        <f>IF(OR(ISERROR(VLOOKUP(C80, Resultados_Reales!$A$4:$I$107, 5, FALSE)), ISERROR(VLOOKUP(C80, Resultados_Reales!$A$4:$I$107, 6, FALSE)), VLOOKUP(C80, Resultados_Reales!$A$4:$I$107, 5, FALSE)="", VLOOKUP(C80, Resultados_Reales!$A$4:$I$107, 6, FALSE)=""), 0, IF(AND(VLOOKUP(C80, Resultados_Reales!$A$4:$I$107, 5, FALSE)=G80, VLOOKUP(C80, Resultados_Reales!$A$4:$I$107, 6, FALSE)=H80), Configuracion!$B$5, IF(SIGN(VLOOKUP(C80, Resultados_Reales!$A$4:$I$107, 5, FALSE)-VLOOKUP(C80, Resultados_Reales!$A$4:$I$107, 6, FALSE)) = SIGN(G80-H80), Configuracion!$B$4, 0)))</f>
        <v/>
      </c>
      <c r="L80" s="11" t="n"/>
      <c r="M80" s="11" t="n"/>
      <c r="N80" s="11" t="n"/>
      <c r="O80" s="11" t="n"/>
      <c r="P80" s="11" t="n"/>
      <c r="Q80" s="11" t="n"/>
    </row>
    <row r="81">
      <c r="A81" s="8">
        <f>B81&amp;"_"&amp;C81</f>
        <v/>
      </c>
      <c r="B81" s="8" t="n"/>
      <c r="C81" s="8" t="n"/>
      <c r="D81" s="8" t="n"/>
      <c r="E81" s="11" t="n"/>
      <c r="F81" s="11" t="n"/>
      <c r="G81" s="8" t="n"/>
      <c r="H81" s="8" t="n"/>
      <c r="I81" s="8" t="n"/>
      <c r="J81" s="8" t="n"/>
      <c r="K81" s="12">
        <f>IF(OR(ISERROR(VLOOKUP(C81, Resultados_Reales!$A$4:$I$107, 5, FALSE)), ISERROR(VLOOKUP(C81, Resultados_Reales!$A$4:$I$107, 6, FALSE)), VLOOKUP(C81, Resultados_Reales!$A$4:$I$107, 5, FALSE)="", VLOOKUP(C81, Resultados_Reales!$A$4:$I$107, 6, FALSE)=""), 0, IF(AND(VLOOKUP(C81, Resultados_Reales!$A$4:$I$107, 5, FALSE)=G81, VLOOKUP(C81, Resultados_Reales!$A$4:$I$107, 6, FALSE)=H81), Configuracion!$B$5, IF(SIGN(VLOOKUP(C81, Resultados_Reales!$A$4:$I$107, 5, FALSE)-VLOOKUP(C81, Resultados_Reales!$A$4:$I$107, 6, FALSE)) = SIGN(G81-H81), Configuracion!$B$4, 0)))</f>
        <v/>
      </c>
      <c r="L81" s="11" t="n"/>
      <c r="M81" s="11" t="n"/>
      <c r="N81" s="11" t="n"/>
      <c r="O81" s="11" t="n"/>
      <c r="P81" s="11" t="n"/>
      <c r="Q81" s="11" t="n"/>
    </row>
    <row r="82">
      <c r="A82" s="8">
        <f>B82&amp;"_"&amp;C82</f>
        <v/>
      </c>
      <c r="B82" s="8" t="n"/>
      <c r="C82" s="8" t="n"/>
      <c r="D82" s="8" t="n"/>
      <c r="E82" s="11" t="n"/>
      <c r="F82" s="11" t="n"/>
      <c r="G82" s="8" t="n"/>
      <c r="H82" s="8" t="n"/>
      <c r="I82" s="8" t="n"/>
      <c r="J82" s="8" t="n"/>
      <c r="K82" s="12">
        <f>IF(OR(ISERROR(VLOOKUP(C82, Resultados_Reales!$A$4:$I$107, 5, FALSE)), ISERROR(VLOOKUP(C82, Resultados_Reales!$A$4:$I$107, 6, FALSE)), VLOOKUP(C82, Resultados_Reales!$A$4:$I$107, 5, FALSE)="", VLOOKUP(C82, Resultados_Reales!$A$4:$I$107, 6, FALSE)=""), 0, IF(AND(VLOOKUP(C82, Resultados_Reales!$A$4:$I$107, 5, FALSE)=G82, VLOOKUP(C82, Resultados_Reales!$A$4:$I$107, 6, FALSE)=H82), Configuracion!$B$5, IF(SIGN(VLOOKUP(C82, Resultados_Reales!$A$4:$I$107, 5, FALSE)-VLOOKUP(C82, Resultados_Reales!$A$4:$I$107, 6, FALSE)) = SIGN(G82-H82), Configuracion!$B$4, 0)))</f>
        <v/>
      </c>
      <c r="L82" s="11" t="n"/>
      <c r="M82" s="11" t="n"/>
      <c r="N82" s="11" t="n"/>
      <c r="O82" s="11" t="n"/>
      <c r="P82" s="11" t="n"/>
      <c r="Q82" s="11" t="n"/>
    </row>
    <row r="83">
      <c r="A83" s="8">
        <f>B83&amp;"_"&amp;C83</f>
        <v/>
      </c>
      <c r="B83" s="8" t="n"/>
      <c r="C83" s="8" t="n"/>
      <c r="D83" s="8" t="n"/>
      <c r="E83" s="11" t="n"/>
      <c r="F83" s="11" t="n"/>
      <c r="G83" s="8" t="n"/>
      <c r="H83" s="8" t="n"/>
      <c r="I83" s="8" t="n"/>
      <c r="J83" s="8" t="n"/>
      <c r="K83" s="12">
        <f>IF(OR(ISERROR(VLOOKUP(C83, Resultados_Reales!$A$4:$I$107, 5, FALSE)), ISERROR(VLOOKUP(C83, Resultados_Reales!$A$4:$I$107, 6, FALSE)), VLOOKUP(C83, Resultados_Reales!$A$4:$I$107, 5, FALSE)="", VLOOKUP(C83, Resultados_Reales!$A$4:$I$107, 6, FALSE)=""), 0, IF(AND(VLOOKUP(C83, Resultados_Reales!$A$4:$I$107, 5, FALSE)=G83, VLOOKUP(C83, Resultados_Reales!$A$4:$I$107, 6, FALSE)=H83), Configuracion!$B$5, IF(SIGN(VLOOKUP(C83, Resultados_Reales!$A$4:$I$107, 5, FALSE)-VLOOKUP(C83, Resultados_Reales!$A$4:$I$107, 6, FALSE)) = SIGN(G83-H83), Configuracion!$B$4, 0)))</f>
        <v/>
      </c>
      <c r="L83" s="11" t="n"/>
      <c r="M83" s="11" t="n"/>
      <c r="N83" s="11" t="n"/>
      <c r="O83" s="11" t="n"/>
      <c r="P83" s="11" t="n"/>
      <c r="Q83" s="11" t="n"/>
    </row>
    <row r="84">
      <c r="A84" s="8">
        <f>B84&amp;"_"&amp;C84</f>
        <v/>
      </c>
      <c r="B84" s="8" t="n"/>
      <c r="C84" s="8" t="n"/>
      <c r="D84" s="8" t="n"/>
      <c r="E84" s="11" t="n"/>
      <c r="F84" s="11" t="n"/>
      <c r="G84" s="8" t="n"/>
      <c r="H84" s="8" t="n"/>
      <c r="I84" s="8" t="n"/>
      <c r="J84" s="8" t="n"/>
      <c r="K84" s="12">
        <f>IF(OR(ISERROR(VLOOKUP(C84, Resultados_Reales!$A$4:$I$107, 5, FALSE)), ISERROR(VLOOKUP(C84, Resultados_Reales!$A$4:$I$107, 6, FALSE)), VLOOKUP(C84, Resultados_Reales!$A$4:$I$107, 5, FALSE)="", VLOOKUP(C84, Resultados_Reales!$A$4:$I$107, 6, FALSE)=""), 0, IF(AND(VLOOKUP(C84, Resultados_Reales!$A$4:$I$107, 5, FALSE)=G84, VLOOKUP(C84, Resultados_Reales!$A$4:$I$107, 6, FALSE)=H84), Configuracion!$B$5, IF(SIGN(VLOOKUP(C84, Resultados_Reales!$A$4:$I$107, 5, FALSE)-VLOOKUP(C84, Resultados_Reales!$A$4:$I$107, 6, FALSE)) = SIGN(G84-H84), Configuracion!$B$4, 0)))</f>
        <v/>
      </c>
      <c r="L84" s="11" t="n"/>
      <c r="M84" s="11" t="n"/>
      <c r="N84" s="11" t="n"/>
      <c r="O84" s="11" t="n"/>
      <c r="P84" s="11" t="n"/>
      <c r="Q84" s="11" t="n"/>
    </row>
    <row r="85">
      <c r="A85" s="8">
        <f>B85&amp;"_"&amp;C85</f>
        <v/>
      </c>
      <c r="B85" s="8" t="n"/>
      <c r="C85" s="8" t="n"/>
      <c r="D85" s="8" t="n"/>
      <c r="E85" s="11" t="n"/>
      <c r="F85" s="11" t="n"/>
      <c r="G85" s="8" t="n"/>
      <c r="H85" s="8" t="n"/>
      <c r="I85" s="8" t="n"/>
      <c r="J85" s="8" t="n"/>
      <c r="K85" s="12">
        <f>IF(OR(ISERROR(VLOOKUP(C85, Resultados_Reales!$A$4:$I$107, 5, FALSE)), ISERROR(VLOOKUP(C85, Resultados_Reales!$A$4:$I$107, 6, FALSE)), VLOOKUP(C85, Resultados_Reales!$A$4:$I$107, 5, FALSE)="", VLOOKUP(C85, Resultados_Reales!$A$4:$I$107, 6, FALSE)=""), 0, IF(AND(VLOOKUP(C85, Resultados_Reales!$A$4:$I$107, 5, FALSE)=G85, VLOOKUP(C85, Resultados_Reales!$A$4:$I$107, 6, FALSE)=H85), Configuracion!$B$5, IF(SIGN(VLOOKUP(C85, Resultados_Reales!$A$4:$I$107, 5, FALSE)-VLOOKUP(C85, Resultados_Reales!$A$4:$I$107, 6, FALSE)) = SIGN(G85-H85), Configuracion!$B$4, 0)))</f>
        <v/>
      </c>
      <c r="L85" s="11" t="n"/>
      <c r="M85" s="11" t="n"/>
      <c r="N85" s="11" t="n"/>
      <c r="O85" s="11" t="n"/>
      <c r="P85" s="11" t="n"/>
      <c r="Q85" s="11" t="n"/>
    </row>
    <row r="86">
      <c r="A86" s="8">
        <f>B86&amp;"_"&amp;C86</f>
        <v/>
      </c>
      <c r="B86" s="8" t="n"/>
      <c r="C86" s="8" t="n"/>
      <c r="D86" s="8" t="n"/>
      <c r="E86" s="11" t="n"/>
      <c r="F86" s="11" t="n"/>
      <c r="G86" s="8" t="n"/>
      <c r="H86" s="8" t="n"/>
      <c r="I86" s="8" t="n"/>
      <c r="J86" s="8" t="n"/>
      <c r="K86" s="12">
        <f>IF(OR(ISERROR(VLOOKUP(C86, Resultados_Reales!$A$4:$I$107, 5, FALSE)), ISERROR(VLOOKUP(C86, Resultados_Reales!$A$4:$I$107, 6, FALSE)), VLOOKUP(C86, Resultados_Reales!$A$4:$I$107, 5, FALSE)="", VLOOKUP(C86, Resultados_Reales!$A$4:$I$107, 6, FALSE)=""), 0, IF(AND(VLOOKUP(C86, Resultados_Reales!$A$4:$I$107, 5, FALSE)=G86, VLOOKUP(C86, Resultados_Reales!$A$4:$I$107, 6, FALSE)=H86), Configuracion!$B$5, IF(SIGN(VLOOKUP(C86, Resultados_Reales!$A$4:$I$107, 5, FALSE)-VLOOKUP(C86, Resultados_Reales!$A$4:$I$107, 6, FALSE)) = SIGN(G86-H86), Configuracion!$B$4, 0)))</f>
        <v/>
      </c>
      <c r="L86" s="11" t="n"/>
      <c r="M86" s="11" t="n"/>
      <c r="N86" s="11" t="n"/>
      <c r="O86" s="11" t="n"/>
      <c r="P86" s="11" t="n"/>
      <c r="Q86" s="11" t="n"/>
    </row>
    <row r="87">
      <c r="A87" s="8">
        <f>B87&amp;"_"&amp;C87</f>
        <v/>
      </c>
      <c r="B87" s="8" t="n"/>
      <c r="C87" s="8" t="n"/>
      <c r="D87" s="8" t="n"/>
      <c r="E87" s="11" t="n"/>
      <c r="F87" s="11" t="n"/>
      <c r="G87" s="8" t="n"/>
      <c r="H87" s="8" t="n"/>
      <c r="I87" s="8" t="n"/>
      <c r="J87" s="8" t="n"/>
      <c r="K87" s="12">
        <f>IF(OR(ISERROR(VLOOKUP(C87, Resultados_Reales!$A$4:$I$107, 5, FALSE)), ISERROR(VLOOKUP(C87, Resultados_Reales!$A$4:$I$107, 6, FALSE)), VLOOKUP(C87, Resultados_Reales!$A$4:$I$107, 5, FALSE)="", VLOOKUP(C87, Resultados_Reales!$A$4:$I$107, 6, FALSE)=""), 0, IF(AND(VLOOKUP(C87, Resultados_Reales!$A$4:$I$107, 5, FALSE)=G87, VLOOKUP(C87, Resultados_Reales!$A$4:$I$107, 6, FALSE)=H87), Configuracion!$B$5, IF(SIGN(VLOOKUP(C87, Resultados_Reales!$A$4:$I$107, 5, FALSE)-VLOOKUP(C87, Resultados_Reales!$A$4:$I$107, 6, FALSE)) = SIGN(G87-H87), Configuracion!$B$4, 0)))</f>
        <v/>
      </c>
      <c r="L87" s="11" t="n"/>
      <c r="M87" s="11" t="n"/>
      <c r="N87" s="11" t="n"/>
      <c r="O87" s="11" t="n"/>
      <c r="P87" s="11" t="n"/>
      <c r="Q87" s="11" t="n"/>
    </row>
    <row r="88">
      <c r="A88" s="8">
        <f>B88&amp;"_"&amp;C88</f>
        <v/>
      </c>
      <c r="B88" s="8" t="n"/>
      <c r="C88" s="8" t="n"/>
      <c r="D88" s="8" t="n"/>
      <c r="E88" s="11" t="n"/>
      <c r="F88" s="11" t="n"/>
      <c r="G88" s="8" t="n"/>
      <c r="H88" s="8" t="n"/>
      <c r="I88" s="8" t="n"/>
      <c r="J88" s="8" t="n"/>
      <c r="K88" s="12">
        <f>IF(OR(ISERROR(VLOOKUP(C88, Resultados_Reales!$A$4:$I$107, 5, FALSE)), ISERROR(VLOOKUP(C88, Resultados_Reales!$A$4:$I$107, 6, FALSE)), VLOOKUP(C88, Resultados_Reales!$A$4:$I$107, 5, FALSE)="", VLOOKUP(C88, Resultados_Reales!$A$4:$I$107, 6, FALSE)=""), 0, IF(AND(VLOOKUP(C88, Resultados_Reales!$A$4:$I$107, 5, FALSE)=G88, VLOOKUP(C88, Resultados_Reales!$A$4:$I$107, 6, FALSE)=H88), Configuracion!$B$5, IF(SIGN(VLOOKUP(C88, Resultados_Reales!$A$4:$I$107, 5, FALSE)-VLOOKUP(C88, Resultados_Reales!$A$4:$I$107, 6, FALSE)) = SIGN(G88-H88), Configuracion!$B$4, 0)))</f>
        <v/>
      </c>
      <c r="L88" s="11" t="n"/>
      <c r="M88" s="11" t="n"/>
      <c r="N88" s="11" t="n"/>
      <c r="O88" s="11" t="n"/>
      <c r="P88" s="11" t="n"/>
      <c r="Q88" s="11" t="n"/>
    </row>
    <row r="89">
      <c r="A89" s="8">
        <f>B89&amp;"_"&amp;C89</f>
        <v/>
      </c>
      <c r="B89" s="8" t="n"/>
      <c r="C89" s="8" t="n"/>
      <c r="D89" s="8" t="n"/>
      <c r="E89" s="11" t="n"/>
      <c r="F89" s="11" t="n"/>
      <c r="G89" s="8" t="n"/>
      <c r="H89" s="8" t="n"/>
      <c r="I89" s="8" t="n"/>
      <c r="J89" s="8" t="n"/>
      <c r="K89" s="12">
        <f>IF(OR(ISERROR(VLOOKUP(C89, Resultados_Reales!$A$4:$I$107, 5, FALSE)), ISERROR(VLOOKUP(C89, Resultados_Reales!$A$4:$I$107, 6, FALSE)), VLOOKUP(C89, Resultados_Reales!$A$4:$I$107, 5, FALSE)="", VLOOKUP(C89, Resultados_Reales!$A$4:$I$107, 6, FALSE)=""), 0, IF(AND(VLOOKUP(C89, Resultados_Reales!$A$4:$I$107, 5, FALSE)=G89, VLOOKUP(C89, Resultados_Reales!$A$4:$I$107, 6, FALSE)=H89), Configuracion!$B$5, IF(SIGN(VLOOKUP(C89, Resultados_Reales!$A$4:$I$107, 5, FALSE)-VLOOKUP(C89, Resultados_Reales!$A$4:$I$107, 6, FALSE)) = SIGN(G89-H89), Configuracion!$B$4, 0)))</f>
        <v/>
      </c>
      <c r="L89" s="11" t="n"/>
      <c r="M89" s="11" t="n"/>
      <c r="N89" s="11" t="n"/>
      <c r="O89" s="11" t="n"/>
      <c r="P89" s="11" t="n"/>
      <c r="Q89" s="11" t="n"/>
    </row>
    <row r="90">
      <c r="A90" s="8">
        <f>B90&amp;"_"&amp;C90</f>
        <v/>
      </c>
      <c r="B90" s="8" t="n"/>
      <c r="C90" s="8" t="n"/>
      <c r="D90" s="8" t="n"/>
      <c r="E90" s="11" t="n"/>
      <c r="F90" s="11" t="n"/>
      <c r="G90" s="8" t="n"/>
      <c r="H90" s="8" t="n"/>
      <c r="I90" s="8" t="n"/>
      <c r="J90" s="8" t="n"/>
      <c r="K90" s="12">
        <f>IF(OR(ISERROR(VLOOKUP(C90, Resultados_Reales!$A$4:$I$107, 5, FALSE)), ISERROR(VLOOKUP(C90, Resultados_Reales!$A$4:$I$107, 6, FALSE)), VLOOKUP(C90, Resultados_Reales!$A$4:$I$107, 5, FALSE)="", VLOOKUP(C90, Resultados_Reales!$A$4:$I$107, 6, FALSE)=""), 0, IF(AND(VLOOKUP(C90, Resultados_Reales!$A$4:$I$107, 5, FALSE)=G90, VLOOKUP(C90, Resultados_Reales!$A$4:$I$107, 6, FALSE)=H90), Configuracion!$B$5, IF(SIGN(VLOOKUP(C90, Resultados_Reales!$A$4:$I$107, 5, FALSE)-VLOOKUP(C90, Resultados_Reales!$A$4:$I$107, 6, FALSE)) = SIGN(G90-H90), Configuracion!$B$4, 0)))</f>
        <v/>
      </c>
      <c r="L90" s="11" t="n"/>
      <c r="M90" s="11" t="n"/>
      <c r="N90" s="11" t="n"/>
      <c r="O90" s="11" t="n"/>
      <c r="P90" s="11" t="n"/>
      <c r="Q90" s="11" t="n"/>
    </row>
    <row r="91">
      <c r="A91" s="8">
        <f>B91&amp;"_"&amp;C91</f>
        <v/>
      </c>
      <c r="B91" s="8" t="n"/>
      <c r="C91" s="8" t="n"/>
      <c r="D91" s="8" t="n"/>
      <c r="E91" s="11" t="n"/>
      <c r="F91" s="11" t="n"/>
      <c r="G91" s="8" t="n"/>
      <c r="H91" s="8" t="n"/>
      <c r="I91" s="8" t="n"/>
      <c r="J91" s="8" t="n"/>
      <c r="K91" s="12">
        <f>IF(OR(ISERROR(VLOOKUP(C91, Resultados_Reales!$A$4:$I$107, 5, FALSE)), ISERROR(VLOOKUP(C91, Resultados_Reales!$A$4:$I$107, 6, FALSE)), VLOOKUP(C91, Resultados_Reales!$A$4:$I$107, 5, FALSE)="", VLOOKUP(C91, Resultados_Reales!$A$4:$I$107, 6, FALSE)=""), 0, IF(AND(VLOOKUP(C91, Resultados_Reales!$A$4:$I$107, 5, FALSE)=G91, VLOOKUP(C91, Resultados_Reales!$A$4:$I$107, 6, FALSE)=H91), Configuracion!$B$5, IF(SIGN(VLOOKUP(C91, Resultados_Reales!$A$4:$I$107, 5, FALSE)-VLOOKUP(C91, Resultados_Reales!$A$4:$I$107, 6, FALSE)) = SIGN(G91-H91), Configuracion!$B$4, 0)))</f>
        <v/>
      </c>
      <c r="L91" s="11" t="n"/>
      <c r="M91" s="11" t="n"/>
      <c r="N91" s="11" t="n"/>
      <c r="O91" s="11" t="n"/>
      <c r="P91" s="11" t="n"/>
      <c r="Q91" s="11" t="n"/>
    </row>
    <row r="92">
      <c r="A92" s="8">
        <f>B92&amp;"_"&amp;C92</f>
        <v/>
      </c>
      <c r="B92" s="8" t="n"/>
      <c r="C92" s="8" t="n"/>
      <c r="D92" s="8" t="n"/>
      <c r="E92" s="11" t="n"/>
      <c r="F92" s="11" t="n"/>
      <c r="G92" s="8" t="n"/>
      <c r="H92" s="8" t="n"/>
      <c r="I92" s="8" t="n"/>
      <c r="J92" s="8" t="n"/>
      <c r="K92" s="12">
        <f>IF(OR(ISERROR(VLOOKUP(C92, Resultados_Reales!$A$4:$I$107, 5, FALSE)), ISERROR(VLOOKUP(C92, Resultados_Reales!$A$4:$I$107, 6, FALSE)), VLOOKUP(C92, Resultados_Reales!$A$4:$I$107, 5, FALSE)="", VLOOKUP(C92, Resultados_Reales!$A$4:$I$107, 6, FALSE)=""), 0, IF(AND(VLOOKUP(C92, Resultados_Reales!$A$4:$I$107, 5, FALSE)=G92, VLOOKUP(C92, Resultados_Reales!$A$4:$I$107, 6, FALSE)=H92), Configuracion!$B$5, IF(SIGN(VLOOKUP(C92, Resultados_Reales!$A$4:$I$107, 5, FALSE)-VLOOKUP(C92, Resultados_Reales!$A$4:$I$107, 6, FALSE)) = SIGN(G92-H92), Configuracion!$B$4, 0)))</f>
        <v/>
      </c>
      <c r="L92" s="11" t="n"/>
      <c r="M92" s="11" t="n"/>
      <c r="N92" s="11" t="n"/>
      <c r="O92" s="11" t="n"/>
      <c r="P92" s="11" t="n"/>
      <c r="Q92" s="11" t="n"/>
    </row>
    <row r="93">
      <c r="A93" s="8">
        <f>B93&amp;"_"&amp;C93</f>
        <v/>
      </c>
      <c r="B93" s="8" t="n"/>
      <c r="C93" s="8" t="n"/>
      <c r="D93" s="8" t="n"/>
      <c r="E93" s="11" t="n"/>
      <c r="F93" s="11" t="n"/>
      <c r="G93" s="8" t="n"/>
      <c r="H93" s="8" t="n"/>
      <c r="I93" s="8" t="n"/>
      <c r="J93" s="8" t="n"/>
      <c r="K93" s="12">
        <f>IF(OR(ISERROR(VLOOKUP(C93, Resultados_Reales!$A$4:$I$107, 5, FALSE)), ISERROR(VLOOKUP(C93, Resultados_Reales!$A$4:$I$107, 6, FALSE)), VLOOKUP(C93, Resultados_Reales!$A$4:$I$107, 5, FALSE)="", VLOOKUP(C93, Resultados_Reales!$A$4:$I$107, 6, FALSE)=""), 0, IF(AND(VLOOKUP(C93, Resultados_Reales!$A$4:$I$107, 5, FALSE)=G93, VLOOKUP(C93, Resultados_Reales!$A$4:$I$107, 6, FALSE)=H93), Configuracion!$B$5, IF(SIGN(VLOOKUP(C93, Resultados_Reales!$A$4:$I$107, 5, FALSE)-VLOOKUP(C93, Resultados_Reales!$A$4:$I$107, 6, FALSE)) = SIGN(G93-H93), Configuracion!$B$4, 0)))</f>
        <v/>
      </c>
      <c r="L93" s="11" t="n"/>
      <c r="M93" s="11" t="n"/>
      <c r="N93" s="11" t="n"/>
      <c r="O93" s="11" t="n"/>
      <c r="P93" s="11" t="n"/>
      <c r="Q93" s="11" t="n"/>
    </row>
    <row r="94">
      <c r="A94" s="8">
        <f>B94&amp;"_"&amp;C94</f>
        <v/>
      </c>
      <c r="B94" s="8" t="n"/>
      <c r="C94" s="8" t="n"/>
      <c r="D94" s="8" t="n"/>
      <c r="E94" s="11" t="n"/>
      <c r="F94" s="11" t="n"/>
      <c r="G94" s="8" t="n"/>
      <c r="H94" s="8" t="n"/>
      <c r="I94" s="8" t="n"/>
      <c r="J94" s="8" t="n"/>
      <c r="K94" s="12">
        <f>IF(OR(ISERROR(VLOOKUP(C94, Resultados_Reales!$A$4:$I$107, 5, FALSE)), ISERROR(VLOOKUP(C94, Resultados_Reales!$A$4:$I$107, 6, FALSE)), VLOOKUP(C94, Resultados_Reales!$A$4:$I$107, 5, FALSE)="", VLOOKUP(C94, Resultados_Reales!$A$4:$I$107, 6, FALSE)=""), 0, IF(AND(VLOOKUP(C94, Resultados_Reales!$A$4:$I$107, 5, FALSE)=G94, VLOOKUP(C94, Resultados_Reales!$A$4:$I$107, 6, FALSE)=H94), Configuracion!$B$5, IF(SIGN(VLOOKUP(C94, Resultados_Reales!$A$4:$I$107, 5, FALSE)-VLOOKUP(C94, Resultados_Reales!$A$4:$I$107, 6, FALSE)) = SIGN(G94-H94), Configuracion!$B$4, 0)))</f>
        <v/>
      </c>
      <c r="L94" s="11" t="n"/>
      <c r="M94" s="11" t="n"/>
      <c r="N94" s="11" t="n"/>
      <c r="O94" s="11" t="n"/>
      <c r="P94" s="11" t="n"/>
      <c r="Q94" s="11" t="n"/>
    </row>
    <row r="95">
      <c r="A95" s="8">
        <f>B95&amp;"_"&amp;C95</f>
        <v/>
      </c>
      <c r="B95" s="8" t="n"/>
      <c r="C95" s="8" t="n"/>
      <c r="D95" s="8" t="n"/>
      <c r="E95" s="11" t="n"/>
      <c r="F95" s="11" t="n"/>
      <c r="G95" s="8" t="n"/>
      <c r="H95" s="8" t="n"/>
      <c r="I95" s="8" t="n"/>
      <c r="J95" s="8" t="n"/>
      <c r="K95" s="12">
        <f>IF(OR(ISERROR(VLOOKUP(C95, Resultados_Reales!$A$4:$I$107, 5, FALSE)), ISERROR(VLOOKUP(C95, Resultados_Reales!$A$4:$I$107, 6, FALSE)), VLOOKUP(C95, Resultados_Reales!$A$4:$I$107, 5, FALSE)="", VLOOKUP(C95, Resultados_Reales!$A$4:$I$107, 6, FALSE)=""), 0, IF(AND(VLOOKUP(C95, Resultados_Reales!$A$4:$I$107, 5, FALSE)=G95, VLOOKUP(C95, Resultados_Reales!$A$4:$I$107, 6, FALSE)=H95), Configuracion!$B$5, IF(SIGN(VLOOKUP(C95, Resultados_Reales!$A$4:$I$107, 5, FALSE)-VLOOKUP(C95, Resultados_Reales!$A$4:$I$107, 6, FALSE)) = SIGN(G95-H95), Configuracion!$B$4, 0)))</f>
        <v/>
      </c>
      <c r="L95" s="11" t="n"/>
      <c r="M95" s="11" t="n"/>
      <c r="N95" s="11" t="n"/>
      <c r="O95" s="11" t="n"/>
      <c r="P95" s="11" t="n"/>
      <c r="Q95" s="11" t="n"/>
    </row>
    <row r="96">
      <c r="A96" s="8">
        <f>B96&amp;"_"&amp;C96</f>
        <v/>
      </c>
      <c r="B96" s="8" t="n"/>
      <c r="C96" s="8" t="n"/>
      <c r="D96" s="8" t="n"/>
      <c r="E96" s="11" t="n"/>
      <c r="F96" s="11" t="n"/>
      <c r="G96" s="8" t="n"/>
      <c r="H96" s="8" t="n"/>
      <c r="I96" s="8" t="n"/>
      <c r="J96" s="8" t="n"/>
      <c r="K96" s="12">
        <f>IF(OR(ISERROR(VLOOKUP(C96, Resultados_Reales!$A$4:$I$107, 5, FALSE)), ISERROR(VLOOKUP(C96, Resultados_Reales!$A$4:$I$107, 6, FALSE)), VLOOKUP(C96, Resultados_Reales!$A$4:$I$107, 5, FALSE)="", VLOOKUP(C96, Resultados_Reales!$A$4:$I$107, 6, FALSE)=""), 0, IF(AND(VLOOKUP(C96, Resultados_Reales!$A$4:$I$107, 5, FALSE)=G96, VLOOKUP(C96, Resultados_Reales!$A$4:$I$107, 6, FALSE)=H96), Configuracion!$B$5, IF(SIGN(VLOOKUP(C96, Resultados_Reales!$A$4:$I$107, 5, FALSE)-VLOOKUP(C96, Resultados_Reales!$A$4:$I$107, 6, FALSE)) = SIGN(G96-H96), Configuracion!$B$4, 0)))</f>
        <v/>
      </c>
      <c r="L96" s="11" t="n"/>
      <c r="M96" s="11" t="n"/>
      <c r="N96" s="11" t="n"/>
      <c r="O96" s="11" t="n"/>
      <c r="P96" s="11" t="n"/>
      <c r="Q96" s="11" t="n"/>
    </row>
    <row r="97">
      <c r="A97" s="8">
        <f>B97&amp;"_"&amp;C97</f>
        <v/>
      </c>
      <c r="B97" s="8" t="n"/>
      <c r="C97" s="8" t="n"/>
      <c r="D97" s="8" t="n"/>
      <c r="E97" s="11" t="n"/>
      <c r="F97" s="11" t="n"/>
      <c r="G97" s="8" t="n"/>
      <c r="H97" s="8" t="n"/>
      <c r="I97" s="8" t="n"/>
      <c r="J97" s="8" t="n"/>
      <c r="K97" s="12">
        <f>IF(OR(ISERROR(VLOOKUP(C97, Resultados_Reales!$A$4:$I$107, 5, FALSE)), ISERROR(VLOOKUP(C97, Resultados_Reales!$A$4:$I$107, 6, FALSE)), VLOOKUP(C97, Resultados_Reales!$A$4:$I$107, 5, FALSE)="", VLOOKUP(C97, Resultados_Reales!$A$4:$I$107, 6, FALSE)=""), 0, IF(AND(VLOOKUP(C97, Resultados_Reales!$A$4:$I$107, 5, FALSE)=G97, VLOOKUP(C97, Resultados_Reales!$A$4:$I$107, 6, FALSE)=H97), Configuracion!$B$5, IF(SIGN(VLOOKUP(C97, Resultados_Reales!$A$4:$I$107, 5, FALSE)-VLOOKUP(C97, Resultados_Reales!$A$4:$I$107, 6, FALSE)) = SIGN(G97-H97), Configuracion!$B$4, 0)))</f>
        <v/>
      </c>
      <c r="L97" s="11" t="n"/>
      <c r="M97" s="11" t="n"/>
      <c r="N97" s="11" t="n"/>
      <c r="O97" s="11" t="n"/>
      <c r="P97" s="11" t="n"/>
      <c r="Q97" s="11" t="n"/>
    </row>
    <row r="98">
      <c r="A98" s="8">
        <f>B98&amp;"_"&amp;C98</f>
        <v/>
      </c>
      <c r="B98" s="8" t="n"/>
      <c r="C98" s="8" t="n"/>
      <c r="D98" s="8" t="n"/>
      <c r="E98" s="11" t="n"/>
      <c r="F98" s="11" t="n"/>
      <c r="G98" s="8" t="n"/>
      <c r="H98" s="8" t="n"/>
      <c r="I98" s="8" t="n"/>
      <c r="J98" s="8" t="n"/>
      <c r="K98" s="12">
        <f>IF(OR(ISERROR(VLOOKUP(C98, Resultados_Reales!$A$4:$I$107, 5, FALSE)), ISERROR(VLOOKUP(C98, Resultados_Reales!$A$4:$I$107, 6, FALSE)), VLOOKUP(C98, Resultados_Reales!$A$4:$I$107, 5, FALSE)="", VLOOKUP(C98, Resultados_Reales!$A$4:$I$107, 6, FALSE)=""), 0, IF(AND(VLOOKUP(C98, Resultados_Reales!$A$4:$I$107, 5, FALSE)=G98, VLOOKUP(C98, Resultados_Reales!$A$4:$I$107, 6, FALSE)=H98), Configuracion!$B$5, IF(SIGN(VLOOKUP(C98, Resultados_Reales!$A$4:$I$107, 5, FALSE)-VLOOKUP(C98, Resultados_Reales!$A$4:$I$107, 6, FALSE)) = SIGN(G98-H98), Configuracion!$B$4, 0)))</f>
        <v/>
      </c>
      <c r="L98" s="11" t="n"/>
      <c r="M98" s="11" t="n"/>
      <c r="N98" s="11" t="n"/>
      <c r="O98" s="11" t="n"/>
      <c r="P98" s="11" t="n"/>
      <c r="Q98" s="11" t="n"/>
    </row>
    <row r="99">
      <c r="A99" s="8">
        <f>B99&amp;"_"&amp;C99</f>
        <v/>
      </c>
      <c r="B99" s="8" t="n"/>
      <c r="C99" s="8" t="n"/>
      <c r="D99" s="8" t="n"/>
      <c r="E99" s="11" t="n"/>
      <c r="F99" s="11" t="n"/>
      <c r="G99" s="8" t="n"/>
      <c r="H99" s="8" t="n"/>
      <c r="I99" s="8" t="n"/>
      <c r="J99" s="8" t="n"/>
      <c r="K99" s="12">
        <f>IF(OR(ISERROR(VLOOKUP(C99, Resultados_Reales!$A$4:$I$107, 5, FALSE)), ISERROR(VLOOKUP(C99, Resultados_Reales!$A$4:$I$107, 6, FALSE)), VLOOKUP(C99, Resultados_Reales!$A$4:$I$107, 5, FALSE)="", VLOOKUP(C99, Resultados_Reales!$A$4:$I$107, 6, FALSE)=""), 0, IF(AND(VLOOKUP(C99, Resultados_Reales!$A$4:$I$107, 5, FALSE)=G99, VLOOKUP(C99, Resultados_Reales!$A$4:$I$107, 6, FALSE)=H99), Configuracion!$B$5, IF(SIGN(VLOOKUP(C99, Resultados_Reales!$A$4:$I$107, 5, FALSE)-VLOOKUP(C99, Resultados_Reales!$A$4:$I$107, 6, FALSE)) = SIGN(G99-H99), Configuracion!$B$4, 0)))</f>
        <v/>
      </c>
      <c r="L99" s="11" t="n"/>
      <c r="M99" s="11" t="n"/>
      <c r="N99" s="11" t="n"/>
      <c r="O99" s="11" t="n"/>
      <c r="P99" s="11" t="n"/>
      <c r="Q99" s="11" t="n"/>
    </row>
    <row r="100">
      <c r="A100" s="8">
        <f>B100&amp;"_"&amp;C100</f>
        <v/>
      </c>
      <c r="B100" s="8" t="n"/>
      <c r="C100" s="8" t="n"/>
      <c r="D100" s="8" t="n"/>
      <c r="E100" s="11" t="n"/>
      <c r="F100" s="11" t="n"/>
      <c r="G100" s="8" t="n"/>
      <c r="H100" s="8" t="n"/>
      <c r="I100" s="8" t="n"/>
      <c r="J100" s="8" t="n"/>
      <c r="K100" s="12">
        <f>IF(OR(ISERROR(VLOOKUP(C100, Resultados_Reales!$A$4:$I$107, 5, FALSE)), ISERROR(VLOOKUP(C100, Resultados_Reales!$A$4:$I$107, 6, FALSE)), VLOOKUP(C100, Resultados_Reales!$A$4:$I$107, 5, FALSE)="", VLOOKUP(C100, Resultados_Reales!$A$4:$I$107, 6, FALSE)=""), 0, IF(AND(VLOOKUP(C100, Resultados_Reales!$A$4:$I$107, 5, FALSE)=G100, VLOOKUP(C100, Resultados_Reales!$A$4:$I$107, 6, FALSE)=H100), Configuracion!$B$5, IF(SIGN(VLOOKUP(C100, Resultados_Reales!$A$4:$I$107, 5, FALSE)-VLOOKUP(C100, Resultados_Reales!$A$4:$I$107, 6, FALSE)) = SIGN(G100-H100), Configuracion!$B$4, 0)))</f>
        <v/>
      </c>
      <c r="L100" s="11" t="n"/>
      <c r="M100" s="11" t="n"/>
      <c r="N100" s="11" t="n"/>
      <c r="O100" s="11" t="n"/>
      <c r="P100" s="11" t="n"/>
      <c r="Q100" s="11" t="n"/>
    </row>
    <row r="101">
      <c r="A101" s="8">
        <f>B101&amp;"_"&amp;C101</f>
        <v/>
      </c>
      <c r="B101" s="8" t="n"/>
      <c r="C101" s="8" t="n"/>
      <c r="D101" s="8" t="n"/>
      <c r="E101" s="11" t="n"/>
      <c r="F101" s="11" t="n"/>
      <c r="G101" s="8" t="n"/>
      <c r="H101" s="8" t="n"/>
      <c r="I101" s="8" t="n"/>
      <c r="J101" s="8" t="n"/>
      <c r="K101" s="12">
        <f>IF(OR(ISERROR(VLOOKUP(C101, Resultados_Reales!$A$4:$I$107, 5, FALSE)), ISERROR(VLOOKUP(C101, Resultados_Reales!$A$4:$I$107, 6, FALSE)), VLOOKUP(C101, Resultados_Reales!$A$4:$I$107, 5, FALSE)="", VLOOKUP(C101, Resultados_Reales!$A$4:$I$107, 6, FALSE)=""), 0, IF(AND(VLOOKUP(C101, Resultados_Reales!$A$4:$I$107, 5, FALSE)=G101, VLOOKUP(C101, Resultados_Reales!$A$4:$I$107, 6, FALSE)=H101), Configuracion!$B$5, IF(SIGN(VLOOKUP(C101, Resultados_Reales!$A$4:$I$107, 5, FALSE)-VLOOKUP(C101, Resultados_Reales!$A$4:$I$107, 6, FALSE)) = SIGN(G101-H101), Configuracion!$B$4, 0)))</f>
        <v/>
      </c>
      <c r="L101" s="11" t="n"/>
      <c r="M101" s="11" t="n"/>
      <c r="N101" s="11" t="n"/>
      <c r="O101" s="11" t="n"/>
      <c r="P101" s="11" t="n"/>
      <c r="Q101" s="11" t="n"/>
    </row>
    <row r="102">
      <c r="A102" s="8">
        <f>B102&amp;"_"&amp;C102</f>
        <v/>
      </c>
      <c r="B102" s="8" t="n"/>
      <c r="C102" s="8" t="n"/>
      <c r="D102" s="8" t="n"/>
      <c r="E102" s="11" t="n"/>
      <c r="F102" s="11" t="n"/>
      <c r="G102" s="8" t="n"/>
      <c r="H102" s="8" t="n"/>
      <c r="I102" s="8" t="n"/>
      <c r="J102" s="8" t="n"/>
      <c r="K102" s="12">
        <f>IF(OR(ISERROR(VLOOKUP(C102, Resultados_Reales!$A$4:$I$107, 5, FALSE)), ISERROR(VLOOKUP(C102, Resultados_Reales!$A$4:$I$107, 6, FALSE)), VLOOKUP(C102, Resultados_Reales!$A$4:$I$107, 5, FALSE)="", VLOOKUP(C102, Resultados_Reales!$A$4:$I$107, 6, FALSE)=""), 0, IF(AND(VLOOKUP(C102, Resultados_Reales!$A$4:$I$107, 5, FALSE)=G102, VLOOKUP(C102, Resultados_Reales!$A$4:$I$107, 6, FALSE)=H102), Configuracion!$B$5, IF(SIGN(VLOOKUP(C102, Resultados_Reales!$A$4:$I$107, 5, FALSE)-VLOOKUP(C102, Resultados_Reales!$A$4:$I$107, 6, FALSE)) = SIGN(G102-H102), Configuracion!$B$4, 0)))</f>
        <v/>
      </c>
      <c r="L102" s="11" t="n"/>
      <c r="M102" s="11" t="n"/>
      <c r="N102" s="11" t="n"/>
      <c r="O102" s="11" t="n"/>
      <c r="P102" s="11" t="n"/>
      <c r="Q102" s="11" t="n"/>
    </row>
    <row r="103">
      <c r="A103" s="8">
        <f>B103&amp;"_"&amp;C103</f>
        <v/>
      </c>
      <c r="B103" s="8" t="n"/>
      <c r="C103" s="8" t="n"/>
      <c r="D103" s="8" t="n"/>
      <c r="E103" s="11" t="n"/>
      <c r="F103" s="11" t="n"/>
      <c r="G103" s="8" t="n"/>
      <c r="H103" s="8" t="n"/>
      <c r="I103" s="8" t="n"/>
      <c r="J103" s="8" t="n"/>
      <c r="K103" s="12">
        <f>IF(OR(ISERROR(VLOOKUP(C103, Resultados_Reales!$A$4:$I$107, 5, FALSE)), ISERROR(VLOOKUP(C103, Resultados_Reales!$A$4:$I$107, 6, FALSE)), VLOOKUP(C103, Resultados_Reales!$A$4:$I$107, 5, FALSE)="", VLOOKUP(C103, Resultados_Reales!$A$4:$I$107, 6, FALSE)=""), 0, IF(AND(VLOOKUP(C103, Resultados_Reales!$A$4:$I$107, 5, FALSE)=G103, VLOOKUP(C103, Resultados_Reales!$A$4:$I$107, 6, FALSE)=H103), Configuracion!$B$5, IF(SIGN(VLOOKUP(C103, Resultados_Reales!$A$4:$I$107, 5, FALSE)-VLOOKUP(C103, Resultados_Reales!$A$4:$I$107, 6, FALSE)) = SIGN(G103-H103), Configuracion!$B$4, 0)))</f>
        <v/>
      </c>
      <c r="L103" s="11" t="n"/>
      <c r="M103" s="11" t="n"/>
      <c r="N103" s="11" t="n"/>
      <c r="O103" s="11" t="n"/>
      <c r="P103" s="11" t="n"/>
      <c r="Q103" s="11" t="n"/>
    </row>
    <row r="104">
      <c r="A104" s="8">
        <f>B104&amp;"_"&amp;C104</f>
        <v/>
      </c>
      <c r="B104" s="8" t="n"/>
      <c r="C104" s="8" t="n"/>
      <c r="D104" s="8" t="n"/>
      <c r="E104" s="11" t="n"/>
      <c r="F104" s="11" t="n"/>
      <c r="G104" s="8" t="n"/>
      <c r="H104" s="8" t="n"/>
      <c r="I104" s="8" t="n"/>
      <c r="J104" s="8" t="n"/>
      <c r="K104" s="12">
        <f>IF(OR(ISERROR(VLOOKUP(C104, Resultados_Reales!$A$4:$I$107, 5, FALSE)), ISERROR(VLOOKUP(C104, Resultados_Reales!$A$4:$I$107, 6, FALSE)), VLOOKUP(C104, Resultados_Reales!$A$4:$I$107, 5, FALSE)="", VLOOKUP(C104, Resultados_Reales!$A$4:$I$107, 6, FALSE)=""), 0, IF(AND(VLOOKUP(C104, Resultados_Reales!$A$4:$I$107, 5, FALSE)=G104, VLOOKUP(C104, Resultados_Reales!$A$4:$I$107, 6, FALSE)=H104), Configuracion!$B$5, IF(SIGN(VLOOKUP(C104, Resultados_Reales!$A$4:$I$107, 5, FALSE)-VLOOKUP(C104, Resultados_Reales!$A$4:$I$107, 6, FALSE)) = SIGN(G104-H104), Configuracion!$B$4, 0)))</f>
        <v/>
      </c>
      <c r="L104" s="11" t="n"/>
      <c r="M104" s="11" t="n"/>
      <c r="N104" s="11" t="n"/>
      <c r="O104" s="11" t="n"/>
      <c r="P104" s="11" t="n"/>
      <c r="Q104" s="11" t="n"/>
    </row>
    <row r="105">
      <c r="A105" s="8">
        <f>B105&amp;"_"&amp;C105</f>
        <v/>
      </c>
      <c r="B105" s="8" t="n"/>
      <c r="C105" s="8" t="n"/>
      <c r="D105" s="8" t="n"/>
      <c r="E105" s="11" t="n"/>
      <c r="F105" s="11" t="n"/>
      <c r="G105" s="8" t="n"/>
      <c r="H105" s="8" t="n"/>
      <c r="I105" s="8" t="n"/>
      <c r="J105" s="8" t="n"/>
      <c r="K105" s="12">
        <f>IF(OR(ISERROR(VLOOKUP(C105, Resultados_Reales!$A$4:$I$107, 5, FALSE)), ISERROR(VLOOKUP(C105, Resultados_Reales!$A$4:$I$107, 6, FALSE)), VLOOKUP(C105, Resultados_Reales!$A$4:$I$107, 5, FALSE)="", VLOOKUP(C105, Resultados_Reales!$A$4:$I$107, 6, FALSE)=""), 0, IF(AND(VLOOKUP(C105, Resultados_Reales!$A$4:$I$107, 5, FALSE)=G105, VLOOKUP(C105, Resultados_Reales!$A$4:$I$107, 6, FALSE)=H105), Configuracion!$B$5, IF(SIGN(VLOOKUP(C105, Resultados_Reales!$A$4:$I$107, 5, FALSE)-VLOOKUP(C105, Resultados_Reales!$A$4:$I$107, 6, FALSE)) = SIGN(G105-H105), Configuracion!$B$4, 0)))</f>
        <v/>
      </c>
      <c r="L105" s="11" t="n"/>
      <c r="M105" s="11" t="n"/>
      <c r="N105" s="11" t="n"/>
      <c r="O105" s="11" t="n"/>
      <c r="P105" s="11" t="n"/>
      <c r="Q105" s="11" t="n"/>
    </row>
    <row r="106">
      <c r="A106" s="8">
        <f>B106&amp;"_"&amp;C106</f>
        <v/>
      </c>
      <c r="B106" s="8" t="n"/>
      <c r="C106" s="8" t="n"/>
      <c r="D106" s="8" t="n"/>
      <c r="E106" s="11" t="n"/>
      <c r="F106" s="11" t="n"/>
      <c r="G106" s="8" t="n"/>
      <c r="H106" s="8" t="n"/>
      <c r="I106" s="8" t="n"/>
      <c r="J106" s="8" t="n"/>
      <c r="K106" s="12">
        <f>IF(OR(ISERROR(VLOOKUP(C106, Resultados_Reales!$A$4:$I$107, 5, FALSE)), ISERROR(VLOOKUP(C106, Resultados_Reales!$A$4:$I$107, 6, FALSE)), VLOOKUP(C106, Resultados_Reales!$A$4:$I$107, 5, FALSE)="", VLOOKUP(C106, Resultados_Reales!$A$4:$I$107, 6, FALSE)=""), 0, IF(AND(VLOOKUP(C106, Resultados_Reales!$A$4:$I$107, 5, FALSE)=G106, VLOOKUP(C106, Resultados_Reales!$A$4:$I$107, 6, FALSE)=H106), Configuracion!$B$5, IF(SIGN(VLOOKUP(C106, Resultados_Reales!$A$4:$I$107, 5, FALSE)-VLOOKUP(C106, Resultados_Reales!$A$4:$I$107, 6, FALSE)) = SIGN(G106-H106), Configuracion!$B$4, 0)))</f>
        <v/>
      </c>
      <c r="L106" s="11" t="n"/>
      <c r="M106" s="11" t="n"/>
      <c r="N106" s="11" t="n"/>
      <c r="O106" s="11" t="n"/>
      <c r="P106" s="11" t="n"/>
      <c r="Q106" s="11" t="n"/>
    </row>
    <row r="107">
      <c r="A107" s="8">
        <f>B107&amp;"_"&amp;C107</f>
        <v/>
      </c>
      <c r="B107" s="8" t="n"/>
      <c r="C107" s="8" t="n"/>
      <c r="D107" s="8" t="n"/>
      <c r="E107" s="11" t="n"/>
      <c r="F107" s="11" t="n"/>
      <c r="G107" s="8" t="n"/>
      <c r="H107" s="8" t="n"/>
      <c r="I107" s="8" t="n"/>
      <c r="J107" s="8" t="n"/>
      <c r="K107" s="12">
        <f>IF(OR(ISERROR(VLOOKUP(C107, Resultados_Reales!$A$4:$I$107, 5, FALSE)), ISERROR(VLOOKUP(C107, Resultados_Reales!$A$4:$I$107, 6, FALSE)), VLOOKUP(C107, Resultados_Reales!$A$4:$I$107, 5, FALSE)="", VLOOKUP(C107, Resultados_Reales!$A$4:$I$107, 6, FALSE)=""), 0, IF(AND(VLOOKUP(C107, Resultados_Reales!$A$4:$I$107, 5, FALSE)=G107, VLOOKUP(C107, Resultados_Reales!$A$4:$I$107, 6, FALSE)=H107), Configuracion!$B$5, IF(SIGN(VLOOKUP(C107, Resultados_Reales!$A$4:$I$107, 5, FALSE)-VLOOKUP(C107, Resultados_Reales!$A$4:$I$107, 6, FALSE)) = SIGN(G107-H107), Configuracion!$B$4, 0)))</f>
        <v/>
      </c>
      <c r="L107" s="11" t="n"/>
      <c r="M107" s="11" t="n"/>
      <c r="N107" s="11" t="n"/>
      <c r="O107" s="11" t="n"/>
      <c r="P107" s="11" t="n"/>
      <c r="Q107" s="11" t="n"/>
    </row>
    <row r="108">
      <c r="A108" s="8">
        <f>B108&amp;"_"&amp;C108</f>
        <v/>
      </c>
      <c r="B108" s="8" t="n"/>
      <c r="C108" s="8" t="n"/>
      <c r="D108" s="8" t="n"/>
      <c r="E108" s="11" t="n"/>
      <c r="F108" s="11" t="n"/>
      <c r="G108" s="8" t="n"/>
      <c r="H108" s="8" t="n"/>
      <c r="I108" s="8" t="n"/>
      <c r="J108" s="8" t="n"/>
      <c r="K108" s="12">
        <f>IF(OR(ISERROR(VLOOKUP(C108, Resultados_Reales!$A$4:$I$107, 5, FALSE)), ISERROR(VLOOKUP(C108, Resultados_Reales!$A$4:$I$107, 6, FALSE)), VLOOKUP(C108, Resultados_Reales!$A$4:$I$107, 5, FALSE)="", VLOOKUP(C108, Resultados_Reales!$A$4:$I$107, 6, FALSE)=""), 0, IF(AND(VLOOKUP(C108, Resultados_Reales!$A$4:$I$107, 5, FALSE)=G108, VLOOKUP(C108, Resultados_Reales!$A$4:$I$107, 6, FALSE)=H108), Configuracion!$B$5, IF(SIGN(VLOOKUP(C108, Resultados_Reales!$A$4:$I$107, 5, FALSE)-VLOOKUP(C108, Resultados_Reales!$A$4:$I$107, 6, FALSE)) = SIGN(G108-H108), Configuracion!$B$4, 0)))</f>
        <v/>
      </c>
      <c r="L108" s="11" t="n"/>
      <c r="M108" s="11" t="n"/>
      <c r="N108" s="11" t="n"/>
      <c r="O108" s="11" t="n"/>
      <c r="P108" s="11" t="n"/>
      <c r="Q108" s="11" t="n"/>
    </row>
    <row r="109">
      <c r="A109" s="8">
        <f>B109&amp;"_"&amp;C109</f>
        <v/>
      </c>
      <c r="B109" s="8" t="n"/>
      <c r="C109" s="8" t="n"/>
      <c r="D109" s="8" t="n"/>
      <c r="E109" s="11" t="n"/>
      <c r="F109" s="11" t="n"/>
      <c r="G109" s="8" t="n"/>
      <c r="H109" s="8" t="n"/>
      <c r="I109" s="8" t="n"/>
      <c r="J109" s="8" t="n"/>
      <c r="K109" s="12">
        <f>IF(OR(ISERROR(VLOOKUP(C109, Resultados_Reales!$A$4:$I$107, 5, FALSE)), ISERROR(VLOOKUP(C109, Resultados_Reales!$A$4:$I$107, 6, FALSE)), VLOOKUP(C109, Resultados_Reales!$A$4:$I$107, 5, FALSE)="", VLOOKUP(C109, Resultados_Reales!$A$4:$I$107, 6, FALSE)=""), 0, IF(AND(VLOOKUP(C109, Resultados_Reales!$A$4:$I$107, 5, FALSE)=G109, VLOOKUP(C109, Resultados_Reales!$A$4:$I$107, 6, FALSE)=H109), Configuracion!$B$5, IF(SIGN(VLOOKUP(C109, Resultados_Reales!$A$4:$I$107, 5, FALSE)-VLOOKUP(C109, Resultados_Reales!$A$4:$I$107, 6, FALSE)) = SIGN(G109-H109), Configuracion!$B$4, 0)))</f>
        <v/>
      </c>
      <c r="L109" s="11" t="n"/>
      <c r="M109" s="11" t="n"/>
      <c r="N109" s="11" t="n"/>
      <c r="O109" s="11" t="n"/>
      <c r="P109" s="11" t="n"/>
      <c r="Q109" s="11" t="n"/>
    </row>
    <row r="110">
      <c r="A110" s="8">
        <f>B110&amp;"_"&amp;C110</f>
        <v/>
      </c>
      <c r="B110" s="8" t="n"/>
      <c r="C110" s="8" t="n"/>
      <c r="D110" s="8" t="n"/>
      <c r="E110" s="11" t="n"/>
      <c r="F110" s="11" t="n"/>
      <c r="G110" s="8" t="n"/>
      <c r="H110" s="8" t="n"/>
      <c r="I110" s="8" t="n"/>
      <c r="J110" s="8" t="n"/>
      <c r="K110" s="12">
        <f>IF(OR(ISERROR(VLOOKUP(C110, Resultados_Reales!$A$4:$I$107, 5, FALSE)), ISERROR(VLOOKUP(C110, Resultados_Reales!$A$4:$I$107, 6, FALSE)), VLOOKUP(C110, Resultados_Reales!$A$4:$I$107, 5, FALSE)="", VLOOKUP(C110, Resultados_Reales!$A$4:$I$107, 6, FALSE)=""), 0, IF(AND(VLOOKUP(C110, Resultados_Reales!$A$4:$I$107, 5, FALSE)=G110, VLOOKUP(C110, Resultados_Reales!$A$4:$I$107, 6, FALSE)=H110), Configuracion!$B$5, IF(SIGN(VLOOKUP(C110, Resultados_Reales!$A$4:$I$107, 5, FALSE)-VLOOKUP(C110, Resultados_Reales!$A$4:$I$107, 6, FALSE)) = SIGN(G110-H110), Configuracion!$B$4, 0)))</f>
        <v/>
      </c>
      <c r="L110" s="11" t="n"/>
      <c r="M110" s="11" t="n"/>
      <c r="N110" s="11" t="n"/>
      <c r="O110" s="11" t="n"/>
      <c r="P110" s="11" t="n"/>
      <c r="Q110" s="11" t="n"/>
    </row>
    <row r="111">
      <c r="A111" s="8">
        <f>B111&amp;"_"&amp;C111</f>
        <v/>
      </c>
      <c r="B111" s="8" t="n"/>
      <c r="C111" s="8" t="n"/>
      <c r="D111" s="8" t="n"/>
      <c r="E111" s="11" t="n"/>
      <c r="F111" s="11" t="n"/>
      <c r="G111" s="8" t="n"/>
      <c r="H111" s="8" t="n"/>
      <c r="I111" s="8" t="n"/>
      <c r="J111" s="8" t="n"/>
      <c r="K111" s="12">
        <f>IF(OR(ISERROR(VLOOKUP(C111, Resultados_Reales!$A$4:$I$107, 5, FALSE)), ISERROR(VLOOKUP(C111, Resultados_Reales!$A$4:$I$107, 6, FALSE)), VLOOKUP(C111, Resultados_Reales!$A$4:$I$107, 5, FALSE)="", VLOOKUP(C111, Resultados_Reales!$A$4:$I$107, 6, FALSE)=""), 0, IF(AND(VLOOKUP(C111, Resultados_Reales!$A$4:$I$107, 5, FALSE)=G111, VLOOKUP(C111, Resultados_Reales!$A$4:$I$107, 6, FALSE)=H111), Configuracion!$B$5, IF(SIGN(VLOOKUP(C111, Resultados_Reales!$A$4:$I$107, 5, FALSE)-VLOOKUP(C111, Resultados_Reales!$A$4:$I$107, 6, FALSE)) = SIGN(G111-H111), Configuracion!$B$4, 0)))</f>
        <v/>
      </c>
      <c r="L111" s="11" t="n"/>
      <c r="M111" s="11" t="n"/>
      <c r="N111" s="11" t="n"/>
      <c r="O111" s="11" t="n"/>
      <c r="P111" s="11" t="n"/>
      <c r="Q111" s="11" t="n"/>
    </row>
    <row r="112">
      <c r="A112" s="8">
        <f>B112&amp;"_"&amp;C112</f>
        <v/>
      </c>
      <c r="B112" s="8" t="n"/>
      <c r="C112" s="8" t="n"/>
      <c r="D112" s="8" t="n"/>
      <c r="E112" s="11" t="n"/>
      <c r="F112" s="11" t="n"/>
      <c r="G112" s="8" t="n"/>
      <c r="H112" s="8" t="n"/>
      <c r="I112" s="8" t="n"/>
      <c r="J112" s="8" t="n"/>
      <c r="K112" s="12">
        <f>IF(OR(ISERROR(VLOOKUP(C112, Resultados_Reales!$A$4:$I$107, 5, FALSE)), ISERROR(VLOOKUP(C112, Resultados_Reales!$A$4:$I$107, 6, FALSE)), VLOOKUP(C112, Resultados_Reales!$A$4:$I$107, 5, FALSE)="", VLOOKUP(C112, Resultados_Reales!$A$4:$I$107, 6, FALSE)=""), 0, IF(AND(VLOOKUP(C112, Resultados_Reales!$A$4:$I$107, 5, FALSE)=G112, VLOOKUP(C112, Resultados_Reales!$A$4:$I$107, 6, FALSE)=H112), Configuracion!$B$5, IF(SIGN(VLOOKUP(C112, Resultados_Reales!$A$4:$I$107, 5, FALSE)-VLOOKUP(C112, Resultados_Reales!$A$4:$I$107, 6, FALSE)) = SIGN(G112-H112), Configuracion!$B$4, 0)))</f>
        <v/>
      </c>
      <c r="L112" s="11" t="n"/>
      <c r="M112" s="11" t="n"/>
      <c r="N112" s="11" t="n"/>
      <c r="O112" s="11" t="n"/>
      <c r="P112" s="11" t="n"/>
      <c r="Q112" s="11" t="n"/>
    </row>
    <row r="113">
      <c r="A113" s="8">
        <f>B113&amp;"_"&amp;C113</f>
        <v/>
      </c>
      <c r="B113" s="8" t="n"/>
      <c r="C113" s="8" t="n"/>
      <c r="D113" s="8" t="n"/>
      <c r="E113" s="11" t="n"/>
      <c r="F113" s="11" t="n"/>
      <c r="G113" s="8" t="n"/>
      <c r="H113" s="8" t="n"/>
      <c r="I113" s="8" t="n"/>
      <c r="J113" s="8" t="n"/>
      <c r="K113" s="12">
        <f>IF(OR(ISERROR(VLOOKUP(C113, Resultados_Reales!$A$4:$I$107, 5, FALSE)), ISERROR(VLOOKUP(C113, Resultados_Reales!$A$4:$I$107, 6, FALSE)), VLOOKUP(C113, Resultados_Reales!$A$4:$I$107, 5, FALSE)="", VLOOKUP(C113, Resultados_Reales!$A$4:$I$107, 6, FALSE)=""), 0, IF(AND(VLOOKUP(C113, Resultados_Reales!$A$4:$I$107, 5, FALSE)=G113, VLOOKUP(C113, Resultados_Reales!$A$4:$I$107, 6, FALSE)=H113), Configuracion!$B$5, IF(SIGN(VLOOKUP(C113, Resultados_Reales!$A$4:$I$107, 5, FALSE)-VLOOKUP(C113, Resultados_Reales!$A$4:$I$107, 6, FALSE)) = SIGN(G113-H113), Configuracion!$B$4, 0)))</f>
        <v/>
      </c>
      <c r="L113" s="11" t="n"/>
      <c r="M113" s="11" t="n"/>
      <c r="N113" s="11" t="n"/>
      <c r="O113" s="11" t="n"/>
      <c r="P113" s="11" t="n"/>
      <c r="Q113" s="11" t="n"/>
    </row>
    <row r="114">
      <c r="A114" s="8">
        <f>B114&amp;"_"&amp;C114</f>
        <v/>
      </c>
      <c r="B114" s="8" t="n"/>
      <c r="C114" s="8" t="n"/>
      <c r="D114" s="8" t="n"/>
      <c r="E114" s="11" t="n"/>
      <c r="F114" s="11" t="n"/>
      <c r="G114" s="8" t="n"/>
      <c r="H114" s="8" t="n"/>
      <c r="I114" s="8" t="n"/>
      <c r="J114" s="8" t="n"/>
      <c r="K114" s="12">
        <f>IF(OR(ISERROR(VLOOKUP(C114, Resultados_Reales!$A$4:$I$107, 5, FALSE)), ISERROR(VLOOKUP(C114, Resultados_Reales!$A$4:$I$107, 6, FALSE)), VLOOKUP(C114, Resultados_Reales!$A$4:$I$107, 5, FALSE)="", VLOOKUP(C114, Resultados_Reales!$A$4:$I$107, 6, FALSE)=""), 0, IF(AND(VLOOKUP(C114, Resultados_Reales!$A$4:$I$107, 5, FALSE)=G114, VLOOKUP(C114, Resultados_Reales!$A$4:$I$107, 6, FALSE)=H114), Configuracion!$B$5, IF(SIGN(VLOOKUP(C114, Resultados_Reales!$A$4:$I$107, 5, FALSE)-VLOOKUP(C114, Resultados_Reales!$A$4:$I$107, 6, FALSE)) = SIGN(G114-H114), Configuracion!$B$4, 0)))</f>
        <v/>
      </c>
      <c r="L114" s="11" t="n"/>
      <c r="M114" s="11" t="n"/>
      <c r="N114" s="11" t="n"/>
      <c r="O114" s="11" t="n"/>
      <c r="P114" s="11" t="n"/>
      <c r="Q114" s="11" t="n"/>
    </row>
    <row r="115">
      <c r="A115" s="8">
        <f>B115&amp;"_"&amp;C115</f>
        <v/>
      </c>
      <c r="B115" s="8" t="n"/>
      <c r="C115" s="8" t="n"/>
      <c r="D115" s="8" t="n"/>
      <c r="E115" s="11" t="n"/>
      <c r="F115" s="11" t="n"/>
      <c r="G115" s="8" t="n"/>
      <c r="H115" s="8" t="n"/>
      <c r="I115" s="8" t="n"/>
      <c r="J115" s="8" t="n"/>
      <c r="K115" s="12">
        <f>IF(OR(ISERROR(VLOOKUP(C115, Resultados_Reales!$A$4:$I$107, 5, FALSE)), ISERROR(VLOOKUP(C115, Resultados_Reales!$A$4:$I$107, 6, FALSE)), VLOOKUP(C115, Resultados_Reales!$A$4:$I$107, 5, FALSE)="", VLOOKUP(C115, Resultados_Reales!$A$4:$I$107, 6, FALSE)=""), 0, IF(AND(VLOOKUP(C115, Resultados_Reales!$A$4:$I$107, 5, FALSE)=G115, VLOOKUP(C115, Resultados_Reales!$A$4:$I$107, 6, FALSE)=H115), Configuracion!$B$5, IF(SIGN(VLOOKUP(C115, Resultados_Reales!$A$4:$I$107, 5, FALSE)-VLOOKUP(C115, Resultados_Reales!$A$4:$I$107, 6, FALSE)) = SIGN(G115-H115), Configuracion!$B$4, 0)))</f>
        <v/>
      </c>
      <c r="L115" s="11" t="n"/>
      <c r="M115" s="11" t="n"/>
      <c r="N115" s="11" t="n"/>
      <c r="O115" s="11" t="n"/>
      <c r="P115" s="11" t="n"/>
      <c r="Q115" s="11" t="n"/>
    </row>
    <row r="116">
      <c r="A116" s="8">
        <f>B116&amp;"_"&amp;C116</f>
        <v/>
      </c>
      <c r="B116" s="8" t="n"/>
      <c r="C116" s="8" t="n"/>
      <c r="D116" s="8" t="n"/>
      <c r="E116" s="11" t="n"/>
      <c r="F116" s="11" t="n"/>
      <c r="G116" s="8" t="n"/>
      <c r="H116" s="8" t="n"/>
      <c r="I116" s="8" t="n"/>
      <c r="J116" s="8" t="n"/>
      <c r="K116" s="12">
        <f>IF(OR(ISERROR(VLOOKUP(C116, Resultados_Reales!$A$4:$I$107, 5, FALSE)), ISERROR(VLOOKUP(C116, Resultados_Reales!$A$4:$I$107, 6, FALSE)), VLOOKUP(C116, Resultados_Reales!$A$4:$I$107, 5, FALSE)="", VLOOKUP(C116, Resultados_Reales!$A$4:$I$107, 6, FALSE)=""), 0, IF(AND(VLOOKUP(C116, Resultados_Reales!$A$4:$I$107, 5, FALSE)=G116, VLOOKUP(C116, Resultados_Reales!$A$4:$I$107, 6, FALSE)=H116), Configuracion!$B$5, IF(SIGN(VLOOKUP(C116, Resultados_Reales!$A$4:$I$107, 5, FALSE)-VLOOKUP(C116, Resultados_Reales!$A$4:$I$107, 6, FALSE)) = SIGN(G116-H116), Configuracion!$B$4, 0)))</f>
        <v/>
      </c>
      <c r="L116" s="11" t="n"/>
      <c r="M116" s="11" t="n"/>
      <c r="N116" s="11" t="n"/>
      <c r="O116" s="11" t="n"/>
      <c r="P116" s="11" t="n"/>
      <c r="Q116" s="11" t="n"/>
    </row>
    <row r="117">
      <c r="A117" s="8">
        <f>B117&amp;"_"&amp;C117</f>
        <v/>
      </c>
      <c r="B117" s="8" t="n"/>
      <c r="C117" s="8" t="n"/>
      <c r="D117" s="8" t="n"/>
      <c r="E117" s="11" t="n"/>
      <c r="F117" s="11" t="n"/>
      <c r="G117" s="8" t="n"/>
      <c r="H117" s="8" t="n"/>
      <c r="I117" s="8" t="n"/>
      <c r="J117" s="8" t="n"/>
      <c r="K117" s="12">
        <f>IF(OR(ISERROR(VLOOKUP(C117, Resultados_Reales!$A$4:$I$107, 5, FALSE)), ISERROR(VLOOKUP(C117, Resultados_Reales!$A$4:$I$107, 6, FALSE)), VLOOKUP(C117, Resultados_Reales!$A$4:$I$107, 5, FALSE)="", VLOOKUP(C117, Resultados_Reales!$A$4:$I$107, 6, FALSE)=""), 0, IF(AND(VLOOKUP(C117, Resultados_Reales!$A$4:$I$107, 5, FALSE)=G117, VLOOKUP(C117, Resultados_Reales!$A$4:$I$107, 6, FALSE)=H117), Configuracion!$B$5, IF(SIGN(VLOOKUP(C117, Resultados_Reales!$A$4:$I$107, 5, FALSE)-VLOOKUP(C117, Resultados_Reales!$A$4:$I$107, 6, FALSE)) = SIGN(G117-H117), Configuracion!$B$4, 0)))</f>
        <v/>
      </c>
      <c r="L117" s="11" t="n"/>
      <c r="M117" s="11" t="n"/>
      <c r="N117" s="11" t="n"/>
      <c r="O117" s="11" t="n"/>
      <c r="P117" s="11" t="n"/>
      <c r="Q117" s="11" t="n"/>
    </row>
    <row r="118">
      <c r="A118" s="8">
        <f>B118&amp;"_"&amp;C118</f>
        <v/>
      </c>
      <c r="B118" s="8" t="n"/>
      <c r="C118" s="8" t="n"/>
      <c r="D118" s="8" t="n"/>
      <c r="E118" s="11" t="n"/>
      <c r="F118" s="11" t="n"/>
      <c r="G118" s="8" t="n"/>
      <c r="H118" s="8" t="n"/>
      <c r="I118" s="8" t="n"/>
      <c r="J118" s="8" t="n"/>
      <c r="K118" s="12">
        <f>IF(OR(ISERROR(VLOOKUP(C118, Resultados_Reales!$A$4:$I$107, 5, FALSE)), ISERROR(VLOOKUP(C118, Resultados_Reales!$A$4:$I$107, 6, FALSE)), VLOOKUP(C118, Resultados_Reales!$A$4:$I$107, 5, FALSE)="", VLOOKUP(C118, Resultados_Reales!$A$4:$I$107, 6, FALSE)=""), 0, IF(AND(VLOOKUP(C118, Resultados_Reales!$A$4:$I$107, 5, FALSE)=G118, VLOOKUP(C118, Resultados_Reales!$A$4:$I$107, 6, FALSE)=H118), Configuracion!$B$5, IF(SIGN(VLOOKUP(C118, Resultados_Reales!$A$4:$I$107, 5, FALSE)-VLOOKUP(C118, Resultados_Reales!$A$4:$I$107, 6, FALSE)) = SIGN(G118-H118), Configuracion!$B$4, 0)))</f>
        <v/>
      </c>
      <c r="L118" s="11" t="n"/>
      <c r="M118" s="11" t="n"/>
      <c r="N118" s="11" t="n"/>
      <c r="O118" s="11" t="n"/>
      <c r="P118" s="11" t="n"/>
      <c r="Q118" s="11" t="n"/>
    </row>
    <row r="119">
      <c r="A119" s="8">
        <f>B119&amp;"_"&amp;C119</f>
        <v/>
      </c>
      <c r="B119" s="8" t="n"/>
      <c r="C119" s="8" t="n"/>
      <c r="D119" s="8" t="n"/>
      <c r="E119" s="11" t="n"/>
      <c r="F119" s="11" t="n"/>
      <c r="G119" s="8" t="n"/>
      <c r="H119" s="8" t="n"/>
      <c r="I119" s="8" t="n"/>
      <c r="J119" s="8" t="n"/>
      <c r="K119" s="12">
        <f>IF(OR(ISERROR(VLOOKUP(C119, Resultados_Reales!$A$4:$I$107, 5, FALSE)), ISERROR(VLOOKUP(C119, Resultados_Reales!$A$4:$I$107, 6, FALSE)), VLOOKUP(C119, Resultados_Reales!$A$4:$I$107, 5, FALSE)="", VLOOKUP(C119, Resultados_Reales!$A$4:$I$107, 6, FALSE)=""), 0, IF(AND(VLOOKUP(C119, Resultados_Reales!$A$4:$I$107, 5, FALSE)=G119, VLOOKUP(C119, Resultados_Reales!$A$4:$I$107, 6, FALSE)=H119), Configuracion!$B$5, IF(SIGN(VLOOKUP(C119, Resultados_Reales!$A$4:$I$107, 5, FALSE)-VLOOKUP(C119, Resultados_Reales!$A$4:$I$107, 6, FALSE)) = SIGN(G119-H119), Configuracion!$B$4, 0)))</f>
        <v/>
      </c>
      <c r="L119" s="11" t="n"/>
      <c r="M119" s="11" t="n"/>
      <c r="N119" s="11" t="n"/>
      <c r="O119" s="11" t="n"/>
      <c r="P119" s="11" t="n"/>
      <c r="Q119" s="11" t="n"/>
    </row>
    <row r="120">
      <c r="A120" s="8">
        <f>B120&amp;"_"&amp;C120</f>
        <v/>
      </c>
      <c r="B120" s="8" t="n"/>
      <c r="C120" s="8" t="n"/>
      <c r="D120" s="8" t="n"/>
      <c r="E120" s="11" t="n"/>
      <c r="F120" s="11" t="n"/>
      <c r="G120" s="8" t="n"/>
      <c r="H120" s="8" t="n"/>
      <c r="I120" s="8" t="n"/>
      <c r="J120" s="8" t="n"/>
      <c r="K120" s="12">
        <f>IF(OR(ISERROR(VLOOKUP(C120, Resultados_Reales!$A$4:$I$107, 5, FALSE)), ISERROR(VLOOKUP(C120, Resultados_Reales!$A$4:$I$107, 6, FALSE)), VLOOKUP(C120, Resultados_Reales!$A$4:$I$107, 5, FALSE)="", VLOOKUP(C120, Resultados_Reales!$A$4:$I$107, 6, FALSE)=""), 0, IF(AND(VLOOKUP(C120, Resultados_Reales!$A$4:$I$107, 5, FALSE)=G120, VLOOKUP(C120, Resultados_Reales!$A$4:$I$107, 6, FALSE)=H120), Configuracion!$B$5, IF(SIGN(VLOOKUP(C120, Resultados_Reales!$A$4:$I$107, 5, FALSE)-VLOOKUP(C120, Resultados_Reales!$A$4:$I$107, 6, FALSE)) = SIGN(G120-H120), Configuracion!$B$4, 0)))</f>
        <v/>
      </c>
      <c r="L120" s="11" t="n"/>
      <c r="M120" s="11" t="n"/>
      <c r="N120" s="11" t="n"/>
      <c r="O120" s="11" t="n"/>
      <c r="P120" s="11" t="n"/>
      <c r="Q120" s="11" t="n"/>
    </row>
    <row r="121">
      <c r="A121" s="8">
        <f>B121&amp;"_"&amp;C121</f>
        <v/>
      </c>
      <c r="B121" s="8" t="n"/>
      <c r="C121" s="8" t="n"/>
      <c r="D121" s="8" t="n"/>
      <c r="E121" s="11" t="n"/>
      <c r="F121" s="11" t="n"/>
      <c r="G121" s="8" t="n"/>
      <c r="H121" s="8" t="n"/>
      <c r="I121" s="8" t="n"/>
      <c r="J121" s="8" t="n"/>
      <c r="K121" s="12">
        <f>IF(OR(ISERROR(VLOOKUP(C121, Resultados_Reales!$A$4:$I$107, 5, FALSE)), ISERROR(VLOOKUP(C121, Resultados_Reales!$A$4:$I$107, 6, FALSE)), VLOOKUP(C121, Resultados_Reales!$A$4:$I$107, 5, FALSE)="", VLOOKUP(C121, Resultados_Reales!$A$4:$I$107, 6, FALSE)=""), 0, IF(AND(VLOOKUP(C121, Resultados_Reales!$A$4:$I$107, 5, FALSE)=G121, VLOOKUP(C121, Resultados_Reales!$A$4:$I$107, 6, FALSE)=H121), Configuracion!$B$5, IF(SIGN(VLOOKUP(C121, Resultados_Reales!$A$4:$I$107, 5, FALSE)-VLOOKUP(C121, Resultados_Reales!$A$4:$I$107, 6, FALSE)) = SIGN(G121-H121), Configuracion!$B$4, 0)))</f>
        <v/>
      </c>
      <c r="L121" s="11" t="n"/>
      <c r="M121" s="11" t="n"/>
      <c r="N121" s="11" t="n"/>
      <c r="O121" s="11" t="n"/>
      <c r="P121" s="11" t="n"/>
      <c r="Q121" s="11" t="n"/>
    </row>
    <row r="122">
      <c r="A122" s="8">
        <f>B122&amp;"_"&amp;C122</f>
        <v/>
      </c>
      <c r="B122" s="8" t="n"/>
      <c r="C122" s="8" t="n"/>
      <c r="D122" s="8" t="n"/>
      <c r="E122" s="11" t="n"/>
      <c r="F122" s="11" t="n"/>
      <c r="G122" s="8" t="n"/>
      <c r="H122" s="8" t="n"/>
      <c r="I122" s="8" t="n"/>
      <c r="J122" s="8" t="n"/>
      <c r="K122" s="12">
        <f>IF(OR(ISERROR(VLOOKUP(C122, Resultados_Reales!$A$4:$I$107, 5, FALSE)), ISERROR(VLOOKUP(C122, Resultados_Reales!$A$4:$I$107, 6, FALSE)), VLOOKUP(C122, Resultados_Reales!$A$4:$I$107, 5, FALSE)="", VLOOKUP(C122, Resultados_Reales!$A$4:$I$107, 6, FALSE)=""), 0, IF(AND(VLOOKUP(C122, Resultados_Reales!$A$4:$I$107, 5, FALSE)=G122, VLOOKUP(C122, Resultados_Reales!$A$4:$I$107, 6, FALSE)=H122), Configuracion!$B$5, IF(SIGN(VLOOKUP(C122, Resultados_Reales!$A$4:$I$107, 5, FALSE)-VLOOKUP(C122, Resultados_Reales!$A$4:$I$107, 6, FALSE)) = SIGN(G122-H122), Configuracion!$B$4, 0)))</f>
        <v/>
      </c>
      <c r="L122" s="11" t="n"/>
      <c r="M122" s="11" t="n"/>
      <c r="N122" s="11" t="n"/>
      <c r="O122" s="11" t="n"/>
      <c r="P122" s="11" t="n"/>
      <c r="Q122" s="11" t="n"/>
    </row>
    <row r="123">
      <c r="A123" s="8">
        <f>B123&amp;"_"&amp;C123</f>
        <v/>
      </c>
      <c r="B123" s="8" t="n"/>
      <c r="C123" s="8" t="n"/>
      <c r="D123" s="8" t="n"/>
      <c r="E123" s="11" t="n"/>
      <c r="F123" s="11" t="n"/>
      <c r="G123" s="8" t="n"/>
      <c r="H123" s="8" t="n"/>
      <c r="I123" s="8" t="n"/>
      <c r="J123" s="8" t="n"/>
      <c r="K123" s="12">
        <f>IF(OR(ISERROR(VLOOKUP(C123, Resultados_Reales!$A$4:$I$107, 5, FALSE)), ISERROR(VLOOKUP(C123, Resultados_Reales!$A$4:$I$107, 6, FALSE)), VLOOKUP(C123, Resultados_Reales!$A$4:$I$107, 5, FALSE)="", VLOOKUP(C123, Resultados_Reales!$A$4:$I$107, 6, FALSE)=""), 0, IF(AND(VLOOKUP(C123, Resultados_Reales!$A$4:$I$107, 5, FALSE)=G123, VLOOKUP(C123, Resultados_Reales!$A$4:$I$107, 6, FALSE)=H123), Configuracion!$B$5, IF(SIGN(VLOOKUP(C123, Resultados_Reales!$A$4:$I$107, 5, FALSE)-VLOOKUP(C123, Resultados_Reales!$A$4:$I$107, 6, FALSE)) = SIGN(G123-H123), Configuracion!$B$4, 0)))</f>
        <v/>
      </c>
      <c r="L123" s="11" t="n"/>
      <c r="M123" s="11" t="n"/>
      <c r="N123" s="11" t="n"/>
      <c r="O123" s="11" t="n"/>
      <c r="P123" s="11" t="n"/>
      <c r="Q123" s="11" t="n"/>
    </row>
    <row r="124">
      <c r="A124" s="8">
        <f>B124&amp;"_"&amp;C124</f>
        <v/>
      </c>
      <c r="B124" s="8" t="n"/>
      <c r="C124" s="8" t="n"/>
      <c r="D124" s="8" t="n"/>
      <c r="E124" s="11" t="n"/>
      <c r="F124" s="11" t="n"/>
      <c r="G124" s="8" t="n"/>
      <c r="H124" s="8" t="n"/>
      <c r="I124" s="8" t="n"/>
      <c r="J124" s="8" t="n"/>
      <c r="K124" s="12">
        <f>IF(OR(ISERROR(VLOOKUP(C124, Resultados_Reales!$A$4:$I$107, 5, FALSE)), ISERROR(VLOOKUP(C124, Resultados_Reales!$A$4:$I$107, 6, FALSE)), VLOOKUP(C124, Resultados_Reales!$A$4:$I$107, 5, FALSE)="", VLOOKUP(C124, Resultados_Reales!$A$4:$I$107, 6, FALSE)=""), 0, IF(AND(VLOOKUP(C124, Resultados_Reales!$A$4:$I$107, 5, FALSE)=G124, VLOOKUP(C124, Resultados_Reales!$A$4:$I$107, 6, FALSE)=H124), Configuracion!$B$5, IF(SIGN(VLOOKUP(C124, Resultados_Reales!$A$4:$I$107, 5, FALSE)-VLOOKUP(C124, Resultados_Reales!$A$4:$I$107, 6, FALSE)) = SIGN(G124-H124), Configuracion!$B$4, 0)))</f>
        <v/>
      </c>
      <c r="L124" s="11" t="n"/>
      <c r="M124" s="11" t="n"/>
      <c r="N124" s="11" t="n"/>
      <c r="O124" s="11" t="n"/>
      <c r="P124" s="11" t="n"/>
      <c r="Q124" s="11" t="n"/>
    </row>
    <row r="125">
      <c r="A125" s="8">
        <f>B125&amp;"_"&amp;C125</f>
        <v/>
      </c>
      <c r="B125" s="8" t="n"/>
      <c r="C125" s="8" t="n"/>
      <c r="D125" s="8" t="n"/>
      <c r="E125" s="11" t="n"/>
      <c r="F125" s="11" t="n"/>
      <c r="G125" s="8" t="n"/>
      <c r="H125" s="8" t="n"/>
      <c r="I125" s="8" t="n"/>
      <c r="J125" s="8" t="n"/>
      <c r="K125" s="12">
        <f>IF(OR(ISERROR(VLOOKUP(C125, Resultados_Reales!$A$4:$I$107, 5, FALSE)), ISERROR(VLOOKUP(C125, Resultados_Reales!$A$4:$I$107, 6, FALSE)), VLOOKUP(C125, Resultados_Reales!$A$4:$I$107, 5, FALSE)="", VLOOKUP(C125, Resultados_Reales!$A$4:$I$107, 6, FALSE)=""), 0, IF(AND(VLOOKUP(C125, Resultados_Reales!$A$4:$I$107, 5, FALSE)=G125, VLOOKUP(C125, Resultados_Reales!$A$4:$I$107, 6, FALSE)=H125), Configuracion!$B$5, IF(SIGN(VLOOKUP(C125, Resultados_Reales!$A$4:$I$107, 5, FALSE)-VLOOKUP(C125, Resultados_Reales!$A$4:$I$107, 6, FALSE)) = SIGN(G125-H125), Configuracion!$B$4, 0)))</f>
        <v/>
      </c>
      <c r="L125" s="11" t="n"/>
      <c r="M125" s="11" t="n"/>
      <c r="N125" s="11" t="n"/>
      <c r="O125" s="11" t="n"/>
      <c r="P125" s="11" t="n"/>
      <c r="Q125" s="11" t="n"/>
    </row>
    <row r="126">
      <c r="A126" s="8">
        <f>B126&amp;"_"&amp;C126</f>
        <v/>
      </c>
      <c r="B126" s="8" t="n"/>
      <c r="C126" s="8" t="n"/>
      <c r="D126" s="8" t="n"/>
      <c r="E126" s="11" t="n"/>
      <c r="F126" s="11" t="n"/>
      <c r="G126" s="8" t="n"/>
      <c r="H126" s="8" t="n"/>
      <c r="I126" s="8" t="n"/>
      <c r="J126" s="8" t="n"/>
      <c r="K126" s="12">
        <f>IF(OR(ISERROR(VLOOKUP(C126, Resultados_Reales!$A$4:$I$107, 5, FALSE)), ISERROR(VLOOKUP(C126, Resultados_Reales!$A$4:$I$107, 6, FALSE)), VLOOKUP(C126, Resultados_Reales!$A$4:$I$107, 5, FALSE)="", VLOOKUP(C126, Resultados_Reales!$A$4:$I$107, 6, FALSE)=""), 0, IF(AND(VLOOKUP(C126, Resultados_Reales!$A$4:$I$107, 5, FALSE)=G126, VLOOKUP(C126, Resultados_Reales!$A$4:$I$107, 6, FALSE)=H126), Configuracion!$B$5, IF(SIGN(VLOOKUP(C126, Resultados_Reales!$A$4:$I$107, 5, FALSE)-VLOOKUP(C126, Resultados_Reales!$A$4:$I$107, 6, FALSE)) = SIGN(G126-H126), Configuracion!$B$4, 0)))</f>
        <v/>
      </c>
      <c r="L126" s="11" t="n"/>
      <c r="M126" s="11" t="n"/>
      <c r="N126" s="11" t="n"/>
      <c r="O126" s="11" t="n"/>
      <c r="P126" s="11" t="n"/>
      <c r="Q126" s="11" t="n"/>
    </row>
    <row r="127">
      <c r="A127" s="8">
        <f>B127&amp;"_"&amp;C127</f>
        <v/>
      </c>
      <c r="B127" s="8" t="n"/>
      <c r="C127" s="8" t="n"/>
      <c r="D127" s="8" t="n"/>
      <c r="E127" s="11" t="n"/>
      <c r="F127" s="11" t="n"/>
      <c r="G127" s="8" t="n"/>
      <c r="H127" s="8" t="n"/>
      <c r="I127" s="8" t="n"/>
      <c r="J127" s="8" t="n"/>
      <c r="K127" s="12">
        <f>IF(OR(ISERROR(VLOOKUP(C127, Resultados_Reales!$A$4:$I$107, 5, FALSE)), ISERROR(VLOOKUP(C127, Resultados_Reales!$A$4:$I$107, 6, FALSE)), VLOOKUP(C127, Resultados_Reales!$A$4:$I$107, 5, FALSE)="", VLOOKUP(C127, Resultados_Reales!$A$4:$I$107, 6, FALSE)=""), 0, IF(AND(VLOOKUP(C127, Resultados_Reales!$A$4:$I$107, 5, FALSE)=G127, VLOOKUP(C127, Resultados_Reales!$A$4:$I$107, 6, FALSE)=H127), Configuracion!$B$5, IF(SIGN(VLOOKUP(C127, Resultados_Reales!$A$4:$I$107, 5, FALSE)-VLOOKUP(C127, Resultados_Reales!$A$4:$I$107, 6, FALSE)) = SIGN(G127-H127), Configuracion!$B$4, 0)))</f>
        <v/>
      </c>
      <c r="L127" s="11" t="n"/>
      <c r="M127" s="11" t="n"/>
      <c r="N127" s="11" t="n"/>
      <c r="O127" s="11" t="n"/>
      <c r="P127" s="11" t="n"/>
      <c r="Q127" s="11" t="n"/>
    </row>
    <row r="128">
      <c r="A128" s="8">
        <f>B128&amp;"_"&amp;C128</f>
        <v/>
      </c>
      <c r="B128" s="8" t="n"/>
      <c r="C128" s="8" t="n"/>
      <c r="D128" s="8" t="n"/>
      <c r="E128" s="11" t="n"/>
      <c r="F128" s="11" t="n"/>
      <c r="G128" s="8" t="n"/>
      <c r="H128" s="8" t="n"/>
      <c r="I128" s="8" t="n"/>
      <c r="J128" s="8" t="n"/>
      <c r="K128" s="12">
        <f>IF(OR(ISERROR(VLOOKUP(C128, Resultados_Reales!$A$4:$I$107, 5, FALSE)), ISERROR(VLOOKUP(C128, Resultados_Reales!$A$4:$I$107, 6, FALSE)), VLOOKUP(C128, Resultados_Reales!$A$4:$I$107, 5, FALSE)="", VLOOKUP(C128, Resultados_Reales!$A$4:$I$107, 6, FALSE)=""), 0, IF(AND(VLOOKUP(C128, Resultados_Reales!$A$4:$I$107, 5, FALSE)=G128, VLOOKUP(C128, Resultados_Reales!$A$4:$I$107, 6, FALSE)=H128), Configuracion!$B$5, IF(SIGN(VLOOKUP(C128, Resultados_Reales!$A$4:$I$107, 5, FALSE)-VLOOKUP(C128, Resultados_Reales!$A$4:$I$107, 6, FALSE)) = SIGN(G128-H128), Configuracion!$B$4, 0)))</f>
        <v/>
      </c>
      <c r="L128" s="11" t="n"/>
      <c r="M128" s="11" t="n"/>
      <c r="N128" s="11" t="n"/>
      <c r="O128" s="11" t="n"/>
      <c r="P128" s="11" t="n"/>
      <c r="Q128" s="11" t="n"/>
    </row>
    <row r="129">
      <c r="A129" s="8">
        <f>B129&amp;"_"&amp;C129</f>
        <v/>
      </c>
      <c r="B129" s="8" t="n"/>
      <c r="C129" s="8" t="n"/>
      <c r="D129" s="8" t="n"/>
      <c r="E129" s="11" t="n"/>
      <c r="F129" s="11" t="n"/>
      <c r="G129" s="8" t="n"/>
      <c r="H129" s="8" t="n"/>
      <c r="I129" s="8" t="n"/>
      <c r="J129" s="8" t="n"/>
      <c r="K129" s="12">
        <f>IF(OR(ISERROR(VLOOKUP(C129, Resultados_Reales!$A$4:$I$107, 5, FALSE)), ISERROR(VLOOKUP(C129, Resultados_Reales!$A$4:$I$107, 6, FALSE)), VLOOKUP(C129, Resultados_Reales!$A$4:$I$107, 5, FALSE)="", VLOOKUP(C129, Resultados_Reales!$A$4:$I$107, 6, FALSE)=""), 0, IF(AND(VLOOKUP(C129, Resultados_Reales!$A$4:$I$107, 5, FALSE)=G129, VLOOKUP(C129, Resultados_Reales!$A$4:$I$107, 6, FALSE)=H129), Configuracion!$B$5, IF(SIGN(VLOOKUP(C129, Resultados_Reales!$A$4:$I$107, 5, FALSE)-VLOOKUP(C129, Resultados_Reales!$A$4:$I$107, 6, FALSE)) = SIGN(G129-H129), Configuracion!$B$4, 0)))</f>
        <v/>
      </c>
      <c r="L129" s="11" t="n"/>
      <c r="M129" s="11" t="n"/>
      <c r="N129" s="11" t="n"/>
      <c r="O129" s="11" t="n"/>
      <c r="P129" s="11" t="n"/>
      <c r="Q129" s="11" t="n"/>
    </row>
    <row r="130">
      <c r="A130" s="8">
        <f>B130&amp;"_"&amp;C130</f>
        <v/>
      </c>
      <c r="B130" s="8" t="n"/>
      <c r="C130" s="8" t="n"/>
      <c r="D130" s="8" t="n"/>
      <c r="E130" s="11" t="n"/>
      <c r="F130" s="11" t="n"/>
      <c r="G130" s="8" t="n"/>
      <c r="H130" s="8" t="n"/>
      <c r="I130" s="8" t="n"/>
      <c r="J130" s="8" t="n"/>
      <c r="K130" s="12">
        <f>IF(OR(ISERROR(VLOOKUP(C130, Resultados_Reales!$A$4:$I$107, 5, FALSE)), ISERROR(VLOOKUP(C130, Resultados_Reales!$A$4:$I$107, 6, FALSE)), VLOOKUP(C130, Resultados_Reales!$A$4:$I$107, 5, FALSE)="", VLOOKUP(C130, Resultados_Reales!$A$4:$I$107, 6, FALSE)=""), 0, IF(AND(VLOOKUP(C130, Resultados_Reales!$A$4:$I$107, 5, FALSE)=G130, VLOOKUP(C130, Resultados_Reales!$A$4:$I$107, 6, FALSE)=H130), Configuracion!$B$5, IF(SIGN(VLOOKUP(C130, Resultados_Reales!$A$4:$I$107, 5, FALSE)-VLOOKUP(C130, Resultados_Reales!$A$4:$I$107, 6, FALSE)) = SIGN(G130-H130), Configuracion!$B$4, 0)))</f>
        <v/>
      </c>
      <c r="L130" s="11" t="n"/>
      <c r="M130" s="11" t="n"/>
      <c r="N130" s="11" t="n"/>
      <c r="O130" s="11" t="n"/>
      <c r="P130" s="11" t="n"/>
      <c r="Q130" s="11" t="n"/>
    </row>
    <row r="131">
      <c r="A131" s="8">
        <f>B131&amp;"_"&amp;C131</f>
        <v/>
      </c>
      <c r="B131" s="8" t="n"/>
      <c r="C131" s="8" t="n"/>
      <c r="D131" s="8" t="n"/>
      <c r="E131" s="11" t="n"/>
      <c r="F131" s="11" t="n"/>
      <c r="G131" s="8" t="n"/>
      <c r="H131" s="8" t="n"/>
      <c r="I131" s="8" t="n"/>
      <c r="J131" s="8" t="n"/>
      <c r="K131" s="12">
        <f>IF(OR(ISERROR(VLOOKUP(C131, Resultados_Reales!$A$4:$I$107, 5, FALSE)), ISERROR(VLOOKUP(C131, Resultados_Reales!$A$4:$I$107, 6, FALSE)), VLOOKUP(C131, Resultados_Reales!$A$4:$I$107, 5, FALSE)="", VLOOKUP(C131, Resultados_Reales!$A$4:$I$107, 6, FALSE)=""), 0, IF(AND(VLOOKUP(C131, Resultados_Reales!$A$4:$I$107, 5, FALSE)=G131, VLOOKUP(C131, Resultados_Reales!$A$4:$I$107, 6, FALSE)=H131), Configuracion!$B$5, IF(SIGN(VLOOKUP(C131, Resultados_Reales!$A$4:$I$107, 5, FALSE)-VLOOKUP(C131, Resultados_Reales!$A$4:$I$107, 6, FALSE)) = SIGN(G131-H131), Configuracion!$B$4, 0)))</f>
        <v/>
      </c>
      <c r="L131" s="11" t="n"/>
      <c r="M131" s="11" t="n"/>
      <c r="N131" s="11" t="n"/>
      <c r="O131" s="11" t="n"/>
      <c r="P131" s="11" t="n"/>
      <c r="Q131" s="11" t="n"/>
    </row>
    <row r="132">
      <c r="A132" s="8">
        <f>B132&amp;"_"&amp;C132</f>
        <v/>
      </c>
      <c r="B132" s="8" t="n"/>
      <c r="C132" s="8" t="n"/>
      <c r="D132" s="8" t="n"/>
      <c r="E132" s="11" t="n"/>
      <c r="F132" s="11" t="n"/>
      <c r="G132" s="8" t="n"/>
      <c r="H132" s="8" t="n"/>
      <c r="I132" s="8" t="n"/>
      <c r="J132" s="8" t="n"/>
      <c r="K132" s="12">
        <f>IF(OR(ISERROR(VLOOKUP(C132, Resultados_Reales!$A$4:$I$107, 5, FALSE)), ISERROR(VLOOKUP(C132, Resultados_Reales!$A$4:$I$107, 6, FALSE)), VLOOKUP(C132, Resultados_Reales!$A$4:$I$107, 5, FALSE)="", VLOOKUP(C132, Resultados_Reales!$A$4:$I$107, 6, FALSE)=""), 0, IF(AND(VLOOKUP(C132, Resultados_Reales!$A$4:$I$107, 5, FALSE)=G132, VLOOKUP(C132, Resultados_Reales!$A$4:$I$107, 6, FALSE)=H132), Configuracion!$B$5, IF(SIGN(VLOOKUP(C132, Resultados_Reales!$A$4:$I$107, 5, FALSE)-VLOOKUP(C132, Resultados_Reales!$A$4:$I$107, 6, FALSE)) = SIGN(G132-H132), Configuracion!$B$4, 0)))</f>
        <v/>
      </c>
      <c r="L132" s="11" t="n"/>
      <c r="M132" s="11" t="n"/>
      <c r="N132" s="11" t="n"/>
      <c r="O132" s="11" t="n"/>
      <c r="P132" s="11" t="n"/>
      <c r="Q132" s="11" t="n"/>
    </row>
    <row r="133">
      <c r="A133" s="8">
        <f>B133&amp;"_"&amp;C133</f>
        <v/>
      </c>
      <c r="B133" s="8" t="n"/>
      <c r="C133" s="8" t="n"/>
      <c r="D133" s="8" t="n"/>
      <c r="E133" s="11" t="n"/>
      <c r="F133" s="11" t="n"/>
      <c r="G133" s="8" t="n"/>
      <c r="H133" s="8" t="n"/>
      <c r="I133" s="8" t="n"/>
      <c r="J133" s="8" t="n"/>
      <c r="K133" s="12">
        <f>IF(OR(ISERROR(VLOOKUP(C133, Resultados_Reales!$A$4:$I$107, 5, FALSE)), ISERROR(VLOOKUP(C133, Resultados_Reales!$A$4:$I$107, 6, FALSE)), VLOOKUP(C133, Resultados_Reales!$A$4:$I$107, 5, FALSE)="", VLOOKUP(C133, Resultados_Reales!$A$4:$I$107, 6, FALSE)=""), 0, IF(AND(VLOOKUP(C133, Resultados_Reales!$A$4:$I$107, 5, FALSE)=G133, VLOOKUP(C133, Resultados_Reales!$A$4:$I$107, 6, FALSE)=H133), Configuracion!$B$5, IF(SIGN(VLOOKUP(C133, Resultados_Reales!$A$4:$I$107, 5, FALSE)-VLOOKUP(C133, Resultados_Reales!$A$4:$I$107, 6, FALSE)) = SIGN(G133-H133), Configuracion!$B$4, 0)))</f>
        <v/>
      </c>
      <c r="L133" s="11" t="n"/>
      <c r="M133" s="11" t="n"/>
      <c r="N133" s="11" t="n"/>
      <c r="O133" s="11" t="n"/>
      <c r="P133" s="11" t="n"/>
      <c r="Q133" s="11" t="n"/>
    </row>
    <row r="134">
      <c r="A134" s="8">
        <f>B134&amp;"_"&amp;C134</f>
        <v/>
      </c>
      <c r="B134" s="8" t="n"/>
      <c r="C134" s="8" t="n"/>
      <c r="D134" s="8" t="n"/>
      <c r="E134" s="11" t="n"/>
      <c r="F134" s="11" t="n"/>
      <c r="G134" s="8" t="n"/>
      <c r="H134" s="8" t="n"/>
      <c r="I134" s="8" t="n"/>
      <c r="J134" s="8" t="n"/>
      <c r="K134" s="12">
        <f>IF(OR(ISERROR(VLOOKUP(C134, Resultados_Reales!$A$4:$I$107, 5, FALSE)), ISERROR(VLOOKUP(C134, Resultados_Reales!$A$4:$I$107, 6, FALSE)), VLOOKUP(C134, Resultados_Reales!$A$4:$I$107, 5, FALSE)="", VLOOKUP(C134, Resultados_Reales!$A$4:$I$107, 6, FALSE)=""), 0, IF(AND(VLOOKUP(C134, Resultados_Reales!$A$4:$I$107, 5, FALSE)=G134, VLOOKUP(C134, Resultados_Reales!$A$4:$I$107, 6, FALSE)=H134), Configuracion!$B$5, IF(SIGN(VLOOKUP(C134, Resultados_Reales!$A$4:$I$107, 5, FALSE)-VLOOKUP(C134, Resultados_Reales!$A$4:$I$107, 6, FALSE)) = SIGN(G134-H134), Configuracion!$B$4, 0)))</f>
        <v/>
      </c>
      <c r="L134" s="11" t="n"/>
      <c r="M134" s="11" t="n"/>
      <c r="N134" s="11" t="n"/>
      <c r="O134" s="11" t="n"/>
      <c r="P134" s="11" t="n"/>
      <c r="Q134" s="11" t="n"/>
    </row>
    <row r="135">
      <c r="A135" s="8">
        <f>B135&amp;"_"&amp;C135</f>
        <v/>
      </c>
      <c r="B135" s="8" t="n"/>
      <c r="C135" s="8" t="n"/>
      <c r="D135" s="8" t="n"/>
      <c r="E135" s="11" t="n"/>
      <c r="F135" s="11" t="n"/>
      <c r="G135" s="8" t="n"/>
      <c r="H135" s="8" t="n"/>
      <c r="I135" s="8" t="n"/>
      <c r="J135" s="8" t="n"/>
      <c r="K135" s="12">
        <f>IF(OR(ISERROR(VLOOKUP(C135, Resultados_Reales!$A$4:$I$107, 5, FALSE)), ISERROR(VLOOKUP(C135, Resultados_Reales!$A$4:$I$107, 6, FALSE)), VLOOKUP(C135, Resultados_Reales!$A$4:$I$107, 5, FALSE)="", VLOOKUP(C135, Resultados_Reales!$A$4:$I$107, 6, FALSE)=""), 0, IF(AND(VLOOKUP(C135, Resultados_Reales!$A$4:$I$107, 5, FALSE)=G135, VLOOKUP(C135, Resultados_Reales!$A$4:$I$107, 6, FALSE)=H135), Configuracion!$B$5, IF(SIGN(VLOOKUP(C135, Resultados_Reales!$A$4:$I$107, 5, FALSE)-VLOOKUP(C135, Resultados_Reales!$A$4:$I$107, 6, FALSE)) = SIGN(G135-H135), Configuracion!$B$4, 0)))</f>
        <v/>
      </c>
      <c r="L135" s="11" t="n"/>
      <c r="M135" s="11" t="n"/>
      <c r="N135" s="11" t="n"/>
      <c r="O135" s="11" t="n"/>
      <c r="P135" s="11" t="n"/>
      <c r="Q135" s="11" t="n"/>
    </row>
    <row r="136">
      <c r="A136" s="8">
        <f>B136&amp;"_"&amp;C136</f>
        <v/>
      </c>
      <c r="B136" s="8" t="n"/>
      <c r="C136" s="8" t="n"/>
      <c r="D136" s="8" t="n"/>
      <c r="E136" s="11" t="n"/>
      <c r="F136" s="11" t="n"/>
      <c r="G136" s="8" t="n"/>
      <c r="H136" s="8" t="n"/>
      <c r="I136" s="8" t="n"/>
      <c r="J136" s="8" t="n"/>
      <c r="K136" s="12">
        <f>IF(OR(ISERROR(VLOOKUP(C136, Resultados_Reales!$A$4:$I$107, 5, FALSE)), ISERROR(VLOOKUP(C136, Resultados_Reales!$A$4:$I$107, 6, FALSE)), VLOOKUP(C136, Resultados_Reales!$A$4:$I$107, 5, FALSE)="", VLOOKUP(C136, Resultados_Reales!$A$4:$I$107, 6, FALSE)=""), 0, IF(AND(VLOOKUP(C136, Resultados_Reales!$A$4:$I$107, 5, FALSE)=G136, VLOOKUP(C136, Resultados_Reales!$A$4:$I$107, 6, FALSE)=H136), Configuracion!$B$5, IF(SIGN(VLOOKUP(C136, Resultados_Reales!$A$4:$I$107, 5, FALSE)-VLOOKUP(C136, Resultados_Reales!$A$4:$I$107, 6, FALSE)) = SIGN(G136-H136), Configuracion!$B$4, 0)))</f>
        <v/>
      </c>
      <c r="L136" s="11" t="n"/>
      <c r="M136" s="11" t="n"/>
      <c r="N136" s="11" t="n"/>
      <c r="O136" s="11" t="n"/>
      <c r="P136" s="11" t="n"/>
      <c r="Q136" s="11" t="n"/>
    </row>
    <row r="137">
      <c r="A137" s="8">
        <f>B137&amp;"_"&amp;C137</f>
        <v/>
      </c>
      <c r="B137" s="8" t="n"/>
      <c r="C137" s="8" t="n"/>
      <c r="D137" s="8" t="n"/>
      <c r="E137" s="11" t="n"/>
      <c r="F137" s="11" t="n"/>
      <c r="G137" s="8" t="n"/>
      <c r="H137" s="8" t="n"/>
      <c r="I137" s="8" t="n"/>
      <c r="J137" s="8" t="n"/>
      <c r="K137" s="12">
        <f>IF(OR(ISERROR(VLOOKUP(C137, Resultados_Reales!$A$4:$I$107, 5, FALSE)), ISERROR(VLOOKUP(C137, Resultados_Reales!$A$4:$I$107, 6, FALSE)), VLOOKUP(C137, Resultados_Reales!$A$4:$I$107, 5, FALSE)="", VLOOKUP(C137, Resultados_Reales!$A$4:$I$107, 6, FALSE)=""), 0, IF(AND(VLOOKUP(C137, Resultados_Reales!$A$4:$I$107, 5, FALSE)=G137, VLOOKUP(C137, Resultados_Reales!$A$4:$I$107, 6, FALSE)=H137), Configuracion!$B$5, IF(SIGN(VLOOKUP(C137, Resultados_Reales!$A$4:$I$107, 5, FALSE)-VLOOKUP(C137, Resultados_Reales!$A$4:$I$107, 6, FALSE)) = SIGN(G137-H137), Configuracion!$B$4, 0)))</f>
        <v/>
      </c>
      <c r="L137" s="11" t="n"/>
      <c r="M137" s="11" t="n"/>
      <c r="N137" s="11" t="n"/>
      <c r="O137" s="11" t="n"/>
      <c r="P137" s="11" t="n"/>
      <c r="Q137" s="11" t="n"/>
    </row>
    <row r="138">
      <c r="A138" s="8">
        <f>B138&amp;"_"&amp;C138</f>
        <v/>
      </c>
      <c r="B138" s="8" t="n"/>
      <c r="C138" s="8" t="n"/>
      <c r="D138" s="8" t="n"/>
      <c r="E138" s="11" t="n"/>
      <c r="F138" s="11" t="n"/>
      <c r="G138" s="8" t="n"/>
      <c r="H138" s="8" t="n"/>
      <c r="I138" s="8" t="n"/>
      <c r="J138" s="8" t="n"/>
      <c r="K138" s="12">
        <f>IF(OR(ISERROR(VLOOKUP(C138, Resultados_Reales!$A$4:$I$107, 5, FALSE)), ISERROR(VLOOKUP(C138, Resultados_Reales!$A$4:$I$107, 6, FALSE)), VLOOKUP(C138, Resultados_Reales!$A$4:$I$107, 5, FALSE)="", VLOOKUP(C138, Resultados_Reales!$A$4:$I$107, 6, FALSE)=""), 0, IF(AND(VLOOKUP(C138, Resultados_Reales!$A$4:$I$107, 5, FALSE)=G138, VLOOKUP(C138, Resultados_Reales!$A$4:$I$107, 6, FALSE)=H138), Configuracion!$B$5, IF(SIGN(VLOOKUP(C138, Resultados_Reales!$A$4:$I$107, 5, FALSE)-VLOOKUP(C138, Resultados_Reales!$A$4:$I$107, 6, FALSE)) = SIGN(G138-H138), Configuracion!$B$4, 0)))</f>
        <v/>
      </c>
      <c r="L138" s="11" t="n"/>
      <c r="M138" s="11" t="n"/>
      <c r="N138" s="11" t="n"/>
      <c r="O138" s="11" t="n"/>
      <c r="P138" s="11" t="n"/>
      <c r="Q138" s="11" t="n"/>
    </row>
    <row r="139">
      <c r="A139" s="8">
        <f>B139&amp;"_"&amp;C139</f>
        <v/>
      </c>
      <c r="B139" s="8" t="n"/>
      <c r="C139" s="8" t="n"/>
      <c r="D139" s="8" t="n"/>
      <c r="E139" s="11" t="n"/>
      <c r="F139" s="11" t="n"/>
      <c r="G139" s="8" t="n"/>
      <c r="H139" s="8" t="n"/>
      <c r="I139" s="8" t="n"/>
      <c r="J139" s="8" t="n"/>
      <c r="K139" s="12">
        <f>IF(OR(ISERROR(VLOOKUP(C139, Resultados_Reales!$A$4:$I$107, 5, FALSE)), ISERROR(VLOOKUP(C139, Resultados_Reales!$A$4:$I$107, 6, FALSE)), VLOOKUP(C139, Resultados_Reales!$A$4:$I$107, 5, FALSE)="", VLOOKUP(C139, Resultados_Reales!$A$4:$I$107, 6, FALSE)=""), 0, IF(AND(VLOOKUP(C139, Resultados_Reales!$A$4:$I$107, 5, FALSE)=G139, VLOOKUP(C139, Resultados_Reales!$A$4:$I$107, 6, FALSE)=H139), Configuracion!$B$5, IF(SIGN(VLOOKUP(C139, Resultados_Reales!$A$4:$I$107, 5, FALSE)-VLOOKUP(C139, Resultados_Reales!$A$4:$I$107, 6, FALSE)) = SIGN(G139-H139), Configuracion!$B$4, 0)))</f>
        <v/>
      </c>
      <c r="L139" s="11" t="n"/>
      <c r="M139" s="11" t="n"/>
      <c r="N139" s="11" t="n"/>
      <c r="O139" s="11" t="n"/>
      <c r="P139" s="11" t="n"/>
      <c r="Q139" s="11" t="n"/>
    </row>
    <row r="140">
      <c r="A140" s="8">
        <f>B140&amp;"_"&amp;C140</f>
        <v/>
      </c>
      <c r="B140" s="8" t="n"/>
      <c r="C140" s="8" t="n"/>
      <c r="D140" s="8" t="n"/>
      <c r="E140" s="11" t="n"/>
      <c r="F140" s="11" t="n"/>
      <c r="G140" s="8" t="n"/>
      <c r="H140" s="8" t="n"/>
      <c r="I140" s="8" t="n"/>
      <c r="J140" s="8" t="n"/>
      <c r="K140" s="12">
        <f>IF(OR(ISERROR(VLOOKUP(C140, Resultados_Reales!$A$4:$I$107, 5, FALSE)), ISERROR(VLOOKUP(C140, Resultados_Reales!$A$4:$I$107, 6, FALSE)), VLOOKUP(C140, Resultados_Reales!$A$4:$I$107, 5, FALSE)="", VLOOKUP(C140, Resultados_Reales!$A$4:$I$107, 6, FALSE)=""), 0, IF(AND(VLOOKUP(C140, Resultados_Reales!$A$4:$I$107, 5, FALSE)=G140, VLOOKUP(C140, Resultados_Reales!$A$4:$I$107, 6, FALSE)=H140), Configuracion!$B$5, IF(SIGN(VLOOKUP(C140, Resultados_Reales!$A$4:$I$107, 5, FALSE)-VLOOKUP(C140, Resultados_Reales!$A$4:$I$107, 6, FALSE)) = SIGN(G140-H140), Configuracion!$B$4, 0)))</f>
        <v/>
      </c>
      <c r="L140" s="11" t="n"/>
      <c r="M140" s="11" t="n"/>
      <c r="N140" s="11" t="n"/>
      <c r="O140" s="11" t="n"/>
      <c r="P140" s="11" t="n"/>
      <c r="Q140" s="11" t="n"/>
    </row>
    <row r="141">
      <c r="A141" s="8">
        <f>B141&amp;"_"&amp;C141</f>
        <v/>
      </c>
      <c r="B141" s="8" t="n"/>
      <c r="C141" s="8" t="n"/>
      <c r="D141" s="8" t="n"/>
      <c r="E141" s="11" t="n"/>
      <c r="F141" s="11" t="n"/>
      <c r="G141" s="8" t="n"/>
      <c r="H141" s="8" t="n"/>
      <c r="I141" s="8" t="n"/>
      <c r="J141" s="8" t="n"/>
      <c r="K141" s="12">
        <f>IF(OR(ISERROR(VLOOKUP(C141, Resultados_Reales!$A$4:$I$107, 5, FALSE)), ISERROR(VLOOKUP(C141, Resultados_Reales!$A$4:$I$107, 6, FALSE)), VLOOKUP(C141, Resultados_Reales!$A$4:$I$107, 5, FALSE)="", VLOOKUP(C141, Resultados_Reales!$A$4:$I$107, 6, FALSE)=""), 0, IF(AND(VLOOKUP(C141, Resultados_Reales!$A$4:$I$107, 5, FALSE)=G141, VLOOKUP(C141, Resultados_Reales!$A$4:$I$107, 6, FALSE)=H141), Configuracion!$B$5, IF(SIGN(VLOOKUP(C141, Resultados_Reales!$A$4:$I$107, 5, FALSE)-VLOOKUP(C141, Resultados_Reales!$A$4:$I$107, 6, FALSE)) = SIGN(G141-H141), Configuracion!$B$4, 0)))</f>
        <v/>
      </c>
      <c r="L141" s="11" t="n"/>
      <c r="M141" s="11" t="n"/>
      <c r="N141" s="11" t="n"/>
      <c r="O141" s="11" t="n"/>
      <c r="P141" s="11" t="n"/>
      <c r="Q141" s="11" t="n"/>
    </row>
    <row r="142">
      <c r="A142" s="8">
        <f>B142&amp;"_"&amp;C142</f>
        <v/>
      </c>
      <c r="B142" s="8" t="n"/>
      <c r="C142" s="8" t="n"/>
      <c r="D142" s="8" t="n"/>
      <c r="E142" s="11" t="n"/>
      <c r="F142" s="11" t="n"/>
      <c r="G142" s="8" t="n"/>
      <c r="H142" s="8" t="n"/>
      <c r="I142" s="8" t="n"/>
      <c r="J142" s="8" t="n"/>
      <c r="K142" s="12">
        <f>IF(OR(ISERROR(VLOOKUP(C142, Resultados_Reales!$A$4:$I$107, 5, FALSE)), ISERROR(VLOOKUP(C142, Resultados_Reales!$A$4:$I$107, 6, FALSE)), VLOOKUP(C142, Resultados_Reales!$A$4:$I$107, 5, FALSE)="", VLOOKUP(C142, Resultados_Reales!$A$4:$I$107, 6, FALSE)=""), 0, IF(AND(VLOOKUP(C142, Resultados_Reales!$A$4:$I$107, 5, FALSE)=G142, VLOOKUP(C142, Resultados_Reales!$A$4:$I$107, 6, FALSE)=H142), Configuracion!$B$5, IF(SIGN(VLOOKUP(C142, Resultados_Reales!$A$4:$I$107, 5, FALSE)-VLOOKUP(C142, Resultados_Reales!$A$4:$I$107, 6, FALSE)) = SIGN(G142-H142), Configuracion!$B$4, 0)))</f>
        <v/>
      </c>
      <c r="L142" s="11" t="n"/>
      <c r="M142" s="11" t="n"/>
      <c r="N142" s="11" t="n"/>
      <c r="O142" s="11" t="n"/>
      <c r="P142" s="11" t="n"/>
      <c r="Q142" s="11" t="n"/>
    </row>
    <row r="143">
      <c r="A143" s="8">
        <f>B143&amp;"_"&amp;C143</f>
        <v/>
      </c>
      <c r="B143" s="8" t="n"/>
      <c r="C143" s="8" t="n"/>
      <c r="D143" s="8" t="n"/>
      <c r="E143" s="11" t="n"/>
      <c r="F143" s="11" t="n"/>
      <c r="G143" s="8" t="n"/>
      <c r="H143" s="8" t="n"/>
      <c r="I143" s="8" t="n"/>
      <c r="J143" s="8" t="n"/>
      <c r="K143" s="12">
        <f>IF(OR(ISERROR(VLOOKUP(C143, Resultados_Reales!$A$4:$I$107, 5, FALSE)), ISERROR(VLOOKUP(C143, Resultados_Reales!$A$4:$I$107, 6, FALSE)), VLOOKUP(C143, Resultados_Reales!$A$4:$I$107, 5, FALSE)="", VLOOKUP(C143, Resultados_Reales!$A$4:$I$107, 6, FALSE)=""), 0, IF(AND(VLOOKUP(C143, Resultados_Reales!$A$4:$I$107, 5, FALSE)=G143, VLOOKUP(C143, Resultados_Reales!$A$4:$I$107, 6, FALSE)=H143), Configuracion!$B$5, IF(SIGN(VLOOKUP(C143, Resultados_Reales!$A$4:$I$107, 5, FALSE)-VLOOKUP(C143, Resultados_Reales!$A$4:$I$107, 6, FALSE)) = SIGN(G143-H143), Configuracion!$B$4, 0)))</f>
        <v/>
      </c>
      <c r="L143" s="11" t="n"/>
      <c r="M143" s="11" t="n"/>
      <c r="N143" s="11" t="n"/>
      <c r="O143" s="11" t="n"/>
      <c r="P143" s="11" t="n"/>
      <c r="Q143" s="11" t="n"/>
    </row>
    <row r="144">
      <c r="A144" s="8">
        <f>B144&amp;"_"&amp;C144</f>
        <v/>
      </c>
      <c r="B144" s="8" t="n"/>
      <c r="C144" s="8" t="n"/>
      <c r="D144" s="8" t="n"/>
      <c r="E144" s="11" t="n"/>
      <c r="F144" s="11" t="n"/>
      <c r="G144" s="8" t="n"/>
      <c r="H144" s="8" t="n"/>
      <c r="I144" s="8" t="n"/>
      <c r="J144" s="8" t="n"/>
      <c r="K144" s="12">
        <f>IF(OR(ISERROR(VLOOKUP(C144, Resultados_Reales!$A$4:$I$107, 5, FALSE)), ISERROR(VLOOKUP(C144, Resultados_Reales!$A$4:$I$107, 6, FALSE)), VLOOKUP(C144, Resultados_Reales!$A$4:$I$107, 5, FALSE)="", VLOOKUP(C144, Resultados_Reales!$A$4:$I$107, 6, FALSE)=""), 0, IF(AND(VLOOKUP(C144, Resultados_Reales!$A$4:$I$107, 5, FALSE)=G144, VLOOKUP(C144, Resultados_Reales!$A$4:$I$107, 6, FALSE)=H144), Configuracion!$B$5, IF(SIGN(VLOOKUP(C144, Resultados_Reales!$A$4:$I$107, 5, FALSE)-VLOOKUP(C144, Resultados_Reales!$A$4:$I$107, 6, FALSE)) = SIGN(G144-H144), Configuracion!$B$4, 0)))</f>
        <v/>
      </c>
      <c r="L144" s="11" t="n"/>
      <c r="M144" s="11" t="n"/>
      <c r="N144" s="11" t="n"/>
      <c r="O144" s="11" t="n"/>
      <c r="P144" s="11" t="n"/>
      <c r="Q144" s="11" t="n"/>
    </row>
    <row r="145">
      <c r="A145" s="8">
        <f>B145&amp;"_"&amp;C145</f>
        <v/>
      </c>
      <c r="B145" s="8" t="n"/>
      <c r="C145" s="8" t="n"/>
      <c r="D145" s="8" t="n"/>
      <c r="E145" s="11" t="n"/>
      <c r="F145" s="11" t="n"/>
      <c r="G145" s="8" t="n"/>
      <c r="H145" s="8" t="n"/>
      <c r="I145" s="8" t="n"/>
      <c r="J145" s="8" t="n"/>
      <c r="K145" s="12">
        <f>IF(OR(ISERROR(VLOOKUP(C145, Resultados_Reales!$A$4:$I$107, 5, FALSE)), ISERROR(VLOOKUP(C145, Resultados_Reales!$A$4:$I$107, 6, FALSE)), VLOOKUP(C145, Resultados_Reales!$A$4:$I$107, 5, FALSE)="", VLOOKUP(C145, Resultados_Reales!$A$4:$I$107, 6, FALSE)=""), 0, IF(AND(VLOOKUP(C145, Resultados_Reales!$A$4:$I$107, 5, FALSE)=G145, VLOOKUP(C145, Resultados_Reales!$A$4:$I$107, 6, FALSE)=H145), Configuracion!$B$5, IF(SIGN(VLOOKUP(C145, Resultados_Reales!$A$4:$I$107, 5, FALSE)-VLOOKUP(C145, Resultados_Reales!$A$4:$I$107, 6, FALSE)) = SIGN(G145-H145), Configuracion!$B$4, 0)))</f>
        <v/>
      </c>
      <c r="L145" s="11" t="n"/>
      <c r="M145" s="11" t="n"/>
      <c r="N145" s="11" t="n"/>
      <c r="O145" s="11" t="n"/>
      <c r="P145" s="11" t="n"/>
      <c r="Q145" s="11" t="n"/>
    </row>
    <row r="146">
      <c r="A146" s="8">
        <f>B146&amp;"_"&amp;C146</f>
        <v/>
      </c>
      <c r="B146" s="8" t="n"/>
      <c r="C146" s="8" t="n"/>
      <c r="D146" s="8" t="n"/>
      <c r="E146" s="11" t="n"/>
      <c r="F146" s="11" t="n"/>
      <c r="G146" s="8" t="n"/>
      <c r="H146" s="8" t="n"/>
      <c r="I146" s="8" t="n"/>
      <c r="J146" s="8" t="n"/>
      <c r="K146" s="12">
        <f>IF(OR(ISERROR(VLOOKUP(C146, Resultados_Reales!$A$4:$I$107, 5, FALSE)), ISERROR(VLOOKUP(C146, Resultados_Reales!$A$4:$I$107, 6, FALSE)), VLOOKUP(C146, Resultados_Reales!$A$4:$I$107, 5, FALSE)="", VLOOKUP(C146, Resultados_Reales!$A$4:$I$107, 6, FALSE)=""), 0, IF(AND(VLOOKUP(C146, Resultados_Reales!$A$4:$I$107, 5, FALSE)=G146, VLOOKUP(C146, Resultados_Reales!$A$4:$I$107, 6, FALSE)=H146), Configuracion!$B$5, IF(SIGN(VLOOKUP(C146, Resultados_Reales!$A$4:$I$107, 5, FALSE)-VLOOKUP(C146, Resultados_Reales!$A$4:$I$107, 6, FALSE)) = SIGN(G146-H146), Configuracion!$B$4, 0)))</f>
        <v/>
      </c>
      <c r="L146" s="11" t="n"/>
      <c r="M146" s="11" t="n"/>
      <c r="N146" s="11" t="n"/>
      <c r="O146" s="11" t="n"/>
      <c r="P146" s="11" t="n"/>
      <c r="Q146" s="11" t="n"/>
    </row>
    <row r="147">
      <c r="A147" s="8">
        <f>B147&amp;"_"&amp;C147</f>
        <v/>
      </c>
      <c r="B147" s="8" t="n"/>
      <c r="C147" s="8" t="n"/>
      <c r="D147" s="8" t="n"/>
      <c r="E147" s="11" t="n"/>
      <c r="F147" s="11" t="n"/>
      <c r="G147" s="8" t="n"/>
      <c r="H147" s="8" t="n"/>
      <c r="I147" s="8" t="n"/>
      <c r="J147" s="8" t="n"/>
      <c r="K147" s="12">
        <f>IF(OR(ISERROR(VLOOKUP(C147, Resultados_Reales!$A$4:$I$107, 5, FALSE)), ISERROR(VLOOKUP(C147, Resultados_Reales!$A$4:$I$107, 6, FALSE)), VLOOKUP(C147, Resultados_Reales!$A$4:$I$107, 5, FALSE)="", VLOOKUP(C147, Resultados_Reales!$A$4:$I$107, 6, FALSE)=""), 0, IF(AND(VLOOKUP(C147, Resultados_Reales!$A$4:$I$107, 5, FALSE)=G147, VLOOKUP(C147, Resultados_Reales!$A$4:$I$107, 6, FALSE)=H147), Configuracion!$B$5, IF(SIGN(VLOOKUP(C147, Resultados_Reales!$A$4:$I$107, 5, FALSE)-VLOOKUP(C147, Resultados_Reales!$A$4:$I$107, 6, FALSE)) = SIGN(G147-H147), Configuracion!$B$4, 0)))</f>
        <v/>
      </c>
      <c r="L147" s="11" t="n"/>
      <c r="M147" s="11" t="n"/>
      <c r="N147" s="11" t="n"/>
      <c r="O147" s="11" t="n"/>
      <c r="P147" s="11" t="n"/>
      <c r="Q147" s="11" t="n"/>
    </row>
    <row r="148">
      <c r="A148" s="8">
        <f>B148&amp;"_"&amp;C148</f>
        <v/>
      </c>
      <c r="B148" s="8" t="n"/>
      <c r="C148" s="8" t="n"/>
      <c r="D148" s="8" t="n"/>
      <c r="E148" s="11" t="n"/>
      <c r="F148" s="11" t="n"/>
      <c r="G148" s="8" t="n"/>
      <c r="H148" s="8" t="n"/>
      <c r="I148" s="8" t="n"/>
      <c r="J148" s="8" t="n"/>
      <c r="K148" s="12">
        <f>IF(OR(ISERROR(VLOOKUP(C148, Resultados_Reales!$A$4:$I$107, 5, FALSE)), ISERROR(VLOOKUP(C148, Resultados_Reales!$A$4:$I$107, 6, FALSE)), VLOOKUP(C148, Resultados_Reales!$A$4:$I$107, 5, FALSE)="", VLOOKUP(C148, Resultados_Reales!$A$4:$I$107, 6, FALSE)=""), 0, IF(AND(VLOOKUP(C148, Resultados_Reales!$A$4:$I$107, 5, FALSE)=G148, VLOOKUP(C148, Resultados_Reales!$A$4:$I$107, 6, FALSE)=H148), Configuracion!$B$5, IF(SIGN(VLOOKUP(C148, Resultados_Reales!$A$4:$I$107, 5, FALSE)-VLOOKUP(C148, Resultados_Reales!$A$4:$I$107, 6, FALSE)) = SIGN(G148-H148), Configuracion!$B$4, 0)))</f>
        <v/>
      </c>
      <c r="L148" s="11" t="n"/>
      <c r="M148" s="11" t="n"/>
      <c r="N148" s="11" t="n"/>
      <c r="O148" s="11" t="n"/>
      <c r="P148" s="11" t="n"/>
      <c r="Q148" s="11" t="n"/>
    </row>
    <row r="149">
      <c r="A149" s="8">
        <f>B149&amp;"_"&amp;C149</f>
        <v/>
      </c>
      <c r="B149" s="8" t="n"/>
      <c r="C149" s="8" t="n"/>
      <c r="D149" s="8" t="n"/>
      <c r="E149" s="11" t="n"/>
      <c r="F149" s="11" t="n"/>
      <c r="G149" s="8" t="n"/>
      <c r="H149" s="8" t="n"/>
      <c r="I149" s="8" t="n"/>
      <c r="J149" s="8" t="n"/>
      <c r="K149" s="12">
        <f>IF(OR(ISERROR(VLOOKUP(C149, Resultados_Reales!$A$4:$I$107, 5, FALSE)), ISERROR(VLOOKUP(C149, Resultados_Reales!$A$4:$I$107, 6, FALSE)), VLOOKUP(C149, Resultados_Reales!$A$4:$I$107, 5, FALSE)="", VLOOKUP(C149, Resultados_Reales!$A$4:$I$107, 6, FALSE)=""), 0, IF(AND(VLOOKUP(C149, Resultados_Reales!$A$4:$I$107, 5, FALSE)=G149, VLOOKUP(C149, Resultados_Reales!$A$4:$I$107, 6, FALSE)=H149), Configuracion!$B$5, IF(SIGN(VLOOKUP(C149, Resultados_Reales!$A$4:$I$107, 5, FALSE)-VLOOKUP(C149, Resultados_Reales!$A$4:$I$107, 6, FALSE)) = SIGN(G149-H149), Configuracion!$B$4, 0)))</f>
        <v/>
      </c>
      <c r="L149" s="11" t="n"/>
      <c r="M149" s="11" t="n"/>
      <c r="N149" s="11" t="n"/>
      <c r="O149" s="11" t="n"/>
      <c r="P149" s="11" t="n"/>
      <c r="Q149" s="11" t="n"/>
    </row>
    <row r="150">
      <c r="A150" s="8">
        <f>B150&amp;"_"&amp;C150</f>
        <v/>
      </c>
      <c r="B150" s="8" t="n"/>
      <c r="C150" s="8" t="n"/>
      <c r="D150" s="8" t="n"/>
      <c r="E150" s="11" t="n"/>
      <c r="F150" s="11" t="n"/>
      <c r="G150" s="8" t="n"/>
      <c r="H150" s="8" t="n"/>
      <c r="I150" s="8" t="n"/>
      <c r="J150" s="8" t="n"/>
      <c r="K150" s="12">
        <f>IF(OR(ISERROR(VLOOKUP(C150, Resultados_Reales!$A$4:$I$107, 5, FALSE)), ISERROR(VLOOKUP(C150, Resultados_Reales!$A$4:$I$107, 6, FALSE)), VLOOKUP(C150, Resultados_Reales!$A$4:$I$107, 5, FALSE)="", VLOOKUP(C150, Resultados_Reales!$A$4:$I$107, 6, FALSE)=""), 0, IF(AND(VLOOKUP(C150, Resultados_Reales!$A$4:$I$107, 5, FALSE)=G150, VLOOKUP(C150, Resultados_Reales!$A$4:$I$107, 6, FALSE)=H150), Configuracion!$B$5, IF(SIGN(VLOOKUP(C150, Resultados_Reales!$A$4:$I$107, 5, FALSE)-VLOOKUP(C150, Resultados_Reales!$A$4:$I$107, 6, FALSE)) = SIGN(G150-H150), Configuracion!$B$4, 0)))</f>
        <v/>
      </c>
      <c r="L150" s="11" t="n"/>
      <c r="M150" s="11" t="n"/>
      <c r="N150" s="11" t="n"/>
      <c r="O150" s="11" t="n"/>
      <c r="P150" s="11" t="n"/>
      <c r="Q150" s="11" t="n"/>
    </row>
    <row r="151">
      <c r="A151" s="8">
        <f>B151&amp;"_"&amp;C151</f>
        <v/>
      </c>
      <c r="B151" s="8" t="n"/>
      <c r="C151" s="8" t="n"/>
      <c r="D151" s="8" t="n"/>
      <c r="E151" s="11" t="n"/>
      <c r="F151" s="11" t="n"/>
      <c r="G151" s="8" t="n"/>
      <c r="H151" s="8" t="n"/>
      <c r="I151" s="8" t="n"/>
      <c r="J151" s="8" t="n"/>
      <c r="K151" s="12">
        <f>IF(OR(ISERROR(VLOOKUP(C151, Resultados_Reales!$A$4:$I$107, 5, FALSE)), ISERROR(VLOOKUP(C151, Resultados_Reales!$A$4:$I$107, 6, FALSE)), VLOOKUP(C151, Resultados_Reales!$A$4:$I$107, 5, FALSE)="", VLOOKUP(C151, Resultados_Reales!$A$4:$I$107, 6, FALSE)=""), 0, IF(AND(VLOOKUP(C151, Resultados_Reales!$A$4:$I$107, 5, FALSE)=G151, VLOOKUP(C151, Resultados_Reales!$A$4:$I$107, 6, FALSE)=H151), Configuracion!$B$5, IF(SIGN(VLOOKUP(C151, Resultados_Reales!$A$4:$I$107, 5, FALSE)-VLOOKUP(C151, Resultados_Reales!$A$4:$I$107, 6, FALSE)) = SIGN(G151-H151), Configuracion!$B$4, 0)))</f>
        <v/>
      </c>
      <c r="L151" s="11" t="n"/>
      <c r="M151" s="11" t="n"/>
      <c r="N151" s="11" t="n"/>
      <c r="O151" s="11" t="n"/>
      <c r="P151" s="11" t="n"/>
      <c r="Q151" s="11" t="n"/>
    </row>
    <row r="152">
      <c r="A152" s="8">
        <f>B152&amp;"_"&amp;C152</f>
        <v/>
      </c>
      <c r="B152" s="8" t="n"/>
      <c r="C152" s="8" t="n"/>
      <c r="D152" s="8" t="n"/>
      <c r="E152" s="11" t="n"/>
      <c r="F152" s="11" t="n"/>
      <c r="G152" s="8" t="n"/>
      <c r="H152" s="8" t="n"/>
      <c r="I152" s="8" t="n"/>
      <c r="J152" s="8" t="n"/>
      <c r="K152" s="12">
        <f>IF(OR(ISERROR(VLOOKUP(C152, Resultados_Reales!$A$4:$I$107, 5, FALSE)), ISERROR(VLOOKUP(C152, Resultados_Reales!$A$4:$I$107, 6, FALSE)), VLOOKUP(C152, Resultados_Reales!$A$4:$I$107, 5, FALSE)="", VLOOKUP(C152, Resultados_Reales!$A$4:$I$107, 6, FALSE)=""), 0, IF(AND(VLOOKUP(C152, Resultados_Reales!$A$4:$I$107, 5, FALSE)=G152, VLOOKUP(C152, Resultados_Reales!$A$4:$I$107, 6, FALSE)=H152), Configuracion!$B$5, IF(SIGN(VLOOKUP(C152, Resultados_Reales!$A$4:$I$107, 5, FALSE)-VLOOKUP(C152, Resultados_Reales!$A$4:$I$107, 6, FALSE)) = SIGN(G152-H152), Configuracion!$B$4, 0)))</f>
        <v/>
      </c>
      <c r="L152" s="11" t="n"/>
      <c r="M152" s="11" t="n"/>
      <c r="N152" s="11" t="n"/>
      <c r="O152" s="11" t="n"/>
      <c r="P152" s="11" t="n"/>
      <c r="Q152" s="11" t="n"/>
    </row>
    <row r="153">
      <c r="A153" s="8">
        <f>B153&amp;"_"&amp;C153</f>
        <v/>
      </c>
      <c r="B153" s="8" t="n"/>
      <c r="C153" s="8" t="n"/>
      <c r="D153" s="8" t="n"/>
      <c r="E153" s="11" t="n"/>
      <c r="F153" s="11" t="n"/>
      <c r="G153" s="8" t="n"/>
      <c r="H153" s="8" t="n"/>
      <c r="I153" s="8" t="n"/>
      <c r="J153" s="8" t="n"/>
      <c r="K153" s="12">
        <f>IF(OR(ISERROR(VLOOKUP(C153, Resultados_Reales!$A$4:$I$107, 5, FALSE)), ISERROR(VLOOKUP(C153, Resultados_Reales!$A$4:$I$107, 6, FALSE)), VLOOKUP(C153, Resultados_Reales!$A$4:$I$107, 5, FALSE)="", VLOOKUP(C153, Resultados_Reales!$A$4:$I$107, 6, FALSE)=""), 0, IF(AND(VLOOKUP(C153, Resultados_Reales!$A$4:$I$107, 5, FALSE)=G153, VLOOKUP(C153, Resultados_Reales!$A$4:$I$107, 6, FALSE)=H153), Configuracion!$B$5, IF(SIGN(VLOOKUP(C153, Resultados_Reales!$A$4:$I$107, 5, FALSE)-VLOOKUP(C153, Resultados_Reales!$A$4:$I$107, 6, FALSE)) = SIGN(G153-H153), Configuracion!$B$4, 0)))</f>
        <v/>
      </c>
      <c r="L153" s="11" t="n"/>
      <c r="M153" s="11" t="n"/>
      <c r="N153" s="11" t="n"/>
      <c r="O153" s="11" t="n"/>
      <c r="P153" s="11" t="n"/>
      <c r="Q153" s="11" t="n"/>
    </row>
    <row r="154">
      <c r="A154" s="8">
        <f>B154&amp;"_"&amp;C154</f>
        <v/>
      </c>
      <c r="B154" s="8" t="n"/>
      <c r="C154" s="8" t="n"/>
      <c r="D154" s="8" t="n"/>
      <c r="E154" s="11" t="n"/>
      <c r="F154" s="11" t="n"/>
      <c r="G154" s="8" t="n"/>
      <c r="H154" s="8" t="n"/>
      <c r="I154" s="8" t="n"/>
      <c r="J154" s="8" t="n"/>
      <c r="K154" s="12">
        <f>IF(OR(ISERROR(VLOOKUP(C154, Resultados_Reales!$A$4:$I$107, 5, FALSE)), ISERROR(VLOOKUP(C154, Resultados_Reales!$A$4:$I$107, 6, FALSE)), VLOOKUP(C154, Resultados_Reales!$A$4:$I$107, 5, FALSE)="", VLOOKUP(C154, Resultados_Reales!$A$4:$I$107, 6, FALSE)=""), 0, IF(AND(VLOOKUP(C154, Resultados_Reales!$A$4:$I$107, 5, FALSE)=G154, VLOOKUP(C154, Resultados_Reales!$A$4:$I$107, 6, FALSE)=H154), Configuracion!$B$5, IF(SIGN(VLOOKUP(C154, Resultados_Reales!$A$4:$I$107, 5, FALSE)-VLOOKUP(C154, Resultados_Reales!$A$4:$I$107, 6, FALSE)) = SIGN(G154-H154), Configuracion!$B$4, 0)))</f>
        <v/>
      </c>
      <c r="L154" s="11" t="n"/>
      <c r="M154" s="11" t="n"/>
      <c r="N154" s="11" t="n"/>
      <c r="O154" s="11" t="n"/>
      <c r="P154" s="11" t="n"/>
      <c r="Q154" s="11" t="n"/>
    </row>
    <row r="155">
      <c r="A155" s="8">
        <f>B155&amp;"_"&amp;C155</f>
        <v/>
      </c>
      <c r="B155" s="8" t="n"/>
      <c r="C155" s="8" t="n"/>
      <c r="D155" s="8" t="n"/>
      <c r="E155" s="11" t="n"/>
      <c r="F155" s="11" t="n"/>
      <c r="G155" s="8" t="n"/>
      <c r="H155" s="8" t="n"/>
      <c r="I155" s="8" t="n"/>
      <c r="J155" s="8" t="n"/>
      <c r="K155" s="12">
        <f>IF(OR(ISERROR(VLOOKUP(C155, Resultados_Reales!$A$4:$I$107, 5, FALSE)), ISERROR(VLOOKUP(C155, Resultados_Reales!$A$4:$I$107, 6, FALSE)), VLOOKUP(C155, Resultados_Reales!$A$4:$I$107, 5, FALSE)="", VLOOKUP(C155, Resultados_Reales!$A$4:$I$107, 6, FALSE)=""), 0, IF(AND(VLOOKUP(C155, Resultados_Reales!$A$4:$I$107, 5, FALSE)=G155, VLOOKUP(C155, Resultados_Reales!$A$4:$I$107, 6, FALSE)=H155), Configuracion!$B$5, IF(SIGN(VLOOKUP(C155, Resultados_Reales!$A$4:$I$107, 5, FALSE)-VLOOKUP(C155, Resultados_Reales!$A$4:$I$107, 6, FALSE)) = SIGN(G155-H155), Configuracion!$B$4, 0)))</f>
        <v/>
      </c>
      <c r="L155" s="11" t="n"/>
      <c r="M155" s="11" t="n"/>
      <c r="N155" s="11" t="n"/>
      <c r="O155" s="11" t="n"/>
      <c r="P155" s="11" t="n"/>
      <c r="Q155" s="11" t="n"/>
    </row>
    <row r="156">
      <c r="A156" s="8">
        <f>B156&amp;"_"&amp;C156</f>
        <v/>
      </c>
      <c r="B156" s="8" t="n"/>
      <c r="C156" s="8" t="n"/>
      <c r="D156" s="8" t="n"/>
      <c r="E156" s="11" t="n"/>
      <c r="F156" s="11" t="n"/>
      <c r="G156" s="8" t="n"/>
      <c r="H156" s="8" t="n"/>
      <c r="I156" s="8" t="n"/>
      <c r="J156" s="8" t="n"/>
      <c r="K156" s="12">
        <f>IF(OR(ISERROR(VLOOKUP(C156, Resultados_Reales!$A$4:$I$107, 5, FALSE)), ISERROR(VLOOKUP(C156, Resultados_Reales!$A$4:$I$107, 6, FALSE)), VLOOKUP(C156, Resultados_Reales!$A$4:$I$107, 5, FALSE)="", VLOOKUP(C156, Resultados_Reales!$A$4:$I$107, 6, FALSE)=""), 0, IF(AND(VLOOKUP(C156, Resultados_Reales!$A$4:$I$107, 5, FALSE)=G156, VLOOKUP(C156, Resultados_Reales!$A$4:$I$107, 6, FALSE)=H156), Configuracion!$B$5, IF(SIGN(VLOOKUP(C156, Resultados_Reales!$A$4:$I$107, 5, FALSE)-VLOOKUP(C156, Resultados_Reales!$A$4:$I$107, 6, FALSE)) = SIGN(G156-H156), Configuracion!$B$4, 0)))</f>
        <v/>
      </c>
      <c r="L156" s="11" t="n"/>
      <c r="M156" s="11" t="n"/>
      <c r="N156" s="11" t="n"/>
      <c r="O156" s="11" t="n"/>
      <c r="P156" s="11" t="n"/>
      <c r="Q156" s="11" t="n"/>
    </row>
    <row r="157">
      <c r="A157" s="8">
        <f>B157&amp;"_"&amp;C157</f>
        <v/>
      </c>
      <c r="B157" s="8" t="n"/>
      <c r="C157" s="8" t="n"/>
      <c r="D157" s="8" t="n"/>
      <c r="E157" s="11" t="n"/>
      <c r="F157" s="11" t="n"/>
      <c r="G157" s="8" t="n"/>
      <c r="H157" s="8" t="n"/>
      <c r="I157" s="8" t="n"/>
      <c r="J157" s="8" t="n"/>
      <c r="K157" s="12">
        <f>IF(OR(ISERROR(VLOOKUP(C157, Resultados_Reales!$A$4:$I$107, 5, FALSE)), ISERROR(VLOOKUP(C157, Resultados_Reales!$A$4:$I$107, 6, FALSE)), VLOOKUP(C157, Resultados_Reales!$A$4:$I$107, 5, FALSE)="", VLOOKUP(C157, Resultados_Reales!$A$4:$I$107, 6, FALSE)=""), 0, IF(AND(VLOOKUP(C157, Resultados_Reales!$A$4:$I$107, 5, FALSE)=G157, VLOOKUP(C157, Resultados_Reales!$A$4:$I$107, 6, FALSE)=H157), Configuracion!$B$5, IF(SIGN(VLOOKUP(C157, Resultados_Reales!$A$4:$I$107, 5, FALSE)-VLOOKUP(C157, Resultados_Reales!$A$4:$I$107, 6, FALSE)) = SIGN(G157-H157), Configuracion!$B$4, 0)))</f>
        <v/>
      </c>
      <c r="L157" s="11" t="n"/>
      <c r="M157" s="11" t="n"/>
      <c r="N157" s="11" t="n"/>
      <c r="O157" s="11" t="n"/>
      <c r="P157" s="11" t="n"/>
      <c r="Q157" s="11" t="n"/>
    </row>
    <row r="158">
      <c r="A158" s="8">
        <f>B158&amp;"_"&amp;C158</f>
        <v/>
      </c>
      <c r="B158" s="8" t="n"/>
      <c r="C158" s="8" t="n"/>
      <c r="D158" s="8" t="n"/>
      <c r="E158" s="11" t="n"/>
      <c r="F158" s="11" t="n"/>
      <c r="G158" s="8" t="n"/>
      <c r="H158" s="8" t="n"/>
      <c r="I158" s="8" t="n"/>
      <c r="J158" s="8" t="n"/>
      <c r="K158" s="12">
        <f>IF(OR(ISERROR(VLOOKUP(C158, Resultados_Reales!$A$4:$I$107, 5, FALSE)), ISERROR(VLOOKUP(C158, Resultados_Reales!$A$4:$I$107, 6, FALSE)), VLOOKUP(C158, Resultados_Reales!$A$4:$I$107, 5, FALSE)="", VLOOKUP(C158, Resultados_Reales!$A$4:$I$107, 6, FALSE)=""), 0, IF(AND(VLOOKUP(C158, Resultados_Reales!$A$4:$I$107, 5, FALSE)=G158, VLOOKUP(C158, Resultados_Reales!$A$4:$I$107, 6, FALSE)=H158), Configuracion!$B$5, IF(SIGN(VLOOKUP(C158, Resultados_Reales!$A$4:$I$107, 5, FALSE)-VLOOKUP(C158, Resultados_Reales!$A$4:$I$107, 6, FALSE)) = SIGN(G158-H158), Configuracion!$B$4, 0)))</f>
        <v/>
      </c>
      <c r="L158" s="11" t="n"/>
      <c r="M158" s="11" t="n"/>
      <c r="N158" s="11" t="n"/>
      <c r="O158" s="11" t="n"/>
      <c r="P158" s="11" t="n"/>
      <c r="Q158" s="11" t="n"/>
    </row>
    <row r="159">
      <c r="A159" s="8">
        <f>B159&amp;"_"&amp;C159</f>
        <v/>
      </c>
      <c r="B159" s="8" t="n"/>
      <c r="C159" s="8" t="n"/>
      <c r="D159" s="8" t="n"/>
      <c r="E159" s="11" t="n"/>
      <c r="F159" s="11" t="n"/>
      <c r="G159" s="8" t="n"/>
      <c r="H159" s="8" t="n"/>
      <c r="I159" s="8" t="n"/>
      <c r="J159" s="8" t="n"/>
      <c r="K159" s="12">
        <f>IF(OR(ISERROR(VLOOKUP(C159, Resultados_Reales!$A$4:$I$107, 5, FALSE)), ISERROR(VLOOKUP(C159, Resultados_Reales!$A$4:$I$107, 6, FALSE)), VLOOKUP(C159, Resultados_Reales!$A$4:$I$107, 5, FALSE)="", VLOOKUP(C159, Resultados_Reales!$A$4:$I$107, 6, FALSE)=""), 0, IF(AND(VLOOKUP(C159, Resultados_Reales!$A$4:$I$107, 5, FALSE)=G159, VLOOKUP(C159, Resultados_Reales!$A$4:$I$107, 6, FALSE)=H159), Configuracion!$B$5, IF(SIGN(VLOOKUP(C159, Resultados_Reales!$A$4:$I$107, 5, FALSE)-VLOOKUP(C159, Resultados_Reales!$A$4:$I$107, 6, FALSE)) = SIGN(G159-H159), Configuracion!$B$4, 0)))</f>
        <v/>
      </c>
      <c r="L159" s="11" t="n"/>
      <c r="M159" s="11" t="n"/>
      <c r="N159" s="11" t="n"/>
      <c r="O159" s="11" t="n"/>
      <c r="P159" s="11" t="n"/>
      <c r="Q159" s="11" t="n"/>
    </row>
    <row r="160">
      <c r="A160" s="8">
        <f>B160&amp;"_"&amp;C160</f>
        <v/>
      </c>
      <c r="B160" s="8" t="n"/>
      <c r="C160" s="8" t="n"/>
      <c r="D160" s="8" t="n"/>
      <c r="E160" s="11" t="n"/>
      <c r="F160" s="11" t="n"/>
      <c r="G160" s="8" t="n"/>
      <c r="H160" s="8" t="n"/>
      <c r="I160" s="8" t="n"/>
      <c r="J160" s="8" t="n"/>
      <c r="K160" s="12">
        <f>IF(OR(ISERROR(VLOOKUP(C160, Resultados_Reales!$A$4:$I$107, 5, FALSE)), ISERROR(VLOOKUP(C160, Resultados_Reales!$A$4:$I$107, 6, FALSE)), VLOOKUP(C160, Resultados_Reales!$A$4:$I$107, 5, FALSE)="", VLOOKUP(C160, Resultados_Reales!$A$4:$I$107, 6, FALSE)=""), 0, IF(AND(VLOOKUP(C160, Resultados_Reales!$A$4:$I$107, 5, FALSE)=G160, VLOOKUP(C160, Resultados_Reales!$A$4:$I$107, 6, FALSE)=H160), Configuracion!$B$5, IF(SIGN(VLOOKUP(C160, Resultados_Reales!$A$4:$I$107, 5, FALSE)-VLOOKUP(C160, Resultados_Reales!$A$4:$I$107, 6, FALSE)) = SIGN(G160-H160), Configuracion!$B$4, 0)))</f>
        <v/>
      </c>
      <c r="L160" s="11" t="n"/>
      <c r="M160" s="11" t="n"/>
      <c r="N160" s="11" t="n"/>
      <c r="O160" s="11" t="n"/>
      <c r="P160" s="11" t="n"/>
      <c r="Q160" s="11" t="n"/>
    </row>
    <row r="161">
      <c r="A161" s="8">
        <f>B161&amp;"_"&amp;C161</f>
        <v/>
      </c>
      <c r="B161" s="8" t="n"/>
      <c r="C161" s="8" t="n"/>
      <c r="D161" s="8" t="n"/>
      <c r="E161" s="11" t="n"/>
      <c r="F161" s="11" t="n"/>
      <c r="G161" s="8" t="n"/>
      <c r="H161" s="8" t="n"/>
      <c r="I161" s="8" t="n"/>
      <c r="J161" s="8" t="n"/>
      <c r="K161" s="12">
        <f>IF(OR(ISERROR(VLOOKUP(C161, Resultados_Reales!$A$4:$I$107, 5, FALSE)), ISERROR(VLOOKUP(C161, Resultados_Reales!$A$4:$I$107, 6, FALSE)), VLOOKUP(C161, Resultados_Reales!$A$4:$I$107, 5, FALSE)="", VLOOKUP(C161, Resultados_Reales!$A$4:$I$107, 6, FALSE)=""), 0, IF(AND(VLOOKUP(C161, Resultados_Reales!$A$4:$I$107, 5, FALSE)=G161, VLOOKUP(C161, Resultados_Reales!$A$4:$I$107, 6, FALSE)=H161), Configuracion!$B$5, IF(SIGN(VLOOKUP(C161, Resultados_Reales!$A$4:$I$107, 5, FALSE)-VLOOKUP(C161, Resultados_Reales!$A$4:$I$107, 6, FALSE)) = SIGN(G161-H161), Configuracion!$B$4, 0)))</f>
        <v/>
      </c>
      <c r="L161" s="11" t="n"/>
      <c r="M161" s="11" t="n"/>
      <c r="N161" s="11" t="n"/>
      <c r="O161" s="11" t="n"/>
      <c r="P161" s="11" t="n"/>
      <c r="Q161" s="11" t="n"/>
    </row>
    <row r="162">
      <c r="A162" s="8">
        <f>B162&amp;"_"&amp;C162</f>
        <v/>
      </c>
      <c r="B162" s="8" t="n"/>
      <c r="C162" s="8" t="n"/>
      <c r="D162" s="8" t="n"/>
      <c r="E162" s="11" t="n"/>
      <c r="F162" s="11" t="n"/>
      <c r="G162" s="8" t="n"/>
      <c r="H162" s="8" t="n"/>
      <c r="I162" s="8" t="n"/>
      <c r="J162" s="8" t="n"/>
      <c r="K162" s="12">
        <f>IF(OR(ISERROR(VLOOKUP(C162, Resultados_Reales!$A$4:$I$107, 5, FALSE)), ISERROR(VLOOKUP(C162, Resultados_Reales!$A$4:$I$107, 6, FALSE)), VLOOKUP(C162, Resultados_Reales!$A$4:$I$107, 5, FALSE)="", VLOOKUP(C162, Resultados_Reales!$A$4:$I$107, 6, FALSE)=""), 0, IF(AND(VLOOKUP(C162, Resultados_Reales!$A$4:$I$107, 5, FALSE)=G162, VLOOKUP(C162, Resultados_Reales!$A$4:$I$107, 6, FALSE)=H162), Configuracion!$B$5, IF(SIGN(VLOOKUP(C162, Resultados_Reales!$A$4:$I$107, 5, FALSE)-VLOOKUP(C162, Resultados_Reales!$A$4:$I$107, 6, FALSE)) = SIGN(G162-H162), Configuracion!$B$4, 0)))</f>
        <v/>
      </c>
      <c r="L162" s="11" t="n"/>
      <c r="M162" s="11" t="n"/>
      <c r="N162" s="11" t="n"/>
      <c r="O162" s="11" t="n"/>
      <c r="P162" s="11" t="n"/>
      <c r="Q162" s="11" t="n"/>
    </row>
    <row r="163">
      <c r="A163" s="8">
        <f>B163&amp;"_"&amp;C163</f>
        <v/>
      </c>
      <c r="B163" s="8" t="n"/>
      <c r="C163" s="8" t="n"/>
      <c r="D163" s="8" t="n"/>
      <c r="E163" s="11" t="n"/>
      <c r="F163" s="11" t="n"/>
      <c r="G163" s="8" t="n"/>
      <c r="H163" s="8" t="n"/>
      <c r="I163" s="8" t="n"/>
      <c r="J163" s="8" t="n"/>
      <c r="K163" s="12">
        <f>IF(OR(ISERROR(VLOOKUP(C163, Resultados_Reales!$A$4:$I$107, 5, FALSE)), ISERROR(VLOOKUP(C163, Resultados_Reales!$A$4:$I$107, 6, FALSE)), VLOOKUP(C163, Resultados_Reales!$A$4:$I$107, 5, FALSE)="", VLOOKUP(C163, Resultados_Reales!$A$4:$I$107, 6, FALSE)=""), 0, IF(AND(VLOOKUP(C163, Resultados_Reales!$A$4:$I$107, 5, FALSE)=G163, VLOOKUP(C163, Resultados_Reales!$A$4:$I$107, 6, FALSE)=H163), Configuracion!$B$5, IF(SIGN(VLOOKUP(C163, Resultados_Reales!$A$4:$I$107, 5, FALSE)-VLOOKUP(C163, Resultados_Reales!$A$4:$I$107, 6, FALSE)) = SIGN(G163-H163), Configuracion!$B$4, 0)))</f>
        <v/>
      </c>
      <c r="L163" s="11" t="n"/>
      <c r="M163" s="11" t="n"/>
      <c r="N163" s="11" t="n"/>
      <c r="O163" s="11" t="n"/>
      <c r="P163" s="11" t="n"/>
      <c r="Q163" s="11" t="n"/>
    </row>
    <row r="164">
      <c r="A164" s="8">
        <f>B164&amp;"_"&amp;C164</f>
        <v/>
      </c>
      <c r="B164" s="8" t="n"/>
      <c r="C164" s="8" t="n"/>
      <c r="D164" s="8" t="n"/>
      <c r="E164" s="11" t="n"/>
      <c r="F164" s="11" t="n"/>
      <c r="G164" s="8" t="n"/>
      <c r="H164" s="8" t="n"/>
      <c r="I164" s="8" t="n"/>
      <c r="J164" s="8" t="n"/>
      <c r="K164" s="12">
        <f>IF(OR(ISERROR(VLOOKUP(C164, Resultados_Reales!$A$4:$I$107, 5, FALSE)), ISERROR(VLOOKUP(C164, Resultados_Reales!$A$4:$I$107, 6, FALSE)), VLOOKUP(C164, Resultados_Reales!$A$4:$I$107, 5, FALSE)="", VLOOKUP(C164, Resultados_Reales!$A$4:$I$107, 6, FALSE)=""), 0, IF(AND(VLOOKUP(C164, Resultados_Reales!$A$4:$I$107, 5, FALSE)=G164, VLOOKUP(C164, Resultados_Reales!$A$4:$I$107, 6, FALSE)=H164), Configuracion!$B$5, IF(SIGN(VLOOKUP(C164, Resultados_Reales!$A$4:$I$107, 5, FALSE)-VLOOKUP(C164, Resultados_Reales!$A$4:$I$107, 6, FALSE)) = SIGN(G164-H164), Configuracion!$B$4, 0)))</f>
        <v/>
      </c>
      <c r="L164" s="11" t="n"/>
      <c r="M164" s="11" t="n"/>
      <c r="N164" s="11" t="n"/>
      <c r="O164" s="11" t="n"/>
      <c r="P164" s="11" t="n"/>
      <c r="Q164" s="11" t="n"/>
    </row>
    <row r="165">
      <c r="A165" s="8">
        <f>B165&amp;"_"&amp;C165</f>
        <v/>
      </c>
      <c r="B165" s="8" t="n"/>
      <c r="C165" s="8" t="n"/>
      <c r="D165" s="8" t="n"/>
      <c r="E165" s="11" t="n"/>
      <c r="F165" s="11" t="n"/>
      <c r="G165" s="8" t="n"/>
      <c r="H165" s="8" t="n"/>
      <c r="I165" s="8" t="n"/>
      <c r="J165" s="8" t="n"/>
      <c r="K165" s="12">
        <f>IF(OR(ISERROR(VLOOKUP(C165, Resultados_Reales!$A$4:$I$107, 5, FALSE)), ISERROR(VLOOKUP(C165, Resultados_Reales!$A$4:$I$107, 6, FALSE)), VLOOKUP(C165, Resultados_Reales!$A$4:$I$107, 5, FALSE)="", VLOOKUP(C165, Resultados_Reales!$A$4:$I$107, 6, FALSE)=""), 0, IF(AND(VLOOKUP(C165, Resultados_Reales!$A$4:$I$107, 5, FALSE)=G165, VLOOKUP(C165, Resultados_Reales!$A$4:$I$107, 6, FALSE)=H165), Configuracion!$B$5, IF(SIGN(VLOOKUP(C165, Resultados_Reales!$A$4:$I$107, 5, FALSE)-VLOOKUP(C165, Resultados_Reales!$A$4:$I$107, 6, FALSE)) = SIGN(G165-H165), Configuracion!$B$4, 0)))</f>
        <v/>
      </c>
      <c r="L165" s="11" t="n"/>
      <c r="M165" s="11" t="n"/>
      <c r="N165" s="11" t="n"/>
      <c r="O165" s="11" t="n"/>
      <c r="P165" s="11" t="n"/>
      <c r="Q165" s="11" t="n"/>
    </row>
    <row r="166">
      <c r="A166" s="8">
        <f>B166&amp;"_"&amp;C166</f>
        <v/>
      </c>
      <c r="B166" s="8" t="n"/>
      <c r="C166" s="8" t="n"/>
      <c r="D166" s="8" t="n"/>
      <c r="E166" s="11" t="n"/>
      <c r="F166" s="11" t="n"/>
      <c r="G166" s="8" t="n"/>
      <c r="H166" s="8" t="n"/>
      <c r="I166" s="8" t="n"/>
      <c r="J166" s="8" t="n"/>
      <c r="K166" s="12">
        <f>IF(OR(ISERROR(VLOOKUP(C166, Resultados_Reales!$A$4:$I$107, 5, FALSE)), ISERROR(VLOOKUP(C166, Resultados_Reales!$A$4:$I$107, 6, FALSE)), VLOOKUP(C166, Resultados_Reales!$A$4:$I$107, 5, FALSE)="", VLOOKUP(C166, Resultados_Reales!$A$4:$I$107, 6, FALSE)=""), 0, IF(AND(VLOOKUP(C166, Resultados_Reales!$A$4:$I$107, 5, FALSE)=G166, VLOOKUP(C166, Resultados_Reales!$A$4:$I$107, 6, FALSE)=H166), Configuracion!$B$5, IF(SIGN(VLOOKUP(C166, Resultados_Reales!$A$4:$I$107, 5, FALSE)-VLOOKUP(C166, Resultados_Reales!$A$4:$I$107, 6, FALSE)) = SIGN(G166-H166), Configuracion!$B$4, 0)))</f>
        <v/>
      </c>
      <c r="L166" s="11" t="n"/>
      <c r="M166" s="11" t="n"/>
      <c r="N166" s="11" t="n"/>
      <c r="O166" s="11" t="n"/>
      <c r="P166" s="11" t="n"/>
      <c r="Q166" s="11" t="n"/>
    </row>
    <row r="167">
      <c r="A167" s="8">
        <f>B167&amp;"_"&amp;C167</f>
        <v/>
      </c>
      <c r="B167" s="8" t="n"/>
      <c r="C167" s="8" t="n"/>
      <c r="D167" s="8" t="n"/>
      <c r="E167" s="11" t="n"/>
      <c r="F167" s="11" t="n"/>
      <c r="G167" s="8" t="n"/>
      <c r="H167" s="8" t="n"/>
      <c r="I167" s="8" t="n"/>
      <c r="J167" s="8" t="n"/>
      <c r="K167" s="12">
        <f>IF(OR(ISERROR(VLOOKUP(C167, Resultados_Reales!$A$4:$I$107, 5, FALSE)), ISERROR(VLOOKUP(C167, Resultados_Reales!$A$4:$I$107, 6, FALSE)), VLOOKUP(C167, Resultados_Reales!$A$4:$I$107, 5, FALSE)="", VLOOKUP(C167, Resultados_Reales!$A$4:$I$107, 6, FALSE)=""), 0, IF(AND(VLOOKUP(C167, Resultados_Reales!$A$4:$I$107, 5, FALSE)=G167, VLOOKUP(C167, Resultados_Reales!$A$4:$I$107, 6, FALSE)=H167), Configuracion!$B$5, IF(SIGN(VLOOKUP(C167, Resultados_Reales!$A$4:$I$107, 5, FALSE)-VLOOKUP(C167, Resultados_Reales!$A$4:$I$107, 6, FALSE)) = SIGN(G167-H167), Configuracion!$B$4, 0)))</f>
        <v/>
      </c>
      <c r="L167" s="11" t="n"/>
      <c r="M167" s="11" t="n"/>
      <c r="N167" s="11" t="n"/>
      <c r="O167" s="11" t="n"/>
      <c r="P167" s="11" t="n"/>
      <c r="Q167" s="11" t="n"/>
    </row>
    <row r="168">
      <c r="A168" s="8">
        <f>B168&amp;"_"&amp;C168</f>
        <v/>
      </c>
      <c r="B168" s="8" t="n"/>
      <c r="C168" s="8" t="n"/>
      <c r="D168" s="8" t="n"/>
      <c r="E168" s="11" t="n"/>
      <c r="F168" s="11" t="n"/>
      <c r="G168" s="8" t="n"/>
      <c r="H168" s="8" t="n"/>
      <c r="I168" s="8" t="n"/>
      <c r="J168" s="8" t="n"/>
      <c r="K168" s="12">
        <f>IF(OR(ISERROR(VLOOKUP(C168, Resultados_Reales!$A$4:$I$107, 5, FALSE)), ISERROR(VLOOKUP(C168, Resultados_Reales!$A$4:$I$107, 6, FALSE)), VLOOKUP(C168, Resultados_Reales!$A$4:$I$107, 5, FALSE)="", VLOOKUP(C168, Resultados_Reales!$A$4:$I$107, 6, FALSE)=""), 0, IF(AND(VLOOKUP(C168, Resultados_Reales!$A$4:$I$107, 5, FALSE)=G168, VLOOKUP(C168, Resultados_Reales!$A$4:$I$107, 6, FALSE)=H168), Configuracion!$B$5, IF(SIGN(VLOOKUP(C168, Resultados_Reales!$A$4:$I$107, 5, FALSE)-VLOOKUP(C168, Resultados_Reales!$A$4:$I$107, 6, FALSE)) = SIGN(G168-H168), Configuracion!$B$4, 0)))</f>
        <v/>
      </c>
      <c r="L168" s="11" t="n"/>
      <c r="M168" s="11" t="n"/>
      <c r="N168" s="11" t="n"/>
      <c r="O168" s="11" t="n"/>
      <c r="P168" s="11" t="n"/>
      <c r="Q168" s="11" t="n"/>
    </row>
    <row r="169">
      <c r="A169" s="8">
        <f>B169&amp;"_"&amp;C169</f>
        <v/>
      </c>
      <c r="B169" s="8" t="n"/>
      <c r="C169" s="8" t="n"/>
      <c r="D169" s="8" t="n"/>
      <c r="E169" s="11" t="n"/>
      <c r="F169" s="11" t="n"/>
      <c r="G169" s="8" t="n"/>
      <c r="H169" s="8" t="n"/>
      <c r="I169" s="8" t="n"/>
      <c r="J169" s="8" t="n"/>
      <c r="K169" s="12">
        <f>IF(OR(ISERROR(VLOOKUP(C169, Resultados_Reales!$A$4:$I$107, 5, FALSE)), ISERROR(VLOOKUP(C169, Resultados_Reales!$A$4:$I$107, 6, FALSE)), VLOOKUP(C169, Resultados_Reales!$A$4:$I$107, 5, FALSE)="", VLOOKUP(C169, Resultados_Reales!$A$4:$I$107, 6, FALSE)=""), 0, IF(AND(VLOOKUP(C169, Resultados_Reales!$A$4:$I$107, 5, FALSE)=G169, VLOOKUP(C169, Resultados_Reales!$A$4:$I$107, 6, FALSE)=H169), Configuracion!$B$5, IF(SIGN(VLOOKUP(C169, Resultados_Reales!$A$4:$I$107, 5, FALSE)-VLOOKUP(C169, Resultados_Reales!$A$4:$I$107, 6, FALSE)) = SIGN(G169-H169), Configuracion!$B$4, 0)))</f>
        <v/>
      </c>
      <c r="L169" s="11" t="n"/>
      <c r="M169" s="11" t="n"/>
      <c r="N169" s="11" t="n"/>
      <c r="O169" s="11" t="n"/>
      <c r="P169" s="11" t="n"/>
      <c r="Q169" s="11" t="n"/>
    </row>
    <row r="170">
      <c r="A170" s="8">
        <f>B170&amp;"_"&amp;C170</f>
        <v/>
      </c>
      <c r="B170" s="8" t="n"/>
      <c r="C170" s="8" t="n"/>
      <c r="D170" s="8" t="n"/>
      <c r="E170" s="11" t="n"/>
      <c r="F170" s="11" t="n"/>
      <c r="G170" s="8" t="n"/>
      <c r="H170" s="8" t="n"/>
      <c r="I170" s="8" t="n"/>
      <c r="J170" s="8" t="n"/>
      <c r="K170" s="12">
        <f>IF(OR(ISERROR(VLOOKUP(C170, Resultados_Reales!$A$4:$I$107, 5, FALSE)), ISERROR(VLOOKUP(C170, Resultados_Reales!$A$4:$I$107, 6, FALSE)), VLOOKUP(C170, Resultados_Reales!$A$4:$I$107, 5, FALSE)="", VLOOKUP(C170, Resultados_Reales!$A$4:$I$107, 6, FALSE)=""), 0, IF(AND(VLOOKUP(C170, Resultados_Reales!$A$4:$I$107, 5, FALSE)=G170, VLOOKUP(C170, Resultados_Reales!$A$4:$I$107, 6, FALSE)=H170), Configuracion!$B$5, IF(SIGN(VLOOKUP(C170, Resultados_Reales!$A$4:$I$107, 5, FALSE)-VLOOKUP(C170, Resultados_Reales!$A$4:$I$107, 6, FALSE)) = SIGN(G170-H170), Configuracion!$B$4, 0)))</f>
        <v/>
      </c>
      <c r="L170" s="11" t="n"/>
      <c r="M170" s="11" t="n"/>
      <c r="N170" s="11" t="n"/>
      <c r="O170" s="11" t="n"/>
      <c r="P170" s="11" t="n"/>
      <c r="Q170" s="11" t="n"/>
    </row>
    <row r="171">
      <c r="A171" s="8">
        <f>B171&amp;"_"&amp;C171</f>
        <v/>
      </c>
      <c r="B171" s="8" t="n"/>
      <c r="C171" s="8" t="n"/>
      <c r="D171" s="8" t="n"/>
      <c r="E171" s="11" t="n"/>
      <c r="F171" s="11" t="n"/>
      <c r="G171" s="8" t="n"/>
      <c r="H171" s="8" t="n"/>
      <c r="I171" s="8" t="n"/>
      <c r="J171" s="8" t="n"/>
      <c r="K171" s="12">
        <f>IF(OR(ISERROR(VLOOKUP(C171, Resultados_Reales!$A$4:$I$107, 5, FALSE)), ISERROR(VLOOKUP(C171, Resultados_Reales!$A$4:$I$107, 6, FALSE)), VLOOKUP(C171, Resultados_Reales!$A$4:$I$107, 5, FALSE)="", VLOOKUP(C171, Resultados_Reales!$A$4:$I$107, 6, FALSE)=""), 0, IF(AND(VLOOKUP(C171, Resultados_Reales!$A$4:$I$107, 5, FALSE)=G171, VLOOKUP(C171, Resultados_Reales!$A$4:$I$107, 6, FALSE)=H171), Configuracion!$B$5, IF(SIGN(VLOOKUP(C171, Resultados_Reales!$A$4:$I$107, 5, FALSE)-VLOOKUP(C171, Resultados_Reales!$A$4:$I$107, 6, FALSE)) = SIGN(G171-H171), Configuracion!$B$4, 0)))</f>
        <v/>
      </c>
      <c r="L171" s="11" t="n"/>
      <c r="M171" s="11" t="n"/>
      <c r="N171" s="11" t="n"/>
      <c r="O171" s="11" t="n"/>
      <c r="P171" s="11" t="n"/>
      <c r="Q171" s="11" t="n"/>
    </row>
    <row r="172">
      <c r="A172" s="8">
        <f>B172&amp;"_"&amp;C172</f>
        <v/>
      </c>
      <c r="B172" s="8" t="n"/>
      <c r="C172" s="8" t="n"/>
      <c r="D172" s="8" t="n"/>
      <c r="E172" s="11" t="n"/>
      <c r="F172" s="11" t="n"/>
      <c r="G172" s="8" t="n"/>
      <c r="H172" s="8" t="n"/>
      <c r="I172" s="8" t="n"/>
      <c r="J172" s="8" t="n"/>
      <c r="K172" s="12">
        <f>IF(OR(ISERROR(VLOOKUP(C172, Resultados_Reales!$A$4:$I$107, 5, FALSE)), ISERROR(VLOOKUP(C172, Resultados_Reales!$A$4:$I$107, 6, FALSE)), VLOOKUP(C172, Resultados_Reales!$A$4:$I$107, 5, FALSE)="", VLOOKUP(C172, Resultados_Reales!$A$4:$I$107, 6, FALSE)=""), 0, IF(AND(VLOOKUP(C172, Resultados_Reales!$A$4:$I$107, 5, FALSE)=G172, VLOOKUP(C172, Resultados_Reales!$A$4:$I$107, 6, FALSE)=H172), Configuracion!$B$5, IF(SIGN(VLOOKUP(C172, Resultados_Reales!$A$4:$I$107, 5, FALSE)-VLOOKUP(C172, Resultados_Reales!$A$4:$I$107, 6, FALSE)) = SIGN(G172-H172), Configuracion!$B$4, 0)))</f>
        <v/>
      </c>
      <c r="L172" s="11" t="n"/>
      <c r="M172" s="11" t="n"/>
      <c r="N172" s="11" t="n"/>
      <c r="O172" s="11" t="n"/>
      <c r="P172" s="11" t="n"/>
      <c r="Q172" s="11" t="n"/>
    </row>
    <row r="173">
      <c r="A173" s="8">
        <f>B173&amp;"_"&amp;C173</f>
        <v/>
      </c>
      <c r="B173" s="8" t="n"/>
      <c r="C173" s="8" t="n"/>
      <c r="D173" s="8" t="n"/>
      <c r="E173" s="11" t="n"/>
      <c r="F173" s="11" t="n"/>
      <c r="G173" s="8" t="n"/>
      <c r="H173" s="8" t="n"/>
      <c r="I173" s="8" t="n"/>
      <c r="J173" s="8" t="n"/>
      <c r="K173" s="12">
        <f>IF(OR(ISERROR(VLOOKUP(C173, Resultados_Reales!$A$4:$I$107, 5, FALSE)), ISERROR(VLOOKUP(C173, Resultados_Reales!$A$4:$I$107, 6, FALSE)), VLOOKUP(C173, Resultados_Reales!$A$4:$I$107, 5, FALSE)="", VLOOKUP(C173, Resultados_Reales!$A$4:$I$107, 6, FALSE)=""), 0, IF(AND(VLOOKUP(C173, Resultados_Reales!$A$4:$I$107, 5, FALSE)=G173, VLOOKUP(C173, Resultados_Reales!$A$4:$I$107, 6, FALSE)=H173), Configuracion!$B$5, IF(SIGN(VLOOKUP(C173, Resultados_Reales!$A$4:$I$107, 5, FALSE)-VLOOKUP(C173, Resultados_Reales!$A$4:$I$107, 6, FALSE)) = SIGN(G173-H173), Configuracion!$B$4, 0)))</f>
        <v/>
      </c>
      <c r="L173" s="11" t="n"/>
      <c r="M173" s="11" t="n"/>
      <c r="N173" s="11" t="n"/>
      <c r="O173" s="11" t="n"/>
      <c r="P173" s="11" t="n"/>
      <c r="Q173" s="11" t="n"/>
    </row>
    <row r="174">
      <c r="A174" s="8">
        <f>B174&amp;"_"&amp;C174</f>
        <v/>
      </c>
      <c r="B174" s="8" t="n"/>
      <c r="C174" s="8" t="n"/>
      <c r="D174" s="8" t="n"/>
      <c r="E174" s="11" t="n"/>
      <c r="F174" s="11" t="n"/>
      <c r="G174" s="8" t="n"/>
      <c r="H174" s="8" t="n"/>
      <c r="I174" s="8" t="n"/>
      <c r="J174" s="8" t="n"/>
      <c r="K174" s="12">
        <f>IF(OR(ISERROR(VLOOKUP(C174, Resultados_Reales!$A$4:$I$107, 5, FALSE)), ISERROR(VLOOKUP(C174, Resultados_Reales!$A$4:$I$107, 6, FALSE)), VLOOKUP(C174, Resultados_Reales!$A$4:$I$107, 5, FALSE)="", VLOOKUP(C174, Resultados_Reales!$A$4:$I$107, 6, FALSE)=""), 0, IF(AND(VLOOKUP(C174, Resultados_Reales!$A$4:$I$107, 5, FALSE)=G174, VLOOKUP(C174, Resultados_Reales!$A$4:$I$107, 6, FALSE)=H174), Configuracion!$B$5, IF(SIGN(VLOOKUP(C174, Resultados_Reales!$A$4:$I$107, 5, FALSE)-VLOOKUP(C174, Resultados_Reales!$A$4:$I$107, 6, FALSE)) = SIGN(G174-H174), Configuracion!$B$4, 0)))</f>
        <v/>
      </c>
      <c r="L174" s="11" t="n"/>
      <c r="M174" s="11" t="n"/>
      <c r="N174" s="11" t="n"/>
      <c r="O174" s="11" t="n"/>
      <c r="P174" s="11" t="n"/>
      <c r="Q174" s="11" t="n"/>
    </row>
    <row r="175">
      <c r="A175" s="8">
        <f>B175&amp;"_"&amp;C175</f>
        <v/>
      </c>
      <c r="B175" s="8" t="n"/>
      <c r="C175" s="8" t="n"/>
      <c r="D175" s="8" t="n"/>
      <c r="E175" s="11" t="n"/>
      <c r="F175" s="11" t="n"/>
      <c r="G175" s="8" t="n"/>
      <c r="H175" s="8" t="n"/>
      <c r="I175" s="8" t="n"/>
      <c r="J175" s="8" t="n"/>
      <c r="K175" s="12">
        <f>IF(OR(ISERROR(VLOOKUP(C175, Resultados_Reales!$A$4:$I$107, 5, FALSE)), ISERROR(VLOOKUP(C175, Resultados_Reales!$A$4:$I$107, 6, FALSE)), VLOOKUP(C175, Resultados_Reales!$A$4:$I$107, 5, FALSE)="", VLOOKUP(C175, Resultados_Reales!$A$4:$I$107, 6, FALSE)=""), 0, IF(AND(VLOOKUP(C175, Resultados_Reales!$A$4:$I$107, 5, FALSE)=G175, VLOOKUP(C175, Resultados_Reales!$A$4:$I$107, 6, FALSE)=H175), Configuracion!$B$5, IF(SIGN(VLOOKUP(C175, Resultados_Reales!$A$4:$I$107, 5, FALSE)-VLOOKUP(C175, Resultados_Reales!$A$4:$I$107, 6, FALSE)) = SIGN(G175-H175), Configuracion!$B$4, 0)))</f>
        <v/>
      </c>
      <c r="L175" s="11" t="n"/>
      <c r="M175" s="11" t="n"/>
      <c r="N175" s="11" t="n"/>
      <c r="O175" s="11" t="n"/>
      <c r="P175" s="11" t="n"/>
      <c r="Q175" s="11" t="n"/>
    </row>
    <row r="176">
      <c r="A176" s="8">
        <f>B176&amp;"_"&amp;C176</f>
        <v/>
      </c>
      <c r="B176" s="8" t="n"/>
      <c r="C176" s="8" t="n"/>
      <c r="D176" s="8" t="n"/>
      <c r="E176" s="11" t="n"/>
      <c r="F176" s="11" t="n"/>
      <c r="G176" s="8" t="n"/>
      <c r="H176" s="8" t="n"/>
      <c r="I176" s="8" t="n"/>
      <c r="J176" s="8" t="n"/>
      <c r="K176" s="12">
        <f>IF(OR(ISERROR(VLOOKUP(C176, Resultados_Reales!$A$4:$I$107, 5, FALSE)), ISERROR(VLOOKUP(C176, Resultados_Reales!$A$4:$I$107, 6, FALSE)), VLOOKUP(C176, Resultados_Reales!$A$4:$I$107, 5, FALSE)="", VLOOKUP(C176, Resultados_Reales!$A$4:$I$107, 6, FALSE)=""), 0, IF(AND(VLOOKUP(C176, Resultados_Reales!$A$4:$I$107, 5, FALSE)=G176, VLOOKUP(C176, Resultados_Reales!$A$4:$I$107, 6, FALSE)=H176), Configuracion!$B$5, IF(SIGN(VLOOKUP(C176, Resultados_Reales!$A$4:$I$107, 5, FALSE)-VLOOKUP(C176, Resultados_Reales!$A$4:$I$107, 6, FALSE)) = SIGN(G176-H176), Configuracion!$B$4, 0)))</f>
        <v/>
      </c>
      <c r="L176" s="11" t="n"/>
      <c r="M176" s="11" t="n"/>
      <c r="N176" s="11" t="n"/>
      <c r="O176" s="11" t="n"/>
      <c r="P176" s="11" t="n"/>
      <c r="Q176" s="11" t="n"/>
    </row>
    <row r="177">
      <c r="A177" s="8">
        <f>B177&amp;"_"&amp;C177</f>
        <v/>
      </c>
      <c r="B177" s="8" t="n"/>
      <c r="C177" s="8" t="n"/>
      <c r="D177" s="8" t="n"/>
      <c r="E177" s="11" t="n"/>
      <c r="F177" s="11" t="n"/>
      <c r="G177" s="8" t="n"/>
      <c r="H177" s="8" t="n"/>
      <c r="I177" s="8" t="n"/>
      <c r="J177" s="8" t="n"/>
      <c r="K177" s="12">
        <f>IF(OR(ISERROR(VLOOKUP(C177, Resultados_Reales!$A$4:$I$107, 5, FALSE)), ISERROR(VLOOKUP(C177, Resultados_Reales!$A$4:$I$107, 6, FALSE)), VLOOKUP(C177, Resultados_Reales!$A$4:$I$107, 5, FALSE)="", VLOOKUP(C177, Resultados_Reales!$A$4:$I$107, 6, FALSE)=""), 0, IF(AND(VLOOKUP(C177, Resultados_Reales!$A$4:$I$107, 5, FALSE)=G177, VLOOKUP(C177, Resultados_Reales!$A$4:$I$107, 6, FALSE)=H177), Configuracion!$B$5, IF(SIGN(VLOOKUP(C177, Resultados_Reales!$A$4:$I$107, 5, FALSE)-VLOOKUP(C177, Resultados_Reales!$A$4:$I$107, 6, FALSE)) = SIGN(G177-H177), Configuracion!$B$4, 0)))</f>
        <v/>
      </c>
      <c r="L177" s="11" t="n"/>
      <c r="M177" s="11" t="n"/>
      <c r="N177" s="11" t="n"/>
      <c r="O177" s="11" t="n"/>
      <c r="P177" s="11" t="n"/>
      <c r="Q177" s="11" t="n"/>
    </row>
    <row r="178">
      <c r="A178" s="8">
        <f>B178&amp;"_"&amp;C178</f>
        <v/>
      </c>
      <c r="B178" s="8" t="n"/>
      <c r="C178" s="8" t="n"/>
      <c r="D178" s="8" t="n"/>
      <c r="E178" s="11" t="n"/>
      <c r="F178" s="11" t="n"/>
      <c r="G178" s="8" t="n"/>
      <c r="H178" s="8" t="n"/>
      <c r="I178" s="8" t="n"/>
      <c r="J178" s="8" t="n"/>
      <c r="K178" s="12">
        <f>IF(OR(ISERROR(VLOOKUP(C178, Resultados_Reales!$A$4:$I$107, 5, FALSE)), ISERROR(VLOOKUP(C178, Resultados_Reales!$A$4:$I$107, 6, FALSE)), VLOOKUP(C178, Resultados_Reales!$A$4:$I$107, 5, FALSE)="", VLOOKUP(C178, Resultados_Reales!$A$4:$I$107, 6, FALSE)=""), 0, IF(AND(VLOOKUP(C178, Resultados_Reales!$A$4:$I$107, 5, FALSE)=G178, VLOOKUP(C178, Resultados_Reales!$A$4:$I$107, 6, FALSE)=H178), Configuracion!$B$5, IF(SIGN(VLOOKUP(C178, Resultados_Reales!$A$4:$I$107, 5, FALSE)-VLOOKUP(C178, Resultados_Reales!$A$4:$I$107, 6, FALSE)) = SIGN(G178-H178), Configuracion!$B$4, 0)))</f>
        <v/>
      </c>
      <c r="L178" s="11" t="n"/>
      <c r="M178" s="11" t="n"/>
      <c r="N178" s="11" t="n"/>
      <c r="O178" s="11" t="n"/>
      <c r="P178" s="11" t="n"/>
      <c r="Q178" s="11" t="n"/>
    </row>
    <row r="179">
      <c r="A179" s="8">
        <f>B179&amp;"_"&amp;C179</f>
        <v/>
      </c>
      <c r="B179" s="8" t="n"/>
      <c r="C179" s="8" t="n"/>
      <c r="D179" s="8" t="n"/>
      <c r="E179" s="11" t="n"/>
      <c r="F179" s="11" t="n"/>
      <c r="G179" s="8" t="n"/>
      <c r="H179" s="8" t="n"/>
      <c r="I179" s="8" t="n"/>
      <c r="J179" s="8" t="n"/>
      <c r="K179" s="12">
        <f>IF(OR(ISERROR(VLOOKUP(C179, Resultados_Reales!$A$4:$I$107, 5, FALSE)), ISERROR(VLOOKUP(C179, Resultados_Reales!$A$4:$I$107, 6, FALSE)), VLOOKUP(C179, Resultados_Reales!$A$4:$I$107, 5, FALSE)="", VLOOKUP(C179, Resultados_Reales!$A$4:$I$107, 6, FALSE)=""), 0, IF(AND(VLOOKUP(C179, Resultados_Reales!$A$4:$I$107, 5, FALSE)=G179, VLOOKUP(C179, Resultados_Reales!$A$4:$I$107, 6, FALSE)=H179), Configuracion!$B$5, IF(SIGN(VLOOKUP(C179, Resultados_Reales!$A$4:$I$107, 5, FALSE)-VLOOKUP(C179, Resultados_Reales!$A$4:$I$107, 6, FALSE)) = SIGN(G179-H179), Configuracion!$B$4, 0)))</f>
        <v/>
      </c>
      <c r="L179" s="11" t="n"/>
      <c r="M179" s="11" t="n"/>
      <c r="N179" s="11" t="n"/>
      <c r="O179" s="11" t="n"/>
      <c r="P179" s="11" t="n"/>
      <c r="Q179" s="11" t="n"/>
    </row>
    <row r="180">
      <c r="A180" s="8">
        <f>B180&amp;"_"&amp;C180</f>
        <v/>
      </c>
      <c r="B180" s="8" t="n"/>
      <c r="C180" s="8" t="n"/>
      <c r="D180" s="8" t="n"/>
      <c r="E180" s="11" t="n"/>
      <c r="F180" s="11" t="n"/>
      <c r="G180" s="8" t="n"/>
      <c r="H180" s="8" t="n"/>
      <c r="I180" s="8" t="n"/>
      <c r="J180" s="8" t="n"/>
      <c r="K180" s="12">
        <f>IF(OR(ISERROR(VLOOKUP(C180, Resultados_Reales!$A$4:$I$107, 5, FALSE)), ISERROR(VLOOKUP(C180, Resultados_Reales!$A$4:$I$107, 6, FALSE)), VLOOKUP(C180, Resultados_Reales!$A$4:$I$107, 5, FALSE)="", VLOOKUP(C180, Resultados_Reales!$A$4:$I$107, 6, FALSE)=""), 0, IF(AND(VLOOKUP(C180, Resultados_Reales!$A$4:$I$107, 5, FALSE)=G180, VLOOKUP(C180, Resultados_Reales!$A$4:$I$107, 6, FALSE)=H180), Configuracion!$B$5, IF(SIGN(VLOOKUP(C180, Resultados_Reales!$A$4:$I$107, 5, FALSE)-VLOOKUP(C180, Resultados_Reales!$A$4:$I$107, 6, FALSE)) = SIGN(G180-H180), Configuracion!$B$4, 0)))</f>
        <v/>
      </c>
      <c r="L180" s="11" t="n"/>
      <c r="M180" s="11" t="n"/>
      <c r="N180" s="11" t="n"/>
      <c r="O180" s="11" t="n"/>
      <c r="P180" s="11" t="n"/>
      <c r="Q180" s="11" t="n"/>
    </row>
    <row r="181">
      <c r="A181" s="8">
        <f>B181&amp;"_"&amp;C181</f>
        <v/>
      </c>
      <c r="B181" s="8" t="n"/>
      <c r="C181" s="8" t="n"/>
      <c r="D181" s="8" t="n"/>
      <c r="E181" s="11" t="n"/>
      <c r="F181" s="11" t="n"/>
      <c r="G181" s="8" t="n"/>
      <c r="H181" s="8" t="n"/>
      <c r="I181" s="8" t="n"/>
      <c r="J181" s="8" t="n"/>
      <c r="K181" s="12">
        <f>IF(OR(ISERROR(VLOOKUP(C181, Resultados_Reales!$A$4:$I$107, 5, FALSE)), ISERROR(VLOOKUP(C181, Resultados_Reales!$A$4:$I$107, 6, FALSE)), VLOOKUP(C181, Resultados_Reales!$A$4:$I$107, 5, FALSE)="", VLOOKUP(C181, Resultados_Reales!$A$4:$I$107, 6, FALSE)=""), 0, IF(AND(VLOOKUP(C181, Resultados_Reales!$A$4:$I$107, 5, FALSE)=G181, VLOOKUP(C181, Resultados_Reales!$A$4:$I$107, 6, FALSE)=H181), Configuracion!$B$5, IF(SIGN(VLOOKUP(C181, Resultados_Reales!$A$4:$I$107, 5, FALSE)-VLOOKUP(C181, Resultados_Reales!$A$4:$I$107, 6, FALSE)) = SIGN(G181-H181), Configuracion!$B$4, 0)))</f>
        <v/>
      </c>
      <c r="L181" s="11" t="n"/>
      <c r="M181" s="11" t="n"/>
      <c r="N181" s="11" t="n"/>
      <c r="O181" s="11" t="n"/>
      <c r="P181" s="11" t="n"/>
      <c r="Q181" s="11" t="n"/>
    </row>
    <row r="182">
      <c r="A182" s="8">
        <f>B182&amp;"_"&amp;C182</f>
        <v/>
      </c>
      <c r="B182" s="8" t="n"/>
      <c r="C182" s="8" t="n"/>
      <c r="D182" s="8" t="n"/>
      <c r="E182" s="11" t="n"/>
      <c r="F182" s="11" t="n"/>
      <c r="G182" s="8" t="n"/>
      <c r="H182" s="8" t="n"/>
      <c r="I182" s="8" t="n"/>
      <c r="J182" s="8" t="n"/>
      <c r="K182" s="12">
        <f>IF(OR(ISERROR(VLOOKUP(C182, Resultados_Reales!$A$4:$I$107, 5, FALSE)), ISERROR(VLOOKUP(C182, Resultados_Reales!$A$4:$I$107, 6, FALSE)), VLOOKUP(C182, Resultados_Reales!$A$4:$I$107, 5, FALSE)="", VLOOKUP(C182, Resultados_Reales!$A$4:$I$107, 6, FALSE)=""), 0, IF(AND(VLOOKUP(C182, Resultados_Reales!$A$4:$I$107, 5, FALSE)=G182, VLOOKUP(C182, Resultados_Reales!$A$4:$I$107, 6, FALSE)=H182), Configuracion!$B$5, IF(SIGN(VLOOKUP(C182, Resultados_Reales!$A$4:$I$107, 5, FALSE)-VLOOKUP(C182, Resultados_Reales!$A$4:$I$107, 6, FALSE)) = SIGN(G182-H182), Configuracion!$B$4, 0)))</f>
        <v/>
      </c>
      <c r="L182" s="11" t="n"/>
      <c r="M182" s="11" t="n"/>
      <c r="N182" s="11" t="n"/>
      <c r="O182" s="11" t="n"/>
      <c r="P182" s="11" t="n"/>
      <c r="Q182" s="11" t="n"/>
    </row>
    <row r="183">
      <c r="A183" s="8">
        <f>B183&amp;"_"&amp;C183</f>
        <v/>
      </c>
      <c r="B183" s="8" t="n"/>
      <c r="C183" s="8" t="n"/>
      <c r="D183" s="8" t="n"/>
      <c r="E183" s="11" t="n"/>
      <c r="F183" s="11" t="n"/>
      <c r="G183" s="8" t="n"/>
      <c r="H183" s="8" t="n"/>
      <c r="I183" s="8" t="n"/>
      <c r="J183" s="8" t="n"/>
      <c r="K183" s="12">
        <f>IF(OR(ISERROR(VLOOKUP(C183, Resultados_Reales!$A$4:$I$107, 5, FALSE)), ISERROR(VLOOKUP(C183, Resultados_Reales!$A$4:$I$107, 6, FALSE)), VLOOKUP(C183, Resultados_Reales!$A$4:$I$107, 5, FALSE)="", VLOOKUP(C183, Resultados_Reales!$A$4:$I$107, 6, FALSE)=""), 0, IF(AND(VLOOKUP(C183, Resultados_Reales!$A$4:$I$107, 5, FALSE)=G183, VLOOKUP(C183, Resultados_Reales!$A$4:$I$107, 6, FALSE)=H183), Configuracion!$B$5, IF(SIGN(VLOOKUP(C183, Resultados_Reales!$A$4:$I$107, 5, FALSE)-VLOOKUP(C183, Resultados_Reales!$A$4:$I$107, 6, FALSE)) = SIGN(G183-H183), Configuracion!$B$4, 0)))</f>
        <v/>
      </c>
      <c r="L183" s="11" t="n"/>
      <c r="M183" s="11" t="n"/>
      <c r="N183" s="11" t="n"/>
      <c r="O183" s="11" t="n"/>
      <c r="P183" s="11" t="n"/>
      <c r="Q183" s="11" t="n"/>
    </row>
    <row r="184">
      <c r="A184" s="8">
        <f>B184&amp;"_"&amp;C184</f>
        <v/>
      </c>
      <c r="B184" s="8" t="n"/>
      <c r="C184" s="8" t="n"/>
      <c r="D184" s="8" t="n"/>
      <c r="E184" s="11" t="n"/>
      <c r="F184" s="11" t="n"/>
      <c r="G184" s="8" t="n"/>
      <c r="H184" s="8" t="n"/>
      <c r="I184" s="8" t="n"/>
      <c r="J184" s="8" t="n"/>
      <c r="K184" s="12">
        <f>IF(OR(ISERROR(VLOOKUP(C184, Resultados_Reales!$A$4:$I$107, 5, FALSE)), ISERROR(VLOOKUP(C184, Resultados_Reales!$A$4:$I$107, 6, FALSE)), VLOOKUP(C184, Resultados_Reales!$A$4:$I$107, 5, FALSE)="", VLOOKUP(C184, Resultados_Reales!$A$4:$I$107, 6, FALSE)=""), 0, IF(AND(VLOOKUP(C184, Resultados_Reales!$A$4:$I$107, 5, FALSE)=G184, VLOOKUP(C184, Resultados_Reales!$A$4:$I$107, 6, FALSE)=H184), Configuracion!$B$5, IF(SIGN(VLOOKUP(C184, Resultados_Reales!$A$4:$I$107, 5, FALSE)-VLOOKUP(C184, Resultados_Reales!$A$4:$I$107, 6, FALSE)) = SIGN(G184-H184), Configuracion!$B$4, 0)))</f>
        <v/>
      </c>
      <c r="L184" s="11" t="n"/>
      <c r="M184" s="11" t="n"/>
      <c r="N184" s="11" t="n"/>
      <c r="O184" s="11" t="n"/>
      <c r="P184" s="11" t="n"/>
      <c r="Q184" s="11" t="n"/>
    </row>
    <row r="185">
      <c r="A185" s="8">
        <f>B185&amp;"_"&amp;C185</f>
        <v/>
      </c>
      <c r="B185" s="8" t="n"/>
      <c r="C185" s="8" t="n"/>
      <c r="D185" s="8" t="n"/>
      <c r="E185" s="11" t="n"/>
      <c r="F185" s="11" t="n"/>
      <c r="G185" s="8" t="n"/>
      <c r="H185" s="8" t="n"/>
      <c r="I185" s="8" t="n"/>
      <c r="J185" s="8" t="n"/>
      <c r="K185" s="12">
        <f>IF(OR(ISERROR(VLOOKUP(C185, Resultados_Reales!$A$4:$I$107, 5, FALSE)), ISERROR(VLOOKUP(C185, Resultados_Reales!$A$4:$I$107, 6, FALSE)), VLOOKUP(C185, Resultados_Reales!$A$4:$I$107, 5, FALSE)="", VLOOKUP(C185, Resultados_Reales!$A$4:$I$107, 6, FALSE)=""), 0, IF(AND(VLOOKUP(C185, Resultados_Reales!$A$4:$I$107, 5, FALSE)=G185, VLOOKUP(C185, Resultados_Reales!$A$4:$I$107, 6, FALSE)=H185), Configuracion!$B$5, IF(SIGN(VLOOKUP(C185, Resultados_Reales!$A$4:$I$107, 5, FALSE)-VLOOKUP(C185, Resultados_Reales!$A$4:$I$107, 6, FALSE)) = SIGN(G185-H185), Configuracion!$B$4, 0)))</f>
        <v/>
      </c>
      <c r="L185" s="11" t="n"/>
      <c r="M185" s="11" t="n"/>
      <c r="N185" s="11" t="n"/>
      <c r="O185" s="11" t="n"/>
      <c r="P185" s="11" t="n"/>
      <c r="Q185" s="11" t="n"/>
    </row>
    <row r="186">
      <c r="A186" s="8">
        <f>B186&amp;"_"&amp;C186</f>
        <v/>
      </c>
      <c r="B186" s="8" t="n"/>
      <c r="C186" s="8" t="n"/>
      <c r="D186" s="8" t="n"/>
      <c r="E186" s="11" t="n"/>
      <c r="F186" s="11" t="n"/>
      <c r="G186" s="8" t="n"/>
      <c r="H186" s="8" t="n"/>
      <c r="I186" s="8" t="n"/>
      <c r="J186" s="8" t="n"/>
      <c r="K186" s="12">
        <f>IF(OR(ISERROR(VLOOKUP(C186, Resultados_Reales!$A$4:$I$107, 5, FALSE)), ISERROR(VLOOKUP(C186, Resultados_Reales!$A$4:$I$107, 6, FALSE)), VLOOKUP(C186, Resultados_Reales!$A$4:$I$107, 5, FALSE)="", VLOOKUP(C186, Resultados_Reales!$A$4:$I$107, 6, FALSE)=""), 0, IF(AND(VLOOKUP(C186, Resultados_Reales!$A$4:$I$107, 5, FALSE)=G186, VLOOKUP(C186, Resultados_Reales!$A$4:$I$107, 6, FALSE)=H186), Configuracion!$B$5, IF(SIGN(VLOOKUP(C186, Resultados_Reales!$A$4:$I$107, 5, FALSE)-VLOOKUP(C186, Resultados_Reales!$A$4:$I$107, 6, FALSE)) = SIGN(G186-H186), Configuracion!$B$4, 0)))</f>
        <v/>
      </c>
      <c r="L186" s="11" t="n"/>
      <c r="M186" s="11" t="n"/>
      <c r="N186" s="11" t="n"/>
      <c r="O186" s="11" t="n"/>
      <c r="P186" s="11" t="n"/>
      <c r="Q186" s="11" t="n"/>
    </row>
    <row r="187">
      <c r="A187" s="8">
        <f>B187&amp;"_"&amp;C187</f>
        <v/>
      </c>
      <c r="B187" s="8" t="n"/>
      <c r="C187" s="8" t="n"/>
      <c r="D187" s="8" t="n"/>
      <c r="E187" s="11" t="n"/>
      <c r="F187" s="11" t="n"/>
      <c r="G187" s="8" t="n"/>
      <c r="H187" s="8" t="n"/>
      <c r="I187" s="8" t="n"/>
      <c r="J187" s="8" t="n"/>
      <c r="K187" s="12">
        <f>IF(OR(ISERROR(VLOOKUP(C187, Resultados_Reales!$A$4:$I$107, 5, FALSE)), ISERROR(VLOOKUP(C187, Resultados_Reales!$A$4:$I$107, 6, FALSE)), VLOOKUP(C187, Resultados_Reales!$A$4:$I$107, 5, FALSE)="", VLOOKUP(C187, Resultados_Reales!$A$4:$I$107, 6, FALSE)=""), 0, IF(AND(VLOOKUP(C187, Resultados_Reales!$A$4:$I$107, 5, FALSE)=G187, VLOOKUP(C187, Resultados_Reales!$A$4:$I$107, 6, FALSE)=H187), Configuracion!$B$5, IF(SIGN(VLOOKUP(C187, Resultados_Reales!$A$4:$I$107, 5, FALSE)-VLOOKUP(C187, Resultados_Reales!$A$4:$I$107, 6, FALSE)) = SIGN(G187-H187), Configuracion!$B$4, 0)))</f>
        <v/>
      </c>
      <c r="L187" s="11" t="n"/>
      <c r="M187" s="11" t="n"/>
      <c r="N187" s="11" t="n"/>
      <c r="O187" s="11" t="n"/>
      <c r="P187" s="11" t="n"/>
      <c r="Q187" s="11" t="n"/>
    </row>
    <row r="188">
      <c r="A188" s="8">
        <f>B188&amp;"_"&amp;C188</f>
        <v/>
      </c>
      <c r="B188" s="8" t="n"/>
      <c r="C188" s="8" t="n"/>
      <c r="D188" s="8" t="n"/>
      <c r="E188" s="11" t="n"/>
      <c r="F188" s="11" t="n"/>
      <c r="G188" s="8" t="n"/>
      <c r="H188" s="8" t="n"/>
      <c r="I188" s="8" t="n"/>
      <c r="J188" s="8" t="n"/>
      <c r="K188" s="12">
        <f>IF(OR(ISERROR(VLOOKUP(C188, Resultados_Reales!$A$4:$I$107, 5, FALSE)), ISERROR(VLOOKUP(C188, Resultados_Reales!$A$4:$I$107, 6, FALSE)), VLOOKUP(C188, Resultados_Reales!$A$4:$I$107, 5, FALSE)="", VLOOKUP(C188, Resultados_Reales!$A$4:$I$107, 6, FALSE)=""), 0, IF(AND(VLOOKUP(C188, Resultados_Reales!$A$4:$I$107, 5, FALSE)=G188, VLOOKUP(C188, Resultados_Reales!$A$4:$I$107, 6, FALSE)=H188), Configuracion!$B$5, IF(SIGN(VLOOKUP(C188, Resultados_Reales!$A$4:$I$107, 5, FALSE)-VLOOKUP(C188, Resultados_Reales!$A$4:$I$107, 6, FALSE)) = SIGN(G188-H188), Configuracion!$B$4, 0)))</f>
        <v/>
      </c>
      <c r="L188" s="11" t="n"/>
      <c r="M188" s="11" t="n"/>
      <c r="N188" s="11" t="n"/>
      <c r="O188" s="11" t="n"/>
      <c r="P188" s="11" t="n"/>
      <c r="Q188" s="11" t="n"/>
    </row>
    <row r="189">
      <c r="A189" s="8">
        <f>B189&amp;"_"&amp;C189</f>
        <v/>
      </c>
      <c r="B189" s="8" t="n"/>
      <c r="C189" s="8" t="n"/>
      <c r="D189" s="8" t="n"/>
      <c r="E189" s="11" t="n"/>
      <c r="F189" s="11" t="n"/>
      <c r="G189" s="8" t="n"/>
      <c r="H189" s="8" t="n"/>
      <c r="I189" s="8" t="n"/>
      <c r="J189" s="8" t="n"/>
      <c r="K189" s="12">
        <f>IF(OR(ISERROR(VLOOKUP(C189, Resultados_Reales!$A$4:$I$107, 5, FALSE)), ISERROR(VLOOKUP(C189, Resultados_Reales!$A$4:$I$107, 6, FALSE)), VLOOKUP(C189, Resultados_Reales!$A$4:$I$107, 5, FALSE)="", VLOOKUP(C189, Resultados_Reales!$A$4:$I$107, 6, FALSE)=""), 0, IF(AND(VLOOKUP(C189, Resultados_Reales!$A$4:$I$107, 5, FALSE)=G189, VLOOKUP(C189, Resultados_Reales!$A$4:$I$107, 6, FALSE)=H189), Configuracion!$B$5, IF(SIGN(VLOOKUP(C189, Resultados_Reales!$A$4:$I$107, 5, FALSE)-VLOOKUP(C189, Resultados_Reales!$A$4:$I$107, 6, FALSE)) = SIGN(G189-H189), Configuracion!$B$4, 0)))</f>
        <v/>
      </c>
      <c r="L189" s="11" t="n"/>
      <c r="M189" s="11" t="n"/>
      <c r="N189" s="11" t="n"/>
      <c r="O189" s="11" t="n"/>
      <c r="P189" s="11" t="n"/>
      <c r="Q189" s="11" t="n"/>
    </row>
    <row r="190">
      <c r="A190" s="8">
        <f>B190&amp;"_"&amp;C190</f>
        <v/>
      </c>
      <c r="B190" s="8" t="n"/>
      <c r="C190" s="8" t="n"/>
      <c r="D190" s="8" t="n"/>
      <c r="E190" s="11" t="n"/>
      <c r="F190" s="11" t="n"/>
      <c r="G190" s="8" t="n"/>
      <c r="H190" s="8" t="n"/>
      <c r="I190" s="8" t="n"/>
      <c r="J190" s="8" t="n"/>
      <c r="K190" s="12">
        <f>IF(OR(ISERROR(VLOOKUP(C190, Resultados_Reales!$A$4:$I$107, 5, FALSE)), ISERROR(VLOOKUP(C190, Resultados_Reales!$A$4:$I$107, 6, FALSE)), VLOOKUP(C190, Resultados_Reales!$A$4:$I$107, 5, FALSE)="", VLOOKUP(C190, Resultados_Reales!$A$4:$I$107, 6, FALSE)=""), 0, IF(AND(VLOOKUP(C190, Resultados_Reales!$A$4:$I$107, 5, FALSE)=G190, VLOOKUP(C190, Resultados_Reales!$A$4:$I$107, 6, FALSE)=H190), Configuracion!$B$5, IF(SIGN(VLOOKUP(C190, Resultados_Reales!$A$4:$I$107, 5, FALSE)-VLOOKUP(C190, Resultados_Reales!$A$4:$I$107, 6, FALSE)) = SIGN(G190-H190), Configuracion!$B$4, 0)))</f>
        <v/>
      </c>
      <c r="L190" s="11" t="n"/>
      <c r="M190" s="11" t="n"/>
      <c r="N190" s="11" t="n"/>
      <c r="O190" s="11" t="n"/>
      <c r="P190" s="11" t="n"/>
      <c r="Q190" s="11" t="n"/>
    </row>
    <row r="191">
      <c r="A191" s="8">
        <f>B191&amp;"_"&amp;C191</f>
        <v/>
      </c>
      <c r="B191" s="8" t="n"/>
      <c r="C191" s="8" t="n"/>
      <c r="D191" s="8" t="n"/>
      <c r="E191" s="11" t="n"/>
      <c r="F191" s="11" t="n"/>
      <c r="G191" s="8" t="n"/>
      <c r="H191" s="8" t="n"/>
      <c r="I191" s="8" t="n"/>
      <c r="J191" s="8" t="n"/>
      <c r="K191" s="12">
        <f>IF(OR(ISERROR(VLOOKUP(C191, Resultados_Reales!$A$4:$I$107, 5, FALSE)), ISERROR(VLOOKUP(C191, Resultados_Reales!$A$4:$I$107, 6, FALSE)), VLOOKUP(C191, Resultados_Reales!$A$4:$I$107, 5, FALSE)="", VLOOKUP(C191, Resultados_Reales!$A$4:$I$107, 6, FALSE)=""), 0, IF(AND(VLOOKUP(C191, Resultados_Reales!$A$4:$I$107, 5, FALSE)=G191, VLOOKUP(C191, Resultados_Reales!$A$4:$I$107, 6, FALSE)=H191), Configuracion!$B$5, IF(SIGN(VLOOKUP(C191, Resultados_Reales!$A$4:$I$107, 5, FALSE)-VLOOKUP(C191, Resultados_Reales!$A$4:$I$107, 6, FALSE)) = SIGN(G191-H191), Configuracion!$B$4, 0)))</f>
        <v/>
      </c>
      <c r="L191" s="11" t="n"/>
      <c r="M191" s="11" t="n"/>
      <c r="N191" s="11" t="n"/>
      <c r="O191" s="11" t="n"/>
      <c r="P191" s="11" t="n"/>
      <c r="Q191" s="11" t="n"/>
    </row>
    <row r="192">
      <c r="A192" s="8">
        <f>B192&amp;"_"&amp;C192</f>
        <v/>
      </c>
      <c r="B192" s="8" t="n"/>
      <c r="C192" s="8" t="n"/>
      <c r="D192" s="8" t="n"/>
      <c r="E192" s="11" t="n"/>
      <c r="F192" s="11" t="n"/>
      <c r="G192" s="8" t="n"/>
      <c r="H192" s="8" t="n"/>
      <c r="I192" s="8" t="n"/>
      <c r="J192" s="8" t="n"/>
      <c r="K192" s="12">
        <f>IF(OR(ISERROR(VLOOKUP(C192, Resultados_Reales!$A$4:$I$107, 5, FALSE)), ISERROR(VLOOKUP(C192, Resultados_Reales!$A$4:$I$107, 6, FALSE)), VLOOKUP(C192, Resultados_Reales!$A$4:$I$107, 5, FALSE)="", VLOOKUP(C192, Resultados_Reales!$A$4:$I$107, 6, FALSE)=""), 0, IF(AND(VLOOKUP(C192, Resultados_Reales!$A$4:$I$107, 5, FALSE)=G192, VLOOKUP(C192, Resultados_Reales!$A$4:$I$107, 6, FALSE)=H192), Configuracion!$B$5, IF(SIGN(VLOOKUP(C192, Resultados_Reales!$A$4:$I$107, 5, FALSE)-VLOOKUP(C192, Resultados_Reales!$A$4:$I$107, 6, FALSE)) = SIGN(G192-H192), Configuracion!$B$4, 0)))</f>
        <v/>
      </c>
      <c r="L192" s="11" t="n"/>
      <c r="M192" s="11" t="n"/>
      <c r="N192" s="11" t="n"/>
      <c r="O192" s="11" t="n"/>
      <c r="P192" s="11" t="n"/>
      <c r="Q192" s="11" t="n"/>
    </row>
    <row r="193">
      <c r="A193" s="8">
        <f>B193&amp;"_"&amp;C193</f>
        <v/>
      </c>
      <c r="B193" s="8" t="n"/>
      <c r="C193" s="8" t="n"/>
      <c r="D193" s="8" t="n"/>
      <c r="E193" s="11" t="n"/>
      <c r="F193" s="11" t="n"/>
      <c r="G193" s="8" t="n"/>
      <c r="H193" s="8" t="n"/>
      <c r="I193" s="8" t="n"/>
      <c r="J193" s="8" t="n"/>
      <c r="K193" s="12">
        <f>IF(OR(ISERROR(VLOOKUP(C193, Resultados_Reales!$A$4:$I$107, 5, FALSE)), ISERROR(VLOOKUP(C193, Resultados_Reales!$A$4:$I$107, 6, FALSE)), VLOOKUP(C193, Resultados_Reales!$A$4:$I$107, 5, FALSE)="", VLOOKUP(C193, Resultados_Reales!$A$4:$I$107, 6, FALSE)=""), 0, IF(AND(VLOOKUP(C193, Resultados_Reales!$A$4:$I$107, 5, FALSE)=G193, VLOOKUP(C193, Resultados_Reales!$A$4:$I$107, 6, FALSE)=H193), Configuracion!$B$5, IF(SIGN(VLOOKUP(C193, Resultados_Reales!$A$4:$I$107, 5, FALSE)-VLOOKUP(C193, Resultados_Reales!$A$4:$I$107, 6, FALSE)) = SIGN(G193-H193), Configuracion!$B$4, 0)))</f>
        <v/>
      </c>
      <c r="L193" s="11" t="n"/>
      <c r="M193" s="11" t="n"/>
      <c r="N193" s="11" t="n"/>
      <c r="O193" s="11" t="n"/>
      <c r="P193" s="11" t="n"/>
      <c r="Q193" s="11" t="n"/>
    </row>
    <row r="194">
      <c r="A194" s="8">
        <f>B194&amp;"_"&amp;C194</f>
        <v/>
      </c>
      <c r="B194" s="8" t="n"/>
      <c r="C194" s="8" t="n"/>
      <c r="D194" s="8" t="n"/>
      <c r="E194" s="11" t="n"/>
      <c r="F194" s="11" t="n"/>
      <c r="G194" s="8" t="n"/>
      <c r="H194" s="8" t="n"/>
      <c r="I194" s="8" t="n"/>
      <c r="J194" s="8" t="n"/>
      <c r="K194" s="12">
        <f>IF(OR(ISERROR(VLOOKUP(C194, Resultados_Reales!$A$4:$I$107, 5, FALSE)), ISERROR(VLOOKUP(C194, Resultados_Reales!$A$4:$I$107, 6, FALSE)), VLOOKUP(C194, Resultados_Reales!$A$4:$I$107, 5, FALSE)="", VLOOKUP(C194, Resultados_Reales!$A$4:$I$107, 6, FALSE)=""), 0, IF(AND(VLOOKUP(C194, Resultados_Reales!$A$4:$I$107, 5, FALSE)=G194, VLOOKUP(C194, Resultados_Reales!$A$4:$I$107, 6, FALSE)=H194), Configuracion!$B$5, IF(SIGN(VLOOKUP(C194, Resultados_Reales!$A$4:$I$107, 5, FALSE)-VLOOKUP(C194, Resultados_Reales!$A$4:$I$107, 6, FALSE)) = SIGN(G194-H194), Configuracion!$B$4, 0)))</f>
        <v/>
      </c>
      <c r="L194" s="11" t="n"/>
      <c r="M194" s="11" t="n"/>
      <c r="N194" s="11" t="n"/>
      <c r="O194" s="11" t="n"/>
      <c r="P194" s="11" t="n"/>
      <c r="Q194" s="11" t="n"/>
    </row>
    <row r="195">
      <c r="A195" s="8">
        <f>B195&amp;"_"&amp;C195</f>
        <v/>
      </c>
      <c r="B195" s="8" t="n"/>
      <c r="C195" s="8" t="n"/>
      <c r="D195" s="8" t="n"/>
      <c r="E195" s="11" t="n"/>
      <c r="F195" s="11" t="n"/>
      <c r="G195" s="8" t="n"/>
      <c r="H195" s="8" t="n"/>
      <c r="I195" s="8" t="n"/>
      <c r="J195" s="8" t="n"/>
      <c r="K195" s="12">
        <f>IF(OR(ISERROR(VLOOKUP(C195, Resultados_Reales!$A$4:$I$107, 5, FALSE)), ISERROR(VLOOKUP(C195, Resultados_Reales!$A$4:$I$107, 6, FALSE)), VLOOKUP(C195, Resultados_Reales!$A$4:$I$107, 5, FALSE)="", VLOOKUP(C195, Resultados_Reales!$A$4:$I$107, 6, FALSE)=""), 0, IF(AND(VLOOKUP(C195, Resultados_Reales!$A$4:$I$107, 5, FALSE)=G195, VLOOKUP(C195, Resultados_Reales!$A$4:$I$107, 6, FALSE)=H195), Configuracion!$B$5, IF(SIGN(VLOOKUP(C195, Resultados_Reales!$A$4:$I$107, 5, FALSE)-VLOOKUP(C195, Resultados_Reales!$A$4:$I$107, 6, FALSE)) = SIGN(G195-H195), Configuracion!$B$4, 0)))</f>
        <v/>
      </c>
      <c r="L195" s="11" t="n"/>
      <c r="M195" s="11" t="n"/>
      <c r="N195" s="11" t="n"/>
      <c r="O195" s="11" t="n"/>
      <c r="P195" s="11" t="n"/>
      <c r="Q195" s="11" t="n"/>
    </row>
    <row r="196">
      <c r="A196" s="8">
        <f>B196&amp;"_"&amp;C196</f>
        <v/>
      </c>
      <c r="B196" s="8" t="n"/>
      <c r="C196" s="8" t="n"/>
      <c r="D196" s="8" t="n"/>
      <c r="E196" s="11" t="n"/>
      <c r="F196" s="11" t="n"/>
      <c r="G196" s="8" t="n"/>
      <c r="H196" s="8" t="n"/>
      <c r="I196" s="8" t="n"/>
      <c r="J196" s="8" t="n"/>
      <c r="K196" s="12">
        <f>IF(OR(ISERROR(VLOOKUP(C196, Resultados_Reales!$A$4:$I$107, 5, FALSE)), ISERROR(VLOOKUP(C196, Resultados_Reales!$A$4:$I$107, 6, FALSE)), VLOOKUP(C196, Resultados_Reales!$A$4:$I$107, 5, FALSE)="", VLOOKUP(C196, Resultados_Reales!$A$4:$I$107, 6, FALSE)=""), 0, IF(AND(VLOOKUP(C196, Resultados_Reales!$A$4:$I$107, 5, FALSE)=G196, VLOOKUP(C196, Resultados_Reales!$A$4:$I$107, 6, FALSE)=H196), Configuracion!$B$5, IF(SIGN(VLOOKUP(C196, Resultados_Reales!$A$4:$I$107, 5, FALSE)-VLOOKUP(C196, Resultados_Reales!$A$4:$I$107, 6, FALSE)) = SIGN(G196-H196), Configuracion!$B$4, 0)))</f>
        <v/>
      </c>
      <c r="L196" s="11" t="n"/>
      <c r="M196" s="11" t="n"/>
      <c r="N196" s="11" t="n"/>
      <c r="O196" s="11" t="n"/>
      <c r="P196" s="11" t="n"/>
      <c r="Q196" s="11" t="n"/>
    </row>
    <row r="197">
      <c r="A197" s="8">
        <f>B197&amp;"_"&amp;C197</f>
        <v/>
      </c>
      <c r="B197" s="8" t="n"/>
      <c r="C197" s="8" t="n"/>
      <c r="D197" s="8" t="n"/>
      <c r="E197" s="11" t="n"/>
      <c r="F197" s="11" t="n"/>
      <c r="G197" s="8" t="n"/>
      <c r="H197" s="8" t="n"/>
      <c r="I197" s="8" t="n"/>
      <c r="J197" s="8" t="n"/>
      <c r="K197" s="12">
        <f>IF(OR(ISERROR(VLOOKUP(C197, Resultados_Reales!$A$4:$I$107, 5, FALSE)), ISERROR(VLOOKUP(C197, Resultados_Reales!$A$4:$I$107, 6, FALSE)), VLOOKUP(C197, Resultados_Reales!$A$4:$I$107, 5, FALSE)="", VLOOKUP(C197, Resultados_Reales!$A$4:$I$107, 6, FALSE)=""), 0, IF(AND(VLOOKUP(C197, Resultados_Reales!$A$4:$I$107, 5, FALSE)=G197, VLOOKUP(C197, Resultados_Reales!$A$4:$I$107, 6, FALSE)=H197), Configuracion!$B$5, IF(SIGN(VLOOKUP(C197, Resultados_Reales!$A$4:$I$107, 5, FALSE)-VLOOKUP(C197, Resultados_Reales!$A$4:$I$107, 6, FALSE)) = SIGN(G197-H197), Configuracion!$B$4, 0)))</f>
        <v/>
      </c>
      <c r="L197" s="11" t="n"/>
      <c r="M197" s="11" t="n"/>
      <c r="N197" s="11" t="n"/>
      <c r="O197" s="11" t="n"/>
      <c r="P197" s="11" t="n"/>
      <c r="Q197" s="11" t="n"/>
    </row>
    <row r="198">
      <c r="A198" s="8">
        <f>B198&amp;"_"&amp;C198</f>
        <v/>
      </c>
      <c r="B198" s="8" t="n"/>
      <c r="C198" s="8" t="n"/>
      <c r="D198" s="8" t="n"/>
      <c r="E198" s="11" t="n"/>
      <c r="F198" s="11" t="n"/>
      <c r="G198" s="8" t="n"/>
      <c r="H198" s="8" t="n"/>
      <c r="I198" s="8" t="n"/>
      <c r="J198" s="8" t="n"/>
      <c r="K198" s="12">
        <f>IF(OR(ISERROR(VLOOKUP(C198, Resultados_Reales!$A$4:$I$107, 5, FALSE)), ISERROR(VLOOKUP(C198, Resultados_Reales!$A$4:$I$107, 6, FALSE)), VLOOKUP(C198, Resultados_Reales!$A$4:$I$107, 5, FALSE)="", VLOOKUP(C198, Resultados_Reales!$A$4:$I$107, 6, FALSE)=""), 0, IF(AND(VLOOKUP(C198, Resultados_Reales!$A$4:$I$107, 5, FALSE)=G198, VLOOKUP(C198, Resultados_Reales!$A$4:$I$107, 6, FALSE)=H198), Configuracion!$B$5, IF(SIGN(VLOOKUP(C198, Resultados_Reales!$A$4:$I$107, 5, FALSE)-VLOOKUP(C198, Resultados_Reales!$A$4:$I$107, 6, FALSE)) = SIGN(G198-H198), Configuracion!$B$4, 0)))</f>
        <v/>
      </c>
      <c r="L198" s="11" t="n"/>
      <c r="M198" s="11" t="n"/>
      <c r="N198" s="11" t="n"/>
      <c r="O198" s="11" t="n"/>
      <c r="P198" s="11" t="n"/>
      <c r="Q198" s="11" t="n"/>
    </row>
    <row r="199">
      <c r="A199" s="8">
        <f>B199&amp;"_"&amp;C199</f>
        <v/>
      </c>
      <c r="B199" s="8" t="n"/>
      <c r="C199" s="8" t="n"/>
      <c r="D199" s="8" t="n"/>
      <c r="E199" s="11" t="n"/>
      <c r="F199" s="11" t="n"/>
      <c r="G199" s="8" t="n"/>
      <c r="H199" s="8" t="n"/>
      <c r="I199" s="8" t="n"/>
      <c r="J199" s="8" t="n"/>
      <c r="K199" s="12">
        <f>IF(OR(ISERROR(VLOOKUP(C199, Resultados_Reales!$A$4:$I$107, 5, FALSE)), ISERROR(VLOOKUP(C199, Resultados_Reales!$A$4:$I$107, 6, FALSE)), VLOOKUP(C199, Resultados_Reales!$A$4:$I$107, 5, FALSE)="", VLOOKUP(C199, Resultados_Reales!$A$4:$I$107, 6, FALSE)=""), 0, IF(AND(VLOOKUP(C199, Resultados_Reales!$A$4:$I$107, 5, FALSE)=G199, VLOOKUP(C199, Resultados_Reales!$A$4:$I$107, 6, FALSE)=H199), Configuracion!$B$5, IF(SIGN(VLOOKUP(C199, Resultados_Reales!$A$4:$I$107, 5, FALSE)-VLOOKUP(C199, Resultados_Reales!$A$4:$I$107, 6, FALSE)) = SIGN(G199-H199), Configuracion!$B$4, 0)))</f>
        <v/>
      </c>
      <c r="L199" s="11" t="n"/>
      <c r="M199" s="11" t="n"/>
      <c r="N199" s="11" t="n"/>
      <c r="O199" s="11" t="n"/>
      <c r="P199" s="11" t="n"/>
      <c r="Q199" s="11" t="n"/>
    </row>
    <row r="200">
      <c r="A200" s="8">
        <f>B200&amp;"_"&amp;C200</f>
        <v/>
      </c>
      <c r="B200" s="8" t="n"/>
      <c r="C200" s="8" t="n"/>
      <c r="D200" s="8" t="n"/>
      <c r="E200" s="11" t="n"/>
      <c r="F200" s="11" t="n"/>
      <c r="G200" s="8" t="n"/>
      <c r="H200" s="8" t="n"/>
      <c r="I200" s="8" t="n"/>
      <c r="J200" s="8" t="n"/>
      <c r="K200" s="12">
        <f>IF(OR(ISERROR(VLOOKUP(C200, Resultados_Reales!$A$4:$I$107, 5, FALSE)), ISERROR(VLOOKUP(C200, Resultados_Reales!$A$4:$I$107, 6, FALSE)), VLOOKUP(C200, Resultados_Reales!$A$4:$I$107, 5, FALSE)="", VLOOKUP(C200, Resultados_Reales!$A$4:$I$107, 6, FALSE)=""), 0, IF(AND(VLOOKUP(C200, Resultados_Reales!$A$4:$I$107, 5, FALSE)=G200, VLOOKUP(C200, Resultados_Reales!$A$4:$I$107, 6, FALSE)=H200), Configuracion!$B$5, IF(SIGN(VLOOKUP(C200, Resultados_Reales!$A$4:$I$107, 5, FALSE)-VLOOKUP(C200, Resultados_Reales!$A$4:$I$107, 6, FALSE)) = SIGN(G200-H200), Configuracion!$B$4, 0)))</f>
        <v/>
      </c>
      <c r="L200" s="11" t="n"/>
      <c r="M200" s="11" t="n"/>
      <c r="N200" s="11" t="n"/>
      <c r="O200" s="11" t="n"/>
      <c r="P200" s="11" t="n"/>
      <c r="Q200" s="11" t="n"/>
    </row>
    <row r="201">
      <c r="A201" s="8">
        <f>B201&amp;"_"&amp;C201</f>
        <v/>
      </c>
      <c r="B201" s="8" t="n"/>
      <c r="C201" s="8" t="n"/>
      <c r="D201" s="8" t="n"/>
      <c r="E201" s="11" t="n"/>
      <c r="F201" s="11" t="n"/>
      <c r="G201" s="8" t="n"/>
      <c r="H201" s="8" t="n"/>
      <c r="I201" s="8" t="n"/>
      <c r="J201" s="8" t="n"/>
      <c r="K201" s="12">
        <f>IF(OR(ISERROR(VLOOKUP(C201, Resultados_Reales!$A$4:$I$107, 5, FALSE)), ISERROR(VLOOKUP(C201, Resultados_Reales!$A$4:$I$107, 6, FALSE)), VLOOKUP(C201, Resultados_Reales!$A$4:$I$107, 5, FALSE)="", VLOOKUP(C201, Resultados_Reales!$A$4:$I$107, 6, FALSE)=""), 0, IF(AND(VLOOKUP(C201, Resultados_Reales!$A$4:$I$107, 5, FALSE)=G201, VLOOKUP(C201, Resultados_Reales!$A$4:$I$107, 6, FALSE)=H201), Configuracion!$B$5, IF(SIGN(VLOOKUP(C201, Resultados_Reales!$A$4:$I$107, 5, FALSE)-VLOOKUP(C201, Resultados_Reales!$A$4:$I$107, 6, FALSE)) = SIGN(G201-H201), Configuracion!$B$4, 0)))</f>
        <v/>
      </c>
      <c r="L201" s="11" t="n"/>
      <c r="M201" s="11" t="n"/>
      <c r="N201" s="11" t="n"/>
      <c r="O201" s="11" t="n"/>
      <c r="P201" s="11" t="n"/>
      <c r="Q201" s="11" t="n"/>
    </row>
    <row r="202">
      <c r="A202" s="8">
        <f>B202&amp;"_"&amp;C202</f>
        <v/>
      </c>
      <c r="B202" s="8" t="n"/>
      <c r="C202" s="8" t="n"/>
      <c r="D202" s="8" t="n"/>
      <c r="E202" s="11" t="n"/>
      <c r="F202" s="11" t="n"/>
      <c r="G202" s="8" t="n"/>
      <c r="H202" s="8" t="n"/>
      <c r="I202" s="8" t="n"/>
      <c r="J202" s="8" t="n"/>
      <c r="K202" s="12">
        <f>IF(OR(ISERROR(VLOOKUP(C202, Resultados_Reales!$A$4:$I$107, 5, FALSE)), ISERROR(VLOOKUP(C202, Resultados_Reales!$A$4:$I$107, 6, FALSE)), VLOOKUP(C202, Resultados_Reales!$A$4:$I$107, 5, FALSE)="", VLOOKUP(C202, Resultados_Reales!$A$4:$I$107, 6, FALSE)=""), 0, IF(AND(VLOOKUP(C202, Resultados_Reales!$A$4:$I$107, 5, FALSE)=G202, VLOOKUP(C202, Resultados_Reales!$A$4:$I$107, 6, FALSE)=H202), Configuracion!$B$5, IF(SIGN(VLOOKUP(C202, Resultados_Reales!$A$4:$I$107, 5, FALSE)-VLOOKUP(C202, Resultados_Reales!$A$4:$I$107, 6, FALSE)) = SIGN(G202-H202), Configuracion!$B$4, 0)))</f>
        <v/>
      </c>
      <c r="L202" s="11" t="n"/>
      <c r="M202" s="11" t="n"/>
      <c r="N202" s="11" t="n"/>
      <c r="O202" s="11" t="n"/>
      <c r="P202" s="11" t="n"/>
      <c r="Q202" s="11" t="n"/>
    </row>
    <row r="203">
      <c r="A203" s="8">
        <f>B203&amp;"_"&amp;C203</f>
        <v/>
      </c>
      <c r="B203" s="8" t="n"/>
      <c r="C203" s="8" t="n"/>
      <c r="D203" s="8" t="n"/>
      <c r="E203" s="11" t="n"/>
      <c r="F203" s="11" t="n"/>
      <c r="G203" s="8" t="n"/>
      <c r="H203" s="8" t="n"/>
      <c r="I203" s="8" t="n"/>
      <c r="J203" s="8" t="n"/>
      <c r="K203" s="12">
        <f>IF(OR(ISERROR(VLOOKUP(C203, Resultados_Reales!$A$4:$I$107, 5, FALSE)), ISERROR(VLOOKUP(C203, Resultados_Reales!$A$4:$I$107, 6, FALSE)), VLOOKUP(C203, Resultados_Reales!$A$4:$I$107, 5, FALSE)="", VLOOKUP(C203, Resultados_Reales!$A$4:$I$107, 6, FALSE)=""), 0, IF(AND(VLOOKUP(C203, Resultados_Reales!$A$4:$I$107, 5, FALSE)=G203, VLOOKUP(C203, Resultados_Reales!$A$4:$I$107, 6, FALSE)=H203), Configuracion!$B$5, IF(SIGN(VLOOKUP(C203, Resultados_Reales!$A$4:$I$107, 5, FALSE)-VLOOKUP(C203, Resultados_Reales!$A$4:$I$107, 6, FALSE)) = SIGN(G203-H203), Configuracion!$B$4, 0)))</f>
        <v/>
      </c>
      <c r="L203" s="11" t="n"/>
      <c r="M203" s="11" t="n"/>
      <c r="N203" s="11" t="n"/>
      <c r="O203" s="11" t="n"/>
      <c r="P203" s="11" t="n"/>
      <c r="Q203" s="11" t="n"/>
    </row>
    <row r="204">
      <c r="A204" s="8">
        <f>B204&amp;"_"&amp;C204</f>
        <v/>
      </c>
      <c r="B204" s="8" t="n"/>
      <c r="C204" s="8" t="n"/>
      <c r="D204" s="8" t="n"/>
      <c r="E204" s="11" t="n"/>
      <c r="F204" s="11" t="n"/>
      <c r="G204" s="8" t="n"/>
      <c r="H204" s="8" t="n"/>
      <c r="I204" s="8" t="n"/>
      <c r="J204" s="8" t="n"/>
      <c r="K204" s="12">
        <f>IF(OR(ISERROR(VLOOKUP(C204, Resultados_Reales!$A$4:$I$107, 5, FALSE)), ISERROR(VLOOKUP(C204, Resultados_Reales!$A$4:$I$107, 6, FALSE)), VLOOKUP(C204, Resultados_Reales!$A$4:$I$107, 5, FALSE)="", VLOOKUP(C204, Resultados_Reales!$A$4:$I$107, 6, FALSE)=""), 0, IF(AND(VLOOKUP(C204, Resultados_Reales!$A$4:$I$107, 5, FALSE)=G204, VLOOKUP(C204, Resultados_Reales!$A$4:$I$107, 6, FALSE)=H204), Configuracion!$B$5, IF(SIGN(VLOOKUP(C204, Resultados_Reales!$A$4:$I$107, 5, FALSE)-VLOOKUP(C204, Resultados_Reales!$A$4:$I$107, 6, FALSE)) = SIGN(G204-H204), Configuracion!$B$4, 0)))</f>
        <v/>
      </c>
      <c r="L204" s="11" t="n"/>
      <c r="M204" s="11" t="n"/>
      <c r="N204" s="11" t="n"/>
      <c r="O204" s="11" t="n"/>
      <c r="P204" s="11" t="n"/>
      <c r="Q204" s="11" t="n"/>
    </row>
    <row r="205">
      <c r="A205" s="8">
        <f>B205&amp;"_"&amp;C205</f>
        <v/>
      </c>
      <c r="B205" s="8" t="n"/>
      <c r="C205" s="8" t="n"/>
      <c r="D205" s="8" t="n"/>
      <c r="E205" s="11" t="n"/>
      <c r="F205" s="11" t="n"/>
      <c r="G205" s="8" t="n"/>
      <c r="H205" s="8" t="n"/>
      <c r="I205" s="8" t="n"/>
      <c r="J205" s="8" t="n"/>
      <c r="K205" s="12">
        <f>IF(OR(ISERROR(VLOOKUP(C205, Resultados_Reales!$A$4:$I$107, 5, FALSE)), ISERROR(VLOOKUP(C205, Resultados_Reales!$A$4:$I$107, 6, FALSE)), VLOOKUP(C205, Resultados_Reales!$A$4:$I$107, 5, FALSE)="", VLOOKUP(C205, Resultados_Reales!$A$4:$I$107, 6, FALSE)=""), 0, IF(AND(VLOOKUP(C205, Resultados_Reales!$A$4:$I$107, 5, FALSE)=G205, VLOOKUP(C205, Resultados_Reales!$A$4:$I$107, 6, FALSE)=H205), Configuracion!$B$5, IF(SIGN(VLOOKUP(C205, Resultados_Reales!$A$4:$I$107, 5, FALSE)-VLOOKUP(C205, Resultados_Reales!$A$4:$I$107, 6, FALSE)) = SIGN(G205-H205), Configuracion!$B$4, 0)))</f>
        <v/>
      </c>
      <c r="L205" s="11" t="n"/>
      <c r="M205" s="11" t="n"/>
      <c r="N205" s="11" t="n"/>
      <c r="O205" s="11" t="n"/>
      <c r="P205" s="11" t="n"/>
      <c r="Q205" s="11" t="n"/>
    </row>
    <row r="206">
      <c r="A206" s="8">
        <f>B206&amp;"_"&amp;C206</f>
        <v/>
      </c>
      <c r="B206" s="8" t="n"/>
      <c r="C206" s="8" t="n"/>
      <c r="D206" s="8" t="n"/>
      <c r="E206" s="11" t="n"/>
      <c r="F206" s="11" t="n"/>
      <c r="G206" s="8" t="n"/>
      <c r="H206" s="8" t="n"/>
      <c r="I206" s="8" t="n"/>
      <c r="J206" s="8" t="n"/>
      <c r="K206" s="12">
        <f>IF(OR(ISERROR(VLOOKUP(C206, Resultados_Reales!$A$4:$I$107, 5, FALSE)), ISERROR(VLOOKUP(C206, Resultados_Reales!$A$4:$I$107, 6, FALSE)), VLOOKUP(C206, Resultados_Reales!$A$4:$I$107, 5, FALSE)="", VLOOKUP(C206, Resultados_Reales!$A$4:$I$107, 6, FALSE)=""), 0, IF(AND(VLOOKUP(C206, Resultados_Reales!$A$4:$I$107, 5, FALSE)=G206, VLOOKUP(C206, Resultados_Reales!$A$4:$I$107, 6, FALSE)=H206), Configuracion!$B$5, IF(SIGN(VLOOKUP(C206, Resultados_Reales!$A$4:$I$107, 5, FALSE)-VLOOKUP(C206, Resultados_Reales!$A$4:$I$107, 6, FALSE)) = SIGN(G206-H206), Configuracion!$B$4, 0)))</f>
        <v/>
      </c>
      <c r="L206" s="11" t="n"/>
      <c r="M206" s="11" t="n"/>
      <c r="N206" s="11" t="n"/>
      <c r="O206" s="11" t="n"/>
      <c r="P206" s="11" t="n"/>
      <c r="Q206" s="11" t="n"/>
    </row>
    <row r="207">
      <c r="A207" s="8">
        <f>B207&amp;"_"&amp;C207</f>
        <v/>
      </c>
      <c r="B207" s="8" t="n"/>
      <c r="C207" s="8" t="n"/>
      <c r="D207" s="8" t="n"/>
      <c r="E207" s="11" t="n"/>
      <c r="F207" s="11" t="n"/>
      <c r="G207" s="8" t="n"/>
      <c r="H207" s="8" t="n"/>
      <c r="I207" s="8" t="n"/>
      <c r="J207" s="8" t="n"/>
      <c r="K207" s="12">
        <f>IF(OR(ISERROR(VLOOKUP(C207, Resultados_Reales!$A$4:$I$107, 5, FALSE)), ISERROR(VLOOKUP(C207, Resultados_Reales!$A$4:$I$107, 6, FALSE)), VLOOKUP(C207, Resultados_Reales!$A$4:$I$107, 5, FALSE)="", VLOOKUP(C207, Resultados_Reales!$A$4:$I$107, 6, FALSE)=""), 0, IF(AND(VLOOKUP(C207, Resultados_Reales!$A$4:$I$107, 5, FALSE)=G207, VLOOKUP(C207, Resultados_Reales!$A$4:$I$107, 6, FALSE)=H207), Configuracion!$B$5, IF(SIGN(VLOOKUP(C207, Resultados_Reales!$A$4:$I$107, 5, FALSE)-VLOOKUP(C207, Resultados_Reales!$A$4:$I$107, 6, FALSE)) = SIGN(G207-H207), Configuracion!$B$4, 0)))</f>
        <v/>
      </c>
      <c r="L207" s="11" t="n"/>
      <c r="M207" s="11" t="n"/>
      <c r="N207" s="11" t="n"/>
      <c r="O207" s="11" t="n"/>
      <c r="P207" s="11" t="n"/>
      <c r="Q207" s="11" t="n"/>
    </row>
    <row r="208">
      <c r="A208" s="8">
        <f>B208&amp;"_"&amp;C208</f>
        <v/>
      </c>
      <c r="B208" s="8" t="n"/>
      <c r="C208" s="8" t="n"/>
      <c r="D208" s="8" t="n"/>
      <c r="E208" s="11" t="n"/>
      <c r="F208" s="11" t="n"/>
      <c r="G208" s="8" t="n"/>
      <c r="H208" s="8" t="n"/>
      <c r="I208" s="8" t="n"/>
      <c r="J208" s="8" t="n"/>
      <c r="K208" s="12">
        <f>IF(OR(ISERROR(VLOOKUP(C208, Resultados_Reales!$A$4:$I$107, 5, FALSE)), ISERROR(VLOOKUP(C208, Resultados_Reales!$A$4:$I$107, 6, FALSE)), VLOOKUP(C208, Resultados_Reales!$A$4:$I$107, 5, FALSE)="", VLOOKUP(C208, Resultados_Reales!$A$4:$I$107, 6, FALSE)=""), 0, IF(AND(VLOOKUP(C208, Resultados_Reales!$A$4:$I$107, 5, FALSE)=G208, VLOOKUP(C208, Resultados_Reales!$A$4:$I$107, 6, FALSE)=H208), Configuracion!$B$5, IF(SIGN(VLOOKUP(C208, Resultados_Reales!$A$4:$I$107, 5, FALSE)-VLOOKUP(C208, Resultados_Reales!$A$4:$I$107, 6, FALSE)) = SIGN(G208-H208), Configuracion!$B$4, 0)))</f>
        <v/>
      </c>
      <c r="L208" s="11" t="n"/>
      <c r="M208" s="11" t="n"/>
      <c r="N208" s="11" t="n"/>
      <c r="O208" s="11" t="n"/>
      <c r="P208" s="11" t="n"/>
      <c r="Q208" s="11" t="n"/>
    </row>
    <row r="209">
      <c r="A209" s="8">
        <f>B209&amp;"_"&amp;C209</f>
        <v/>
      </c>
      <c r="B209" s="8" t="n"/>
      <c r="C209" s="8" t="n"/>
      <c r="D209" s="8" t="n"/>
      <c r="E209" s="11" t="n"/>
      <c r="F209" s="11" t="n"/>
      <c r="G209" s="8" t="n"/>
      <c r="H209" s="8" t="n"/>
      <c r="I209" s="8" t="n"/>
      <c r="J209" s="8" t="n"/>
      <c r="K209" s="12">
        <f>IF(OR(ISERROR(VLOOKUP(C209, Resultados_Reales!$A$4:$I$107, 5, FALSE)), ISERROR(VLOOKUP(C209, Resultados_Reales!$A$4:$I$107, 6, FALSE)), VLOOKUP(C209, Resultados_Reales!$A$4:$I$107, 5, FALSE)="", VLOOKUP(C209, Resultados_Reales!$A$4:$I$107, 6, FALSE)=""), 0, IF(AND(VLOOKUP(C209, Resultados_Reales!$A$4:$I$107, 5, FALSE)=G209, VLOOKUP(C209, Resultados_Reales!$A$4:$I$107, 6, FALSE)=H209), Configuracion!$B$5, IF(SIGN(VLOOKUP(C209, Resultados_Reales!$A$4:$I$107, 5, FALSE)-VLOOKUP(C209, Resultados_Reales!$A$4:$I$107, 6, FALSE)) = SIGN(G209-H209), Configuracion!$B$4, 0)))</f>
        <v/>
      </c>
      <c r="L209" s="11" t="n"/>
      <c r="M209" s="11" t="n"/>
      <c r="N209" s="11" t="n"/>
      <c r="O209" s="11" t="n"/>
      <c r="P209" s="11" t="n"/>
      <c r="Q209" s="11" t="n"/>
    </row>
    <row r="210">
      <c r="A210" s="8">
        <f>B210&amp;"_"&amp;C210</f>
        <v/>
      </c>
      <c r="B210" s="8" t="n"/>
      <c r="C210" s="8" t="n"/>
      <c r="D210" s="8" t="n"/>
      <c r="E210" s="11" t="n"/>
      <c r="F210" s="11" t="n"/>
      <c r="G210" s="8" t="n"/>
      <c r="H210" s="8" t="n"/>
      <c r="I210" s="8" t="n"/>
      <c r="J210" s="8" t="n"/>
      <c r="K210" s="12">
        <f>IF(OR(ISERROR(VLOOKUP(C210, Resultados_Reales!$A$4:$I$107, 5, FALSE)), ISERROR(VLOOKUP(C210, Resultados_Reales!$A$4:$I$107, 6, FALSE)), VLOOKUP(C210, Resultados_Reales!$A$4:$I$107, 5, FALSE)="", VLOOKUP(C210, Resultados_Reales!$A$4:$I$107, 6, FALSE)=""), 0, IF(AND(VLOOKUP(C210, Resultados_Reales!$A$4:$I$107, 5, FALSE)=G210, VLOOKUP(C210, Resultados_Reales!$A$4:$I$107, 6, FALSE)=H210), Configuracion!$B$5, IF(SIGN(VLOOKUP(C210, Resultados_Reales!$A$4:$I$107, 5, FALSE)-VLOOKUP(C210, Resultados_Reales!$A$4:$I$107, 6, FALSE)) = SIGN(G210-H210), Configuracion!$B$4, 0)))</f>
        <v/>
      </c>
      <c r="L210" s="11" t="n"/>
      <c r="M210" s="11" t="n"/>
      <c r="N210" s="11" t="n"/>
      <c r="O210" s="11" t="n"/>
      <c r="P210" s="11" t="n"/>
      <c r="Q210" s="11" t="n"/>
    </row>
    <row r="211">
      <c r="A211" s="8">
        <f>B211&amp;"_"&amp;C211</f>
        <v/>
      </c>
      <c r="B211" s="8" t="n"/>
      <c r="C211" s="8" t="n"/>
      <c r="D211" s="8" t="n"/>
      <c r="E211" s="11" t="n"/>
      <c r="F211" s="11" t="n"/>
      <c r="G211" s="8" t="n"/>
      <c r="H211" s="8" t="n"/>
      <c r="I211" s="8" t="n"/>
      <c r="J211" s="8" t="n"/>
      <c r="K211" s="12">
        <f>IF(OR(ISERROR(VLOOKUP(C211, Resultados_Reales!$A$4:$I$107, 5, FALSE)), ISERROR(VLOOKUP(C211, Resultados_Reales!$A$4:$I$107, 6, FALSE)), VLOOKUP(C211, Resultados_Reales!$A$4:$I$107, 5, FALSE)="", VLOOKUP(C211, Resultados_Reales!$A$4:$I$107, 6, FALSE)=""), 0, IF(AND(VLOOKUP(C211, Resultados_Reales!$A$4:$I$107, 5, FALSE)=G211, VLOOKUP(C211, Resultados_Reales!$A$4:$I$107, 6, FALSE)=H211), Configuracion!$B$5, IF(SIGN(VLOOKUP(C211, Resultados_Reales!$A$4:$I$107, 5, FALSE)-VLOOKUP(C211, Resultados_Reales!$A$4:$I$107, 6, FALSE)) = SIGN(G211-H211), Configuracion!$B$4, 0)))</f>
        <v/>
      </c>
      <c r="L211" s="11" t="n"/>
      <c r="M211" s="11" t="n"/>
      <c r="N211" s="11" t="n"/>
      <c r="O211" s="11" t="n"/>
      <c r="P211" s="11" t="n"/>
      <c r="Q211" s="11" t="n"/>
    </row>
    <row r="212">
      <c r="A212" s="8">
        <f>B212&amp;"_"&amp;C212</f>
        <v/>
      </c>
      <c r="B212" s="8" t="n"/>
      <c r="C212" s="8" t="n"/>
      <c r="D212" s="8" t="n"/>
      <c r="E212" s="11" t="n"/>
      <c r="F212" s="11" t="n"/>
      <c r="G212" s="8" t="n"/>
      <c r="H212" s="8" t="n"/>
      <c r="I212" s="8" t="n"/>
      <c r="J212" s="8" t="n"/>
      <c r="K212" s="12">
        <f>IF(OR(ISERROR(VLOOKUP(C212, Resultados_Reales!$A$4:$I$107, 5, FALSE)), ISERROR(VLOOKUP(C212, Resultados_Reales!$A$4:$I$107, 6, FALSE)), VLOOKUP(C212, Resultados_Reales!$A$4:$I$107, 5, FALSE)="", VLOOKUP(C212, Resultados_Reales!$A$4:$I$107, 6, FALSE)=""), 0, IF(AND(VLOOKUP(C212, Resultados_Reales!$A$4:$I$107, 5, FALSE)=G212, VLOOKUP(C212, Resultados_Reales!$A$4:$I$107, 6, FALSE)=H212), Configuracion!$B$5, IF(SIGN(VLOOKUP(C212, Resultados_Reales!$A$4:$I$107, 5, FALSE)-VLOOKUP(C212, Resultados_Reales!$A$4:$I$107, 6, FALSE)) = SIGN(G212-H212), Configuracion!$B$4, 0)))</f>
        <v/>
      </c>
      <c r="L212" s="11" t="n"/>
      <c r="M212" s="11" t="n"/>
      <c r="N212" s="11" t="n"/>
      <c r="O212" s="11" t="n"/>
      <c r="P212" s="11" t="n"/>
      <c r="Q212" s="11" t="n"/>
    </row>
    <row r="213">
      <c r="A213" s="8">
        <f>B213&amp;"_"&amp;C213</f>
        <v/>
      </c>
      <c r="B213" s="8" t="n"/>
      <c r="C213" s="8" t="n"/>
      <c r="D213" s="8" t="n"/>
      <c r="E213" s="11" t="n"/>
      <c r="F213" s="11" t="n"/>
      <c r="G213" s="8" t="n"/>
      <c r="H213" s="8" t="n"/>
      <c r="I213" s="8" t="n"/>
      <c r="J213" s="8" t="n"/>
      <c r="K213" s="12">
        <f>IF(OR(ISERROR(VLOOKUP(C213, Resultados_Reales!$A$4:$I$107, 5, FALSE)), ISERROR(VLOOKUP(C213, Resultados_Reales!$A$4:$I$107, 6, FALSE)), VLOOKUP(C213, Resultados_Reales!$A$4:$I$107, 5, FALSE)="", VLOOKUP(C213, Resultados_Reales!$A$4:$I$107, 6, FALSE)=""), 0, IF(AND(VLOOKUP(C213, Resultados_Reales!$A$4:$I$107, 5, FALSE)=G213, VLOOKUP(C213, Resultados_Reales!$A$4:$I$107, 6, FALSE)=H213), Configuracion!$B$5, IF(SIGN(VLOOKUP(C213, Resultados_Reales!$A$4:$I$107, 5, FALSE)-VLOOKUP(C213, Resultados_Reales!$A$4:$I$107, 6, FALSE)) = SIGN(G213-H213), Configuracion!$B$4, 0)))</f>
        <v/>
      </c>
      <c r="L213" s="11" t="n"/>
      <c r="M213" s="11" t="n"/>
      <c r="N213" s="11" t="n"/>
      <c r="O213" s="11" t="n"/>
      <c r="P213" s="11" t="n"/>
      <c r="Q213" s="11" t="n"/>
    </row>
    <row r="214">
      <c r="A214" s="8">
        <f>B214&amp;"_"&amp;C214</f>
        <v/>
      </c>
      <c r="B214" s="8" t="n"/>
      <c r="C214" s="8" t="n"/>
      <c r="D214" s="8" t="n"/>
      <c r="E214" s="11" t="n"/>
      <c r="F214" s="11" t="n"/>
      <c r="G214" s="8" t="n"/>
      <c r="H214" s="8" t="n"/>
      <c r="I214" s="8" t="n"/>
      <c r="J214" s="8" t="n"/>
      <c r="K214" s="12">
        <f>IF(OR(ISERROR(VLOOKUP(C214, Resultados_Reales!$A$4:$I$107, 5, FALSE)), ISERROR(VLOOKUP(C214, Resultados_Reales!$A$4:$I$107, 6, FALSE)), VLOOKUP(C214, Resultados_Reales!$A$4:$I$107, 5, FALSE)="", VLOOKUP(C214, Resultados_Reales!$A$4:$I$107, 6, FALSE)=""), 0, IF(AND(VLOOKUP(C214, Resultados_Reales!$A$4:$I$107, 5, FALSE)=G214, VLOOKUP(C214, Resultados_Reales!$A$4:$I$107, 6, FALSE)=H214), Configuracion!$B$5, IF(SIGN(VLOOKUP(C214, Resultados_Reales!$A$4:$I$107, 5, FALSE)-VLOOKUP(C214, Resultados_Reales!$A$4:$I$107, 6, FALSE)) = SIGN(G214-H214), Configuracion!$B$4, 0)))</f>
        <v/>
      </c>
      <c r="L214" s="11" t="n"/>
      <c r="M214" s="11" t="n"/>
      <c r="N214" s="11" t="n"/>
      <c r="O214" s="11" t="n"/>
      <c r="P214" s="11" t="n"/>
      <c r="Q214" s="11" t="n"/>
    </row>
    <row r="215">
      <c r="A215" s="8">
        <f>B215&amp;"_"&amp;C215</f>
        <v/>
      </c>
      <c r="B215" s="8" t="n"/>
      <c r="C215" s="8" t="n"/>
      <c r="D215" s="8" t="n"/>
      <c r="E215" s="11" t="n"/>
      <c r="F215" s="11" t="n"/>
      <c r="G215" s="8" t="n"/>
      <c r="H215" s="8" t="n"/>
      <c r="I215" s="8" t="n"/>
      <c r="J215" s="8" t="n"/>
      <c r="K215" s="12">
        <f>IF(OR(ISERROR(VLOOKUP(C215, Resultados_Reales!$A$4:$I$107, 5, FALSE)), ISERROR(VLOOKUP(C215, Resultados_Reales!$A$4:$I$107, 6, FALSE)), VLOOKUP(C215, Resultados_Reales!$A$4:$I$107, 5, FALSE)="", VLOOKUP(C215, Resultados_Reales!$A$4:$I$107, 6, FALSE)=""), 0, IF(AND(VLOOKUP(C215, Resultados_Reales!$A$4:$I$107, 5, FALSE)=G215, VLOOKUP(C215, Resultados_Reales!$A$4:$I$107, 6, FALSE)=H215), Configuracion!$B$5, IF(SIGN(VLOOKUP(C215, Resultados_Reales!$A$4:$I$107, 5, FALSE)-VLOOKUP(C215, Resultados_Reales!$A$4:$I$107, 6, FALSE)) = SIGN(G215-H215), Configuracion!$B$4, 0)))</f>
        <v/>
      </c>
      <c r="L215" s="11" t="n"/>
      <c r="M215" s="11" t="n"/>
      <c r="N215" s="11" t="n"/>
      <c r="O215" s="11" t="n"/>
      <c r="P215" s="11" t="n"/>
      <c r="Q215" s="11" t="n"/>
    </row>
    <row r="216">
      <c r="A216" s="8">
        <f>B216&amp;"_"&amp;C216</f>
        <v/>
      </c>
      <c r="B216" s="8" t="n"/>
      <c r="C216" s="8" t="n"/>
      <c r="D216" s="8" t="n"/>
      <c r="E216" s="11" t="n"/>
      <c r="F216" s="11" t="n"/>
      <c r="G216" s="8" t="n"/>
      <c r="H216" s="8" t="n"/>
      <c r="I216" s="8" t="n"/>
      <c r="J216" s="8" t="n"/>
      <c r="K216" s="12">
        <f>IF(OR(ISERROR(VLOOKUP(C216, Resultados_Reales!$A$4:$I$107, 5, FALSE)), ISERROR(VLOOKUP(C216, Resultados_Reales!$A$4:$I$107, 6, FALSE)), VLOOKUP(C216, Resultados_Reales!$A$4:$I$107, 5, FALSE)="", VLOOKUP(C216, Resultados_Reales!$A$4:$I$107, 6, FALSE)=""), 0, IF(AND(VLOOKUP(C216, Resultados_Reales!$A$4:$I$107, 5, FALSE)=G216, VLOOKUP(C216, Resultados_Reales!$A$4:$I$107, 6, FALSE)=H216), Configuracion!$B$5, IF(SIGN(VLOOKUP(C216, Resultados_Reales!$A$4:$I$107, 5, FALSE)-VLOOKUP(C216, Resultados_Reales!$A$4:$I$107, 6, FALSE)) = SIGN(G216-H216), Configuracion!$B$4, 0)))</f>
        <v/>
      </c>
      <c r="L216" s="11" t="n"/>
      <c r="M216" s="11" t="n"/>
      <c r="N216" s="11" t="n"/>
      <c r="O216" s="11" t="n"/>
      <c r="P216" s="11" t="n"/>
      <c r="Q216" s="11" t="n"/>
    </row>
    <row r="217">
      <c r="A217" s="8">
        <f>B217&amp;"_"&amp;C217</f>
        <v/>
      </c>
      <c r="B217" s="8" t="n"/>
      <c r="C217" s="8" t="n"/>
      <c r="D217" s="8" t="n"/>
      <c r="E217" s="11" t="n"/>
      <c r="F217" s="11" t="n"/>
      <c r="G217" s="8" t="n"/>
      <c r="H217" s="8" t="n"/>
      <c r="I217" s="8" t="n"/>
      <c r="J217" s="8" t="n"/>
      <c r="K217" s="12">
        <f>IF(OR(ISERROR(VLOOKUP(C217, Resultados_Reales!$A$4:$I$107, 5, FALSE)), ISERROR(VLOOKUP(C217, Resultados_Reales!$A$4:$I$107, 6, FALSE)), VLOOKUP(C217, Resultados_Reales!$A$4:$I$107, 5, FALSE)="", VLOOKUP(C217, Resultados_Reales!$A$4:$I$107, 6, FALSE)=""), 0, IF(AND(VLOOKUP(C217, Resultados_Reales!$A$4:$I$107, 5, FALSE)=G217, VLOOKUP(C217, Resultados_Reales!$A$4:$I$107, 6, FALSE)=H217), Configuracion!$B$5, IF(SIGN(VLOOKUP(C217, Resultados_Reales!$A$4:$I$107, 5, FALSE)-VLOOKUP(C217, Resultados_Reales!$A$4:$I$107, 6, FALSE)) = SIGN(G217-H217), Configuracion!$B$4, 0)))</f>
        <v/>
      </c>
      <c r="L217" s="11" t="n"/>
      <c r="M217" s="11" t="n"/>
      <c r="N217" s="11" t="n"/>
      <c r="O217" s="11" t="n"/>
      <c r="P217" s="11" t="n"/>
      <c r="Q217" s="11" t="n"/>
    </row>
    <row r="218">
      <c r="A218" s="8">
        <f>B218&amp;"_"&amp;C218</f>
        <v/>
      </c>
      <c r="B218" s="8" t="n"/>
      <c r="C218" s="8" t="n"/>
      <c r="D218" s="8" t="n"/>
      <c r="E218" s="11" t="n"/>
      <c r="F218" s="11" t="n"/>
      <c r="G218" s="8" t="n"/>
      <c r="H218" s="8" t="n"/>
      <c r="I218" s="8" t="n"/>
      <c r="J218" s="8" t="n"/>
      <c r="K218" s="12">
        <f>IF(OR(ISERROR(VLOOKUP(C218, Resultados_Reales!$A$4:$I$107, 5, FALSE)), ISERROR(VLOOKUP(C218, Resultados_Reales!$A$4:$I$107, 6, FALSE)), VLOOKUP(C218, Resultados_Reales!$A$4:$I$107, 5, FALSE)="", VLOOKUP(C218, Resultados_Reales!$A$4:$I$107, 6, FALSE)=""), 0, IF(AND(VLOOKUP(C218, Resultados_Reales!$A$4:$I$107, 5, FALSE)=G218, VLOOKUP(C218, Resultados_Reales!$A$4:$I$107, 6, FALSE)=H218), Configuracion!$B$5, IF(SIGN(VLOOKUP(C218, Resultados_Reales!$A$4:$I$107, 5, FALSE)-VLOOKUP(C218, Resultados_Reales!$A$4:$I$107, 6, FALSE)) = SIGN(G218-H218), Configuracion!$B$4, 0)))</f>
        <v/>
      </c>
      <c r="L218" s="11" t="n"/>
      <c r="M218" s="11" t="n"/>
      <c r="N218" s="11" t="n"/>
      <c r="O218" s="11" t="n"/>
      <c r="P218" s="11" t="n"/>
      <c r="Q218" s="11" t="n"/>
    </row>
    <row r="219">
      <c r="A219" s="8">
        <f>B219&amp;"_"&amp;C219</f>
        <v/>
      </c>
      <c r="B219" s="8" t="n"/>
      <c r="C219" s="8" t="n"/>
      <c r="D219" s="8" t="n"/>
      <c r="E219" s="11" t="n"/>
      <c r="F219" s="11" t="n"/>
      <c r="G219" s="8" t="n"/>
      <c r="H219" s="8" t="n"/>
      <c r="I219" s="8" t="n"/>
      <c r="J219" s="8" t="n"/>
      <c r="K219" s="12">
        <f>IF(OR(ISERROR(VLOOKUP(C219, Resultados_Reales!$A$4:$I$107, 5, FALSE)), ISERROR(VLOOKUP(C219, Resultados_Reales!$A$4:$I$107, 6, FALSE)), VLOOKUP(C219, Resultados_Reales!$A$4:$I$107, 5, FALSE)="", VLOOKUP(C219, Resultados_Reales!$A$4:$I$107, 6, FALSE)=""), 0, IF(AND(VLOOKUP(C219, Resultados_Reales!$A$4:$I$107, 5, FALSE)=G219, VLOOKUP(C219, Resultados_Reales!$A$4:$I$107, 6, FALSE)=H219), Configuracion!$B$5, IF(SIGN(VLOOKUP(C219, Resultados_Reales!$A$4:$I$107, 5, FALSE)-VLOOKUP(C219, Resultados_Reales!$A$4:$I$107, 6, FALSE)) = SIGN(G219-H219), Configuracion!$B$4, 0)))</f>
        <v/>
      </c>
      <c r="L219" s="11" t="n"/>
      <c r="M219" s="11" t="n"/>
      <c r="N219" s="11" t="n"/>
      <c r="O219" s="11" t="n"/>
      <c r="P219" s="11" t="n"/>
      <c r="Q219" s="11" t="n"/>
    </row>
    <row r="220">
      <c r="A220" s="8">
        <f>B220&amp;"_"&amp;C220</f>
        <v/>
      </c>
      <c r="B220" s="8" t="n"/>
      <c r="C220" s="8" t="n"/>
      <c r="D220" s="8" t="n"/>
      <c r="E220" s="11" t="n"/>
      <c r="F220" s="11" t="n"/>
      <c r="G220" s="8" t="n"/>
      <c r="H220" s="8" t="n"/>
      <c r="I220" s="8" t="n"/>
      <c r="J220" s="8" t="n"/>
      <c r="K220" s="12">
        <f>IF(OR(ISERROR(VLOOKUP(C220, Resultados_Reales!$A$4:$I$107, 5, FALSE)), ISERROR(VLOOKUP(C220, Resultados_Reales!$A$4:$I$107, 6, FALSE)), VLOOKUP(C220, Resultados_Reales!$A$4:$I$107, 5, FALSE)="", VLOOKUP(C220, Resultados_Reales!$A$4:$I$107, 6, FALSE)=""), 0, IF(AND(VLOOKUP(C220, Resultados_Reales!$A$4:$I$107, 5, FALSE)=G220, VLOOKUP(C220, Resultados_Reales!$A$4:$I$107, 6, FALSE)=H220), Configuracion!$B$5, IF(SIGN(VLOOKUP(C220, Resultados_Reales!$A$4:$I$107, 5, FALSE)-VLOOKUP(C220, Resultados_Reales!$A$4:$I$107, 6, FALSE)) = SIGN(G220-H220), Configuracion!$B$4, 0)))</f>
        <v/>
      </c>
      <c r="L220" s="11" t="n"/>
      <c r="M220" s="11" t="n"/>
      <c r="N220" s="11" t="n"/>
      <c r="O220" s="11" t="n"/>
      <c r="P220" s="11" t="n"/>
      <c r="Q220" s="11" t="n"/>
    </row>
    <row r="221">
      <c r="A221" s="8">
        <f>B221&amp;"_"&amp;C221</f>
        <v/>
      </c>
      <c r="B221" s="8" t="n"/>
      <c r="C221" s="8" t="n"/>
      <c r="D221" s="8" t="n"/>
      <c r="E221" s="11" t="n"/>
      <c r="F221" s="11" t="n"/>
      <c r="G221" s="8" t="n"/>
      <c r="H221" s="8" t="n"/>
      <c r="I221" s="8" t="n"/>
      <c r="J221" s="8" t="n"/>
      <c r="K221" s="12">
        <f>IF(OR(ISERROR(VLOOKUP(C221, Resultados_Reales!$A$4:$I$107, 5, FALSE)), ISERROR(VLOOKUP(C221, Resultados_Reales!$A$4:$I$107, 6, FALSE)), VLOOKUP(C221, Resultados_Reales!$A$4:$I$107, 5, FALSE)="", VLOOKUP(C221, Resultados_Reales!$A$4:$I$107, 6, FALSE)=""), 0, IF(AND(VLOOKUP(C221, Resultados_Reales!$A$4:$I$107, 5, FALSE)=G221, VLOOKUP(C221, Resultados_Reales!$A$4:$I$107, 6, FALSE)=H221), Configuracion!$B$5, IF(SIGN(VLOOKUP(C221, Resultados_Reales!$A$4:$I$107, 5, FALSE)-VLOOKUP(C221, Resultados_Reales!$A$4:$I$107, 6, FALSE)) = SIGN(G221-H221), Configuracion!$B$4, 0)))</f>
        <v/>
      </c>
      <c r="L221" s="11" t="n"/>
      <c r="M221" s="11" t="n"/>
      <c r="N221" s="11" t="n"/>
      <c r="O221" s="11" t="n"/>
      <c r="P221" s="11" t="n"/>
      <c r="Q221" s="11" t="n"/>
    </row>
    <row r="222">
      <c r="A222" s="8">
        <f>B222&amp;"_"&amp;C222</f>
        <v/>
      </c>
      <c r="B222" s="8" t="n"/>
      <c r="C222" s="8" t="n"/>
      <c r="D222" s="8" t="n"/>
      <c r="E222" s="11" t="n"/>
      <c r="F222" s="11" t="n"/>
      <c r="G222" s="8" t="n"/>
      <c r="H222" s="8" t="n"/>
      <c r="I222" s="8" t="n"/>
      <c r="J222" s="8" t="n"/>
      <c r="K222" s="12">
        <f>IF(OR(ISERROR(VLOOKUP(C222, Resultados_Reales!$A$4:$I$107, 5, FALSE)), ISERROR(VLOOKUP(C222, Resultados_Reales!$A$4:$I$107, 6, FALSE)), VLOOKUP(C222, Resultados_Reales!$A$4:$I$107, 5, FALSE)="", VLOOKUP(C222, Resultados_Reales!$A$4:$I$107, 6, FALSE)=""), 0, IF(AND(VLOOKUP(C222, Resultados_Reales!$A$4:$I$107, 5, FALSE)=G222, VLOOKUP(C222, Resultados_Reales!$A$4:$I$107, 6, FALSE)=H222), Configuracion!$B$5, IF(SIGN(VLOOKUP(C222, Resultados_Reales!$A$4:$I$107, 5, FALSE)-VLOOKUP(C222, Resultados_Reales!$A$4:$I$107, 6, FALSE)) = SIGN(G222-H222), Configuracion!$B$4, 0)))</f>
        <v/>
      </c>
      <c r="L222" s="11" t="n"/>
      <c r="M222" s="11" t="n"/>
      <c r="N222" s="11" t="n"/>
      <c r="O222" s="11" t="n"/>
      <c r="P222" s="11" t="n"/>
      <c r="Q222" s="11" t="n"/>
    </row>
    <row r="223">
      <c r="A223" s="8">
        <f>B223&amp;"_"&amp;C223</f>
        <v/>
      </c>
      <c r="B223" s="8" t="n"/>
      <c r="C223" s="8" t="n"/>
      <c r="D223" s="8" t="n"/>
      <c r="E223" s="11" t="n"/>
      <c r="F223" s="11" t="n"/>
      <c r="G223" s="8" t="n"/>
      <c r="H223" s="8" t="n"/>
      <c r="I223" s="8" t="n"/>
      <c r="J223" s="8" t="n"/>
      <c r="K223" s="12">
        <f>IF(OR(ISERROR(VLOOKUP(C223, Resultados_Reales!$A$4:$I$107, 5, FALSE)), ISERROR(VLOOKUP(C223, Resultados_Reales!$A$4:$I$107, 6, FALSE)), VLOOKUP(C223, Resultados_Reales!$A$4:$I$107, 5, FALSE)="", VLOOKUP(C223, Resultados_Reales!$A$4:$I$107, 6, FALSE)=""), 0, IF(AND(VLOOKUP(C223, Resultados_Reales!$A$4:$I$107, 5, FALSE)=G223, VLOOKUP(C223, Resultados_Reales!$A$4:$I$107, 6, FALSE)=H223), Configuracion!$B$5, IF(SIGN(VLOOKUP(C223, Resultados_Reales!$A$4:$I$107, 5, FALSE)-VLOOKUP(C223, Resultados_Reales!$A$4:$I$107, 6, FALSE)) = SIGN(G223-H223), Configuracion!$B$4, 0)))</f>
        <v/>
      </c>
      <c r="L223" s="11" t="n"/>
      <c r="M223" s="11" t="n"/>
      <c r="N223" s="11" t="n"/>
      <c r="O223" s="11" t="n"/>
      <c r="P223" s="11" t="n"/>
      <c r="Q223" s="11" t="n"/>
    </row>
    <row r="224">
      <c r="A224" s="8">
        <f>B224&amp;"_"&amp;C224</f>
        <v/>
      </c>
      <c r="B224" s="8" t="n"/>
      <c r="C224" s="8" t="n"/>
      <c r="D224" s="8" t="n"/>
      <c r="E224" s="11" t="n"/>
      <c r="F224" s="11" t="n"/>
      <c r="G224" s="8" t="n"/>
      <c r="H224" s="8" t="n"/>
      <c r="I224" s="8" t="n"/>
      <c r="J224" s="8" t="n"/>
      <c r="K224" s="12">
        <f>IF(OR(ISERROR(VLOOKUP(C224, Resultados_Reales!$A$4:$I$107, 5, FALSE)), ISERROR(VLOOKUP(C224, Resultados_Reales!$A$4:$I$107, 6, FALSE)), VLOOKUP(C224, Resultados_Reales!$A$4:$I$107, 5, FALSE)="", VLOOKUP(C224, Resultados_Reales!$A$4:$I$107, 6, FALSE)=""), 0, IF(AND(VLOOKUP(C224, Resultados_Reales!$A$4:$I$107, 5, FALSE)=G224, VLOOKUP(C224, Resultados_Reales!$A$4:$I$107, 6, FALSE)=H224), Configuracion!$B$5, IF(SIGN(VLOOKUP(C224, Resultados_Reales!$A$4:$I$107, 5, FALSE)-VLOOKUP(C224, Resultados_Reales!$A$4:$I$107, 6, FALSE)) = SIGN(G224-H224), Configuracion!$B$4, 0)))</f>
        <v/>
      </c>
      <c r="L224" s="11" t="n"/>
      <c r="M224" s="11" t="n"/>
      <c r="N224" s="11" t="n"/>
      <c r="O224" s="11" t="n"/>
      <c r="P224" s="11" t="n"/>
      <c r="Q224" s="11" t="n"/>
    </row>
    <row r="225">
      <c r="A225" s="8">
        <f>B225&amp;"_"&amp;C225</f>
        <v/>
      </c>
      <c r="B225" s="8" t="n"/>
      <c r="C225" s="8" t="n"/>
      <c r="D225" s="8" t="n"/>
      <c r="E225" s="11" t="n"/>
      <c r="F225" s="11" t="n"/>
      <c r="G225" s="8" t="n"/>
      <c r="H225" s="8" t="n"/>
      <c r="I225" s="8" t="n"/>
      <c r="J225" s="8" t="n"/>
      <c r="K225" s="12">
        <f>IF(OR(ISERROR(VLOOKUP(C225, Resultados_Reales!$A$4:$I$107, 5, FALSE)), ISERROR(VLOOKUP(C225, Resultados_Reales!$A$4:$I$107, 6, FALSE)), VLOOKUP(C225, Resultados_Reales!$A$4:$I$107, 5, FALSE)="", VLOOKUP(C225, Resultados_Reales!$A$4:$I$107, 6, FALSE)=""), 0, IF(AND(VLOOKUP(C225, Resultados_Reales!$A$4:$I$107, 5, FALSE)=G225, VLOOKUP(C225, Resultados_Reales!$A$4:$I$107, 6, FALSE)=H225), Configuracion!$B$5, IF(SIGN(VLOOKUP(C225, Resultados_Reales!$A$4:$I$107, 5, FALSE)-VLOOKUP(C225, Resultados_Reales!$A$4:$I$107, 6, FALSE)) = SIGN(G225-H225), Configuracion!$B$4, 0)))</f>
        <v/>
      </c>
      <c r="L225" s="11" t="n"/>
      <c r="M225" s="11" t="n"/>
      <c r="N225" s="11" t="n"/>
      <c r="O225" s="11" t="n"/>
      <c r="P225" s="11" t="n"/>
      <c r="Q225" s="11" t="n"/>
    </row>
    <row r="226">
      <c r="A226" s="8">
        <f>B226&amp;"_"&amp;C226</f>
        <v/>
      </c>
      <c r="B226" s="8" t="n"/>
      <c r="C226" s="8" t="n"/>
      <c r="D226" s="8" t="n"/>
      <c r="E226" s="11" t="n"/>
      <c r="F226" s="11" t="n"/>
      <c r="G226" s="8" t="n"/>
      <c r="H226" s="8" t="n"/>
      <c r="I226" s="8" t="n"/>
      <c r="J226" s="8" t="n"/>
      <c r="K226" s="12">
        <f>IF(OR(ISERROR(VLOOKUP(C226, Resultados_Reales!$A$4:$I$107, 5, FALSE)), ISERROR(VLOOKUP(C226, Resultados_Reales!$A$4:$I$107, 6, FALSE)), VLOOKUP(C226, Resultados_Reales!$A$4:$I$107, 5, FALSE)="", VLOOKUP(C226, Resultados_Reales!$A$4:$I$107, 6, FALSE)=""), 0, IF(AND(VLOOKUP(C226, Resultados_Reales!$A$4:$I$107, 5, FALSE)=G226, VLOOKUP(C226, Resultados_Reales!$A$4:$I$107, 6, FALSE)=H226), Configuracion!$B$5, IF(SIGN(VLOOKUP(C226, Resultados_Reales!$A$4:$I$107, 5, FALSE)-VLOOKUP(C226, Resultados_Reales!$A$4:$I$107, 6, FALSE)) = SIGN(G226-H226), Configuracion!$B$4, 0)))</f>
        <v/>
      </c>
      <c r="L226" s="11" t="n"/>
      <c r="M226" s="11" t="n"/>
      <c r="N226" s="11" t="n"/>
      <c r="O226" s="11" t="n"/>
      <c r="P226" s="11" t="n"/>
      <c r="Q226" s="11" t="n"/>
    </row>
    <row r="227">
      <c r="A227" s="8">
        <f>B227&amp;"_"&amp;C227</f>
        <v/>
      </c>
      <c r="B227" s="8" t="n"/>
      <c r="C227" s="8" t="n"/>
      <c r="D227" s="8" t="n"/>
      <c r="E227" s="11" t="n"/>
      <c r="F227" s="11" t="n"/>
      <c r="G227" s="8" t="n"/>
      <c r="H227" s="8" t="n"/>
      <c r="I227" s="8" t="n"/>
      <c r="J227" s="8" t="n"/>
      <c r="K227" s="12">
        <f>IF(OR(ISERROR(VLOOKUP(C227, Resultados_Reales!$A$4:$I$107, 5, FALSE)), ISERROR(VLOOKUP(C227, Resultados_Reales!$A$4:$I$107, 6, FALSE)), VLOOKUP(C227, Resultados_Reales!$A$4:$I$107, 5, FALSE)="", VLOOKUP(C227, Resultados_Reales!$A$4:$I$107, 6, FALSE)=""), 0, IF(AND(VLOOKUP(C227, Resultados_Reales!$A$4:$I$107, 5, FALSE)=G227, VLOOKUP(C227, Resultados_Reales!$A$4:$I$107, 6, FALSE)=H227), Configuracion!$B$5, IF(SIGN(VLOOKUP(C227, Resultados_Reales!$A$4:$I$107, 5, FALSE)-VLOOKUP(C227, Resultados_Reales!$A$4:$I$107, 6, FALSE)) = SIGN(G227-H227), Configuracion!$B$4, 0)))</f>
        <v/>
      </c>
      <c r="L227" s="11" t="n"/>
      <c r="M227" s="11" t="n"/>
      <c r="N227" s="11" t="n"/>
      <c r="O227" s="11" t="n"/>
      <c r="P227" s="11" t="n"/>
      <c r="Q227" s="11" t="n"/>
    </row>
    <row r="228">
      <c r="A228" s="8">
        <f>B228&amp;"_"&amp;C228</f>
        <v/>
      </c>
      <c r="B228" s="8" t="n"/>
      <c r="C228" s="8" t="n"/>
      <c r="D228" s="8" t="n"/>
      <c r="E228" s="11" t="n"/>
      <c r="F228" s="11" t="n"/>
      <c r="G228" s="8" t="n"/>
      <c r="H228" s="8" t="n"/>
      <c r="I228" s="8" t="n"/>
      <c r="J228" s="8" t="n"/>
      <c r="K228" s="12">
        <f>IF(OR(ISERROR(VLOOKUP(C228, Resultados_Reales!$A$4:$I$107, 5, FALSE)), ISERROR(VLOOKUP(C228, Resultados_Reales!$A$4:$I$107, 6, FALSE)), VLOOKUP(C228, Resultados_Reales!$A$4:$I$107, 5, FALSE)="", VLOOKUP(C228, Resultados_Reales!$A$4:$I$107, 6, FALSE)=""), 0, IF(AND(VLOOKUP(C228, Resultados_Reales!$A$4:$I$107, 5, FALSE)=G228, VLOOKUP(C228, Resultados_Reales!$A$4:$I$107, 6, FALSE)=H228), Configuracion!$B$5, IF(SIGN(VLOOKUP(C228, Resultados_Reales!$A$4:$I$107, 5, FALSE)-VLOOKUP(C228, Resultados_Reales!$A$4:$I$107, 6, FALSE)) = SIGN(G228-H228), Configuracion!$B$4, 0)))</f>
        <v/>
      </c>
      <c r="L228" s="11" t="n"/>
      <c r="M228" s="11" t="n"/>
      <c r="N228" s="11" t="n"/>
      <c r="O228" s="11" t="n"/>
      <c r="P228" s="11" t="n"/>
      <c r="Q228" s="11" t="n"/>
    </row>
    <row r="229">
      <c r="A229" s="8">
        <f>B229&amp;"_"&amp;C229</f>
        <v/>
      </c>
      <c r="B229" s="8" t="n"/>
      <c r="C229" s="8" t="n"/>
      <c r="D229" s="8" t="n"/>
      <c r="E229" s="11" t="n"/>
      <c r="F229" s="11" t="n"/>
      <c r="G229" s="8" t="n"/>
      <c r="H229" s="8" t="n"/>
      <c r="I229" s="8" t="n"/>
      <c r="J229" s="8" t="n"/>
      <c r="K229" s="12">
        <f>IF(OR(ISERROR(VLOOKUP(C229, Resultados_Reales!$A$4:$I$107, 5, FALSE)), ISERROR(VLOOKUP(C229, Resultados_Reales!$A$4:$I$107, 6, FALSE)), VLOOKUP(C229, Resultados_Reales!$A$4:$I$107, 5, FALSE)="", VLOOKUP(C229, Resultados_Reales!$A$4:$I$107, 6, FALSE)=""), 0, IF(AND(VLOOKUP(C229, Resultados_Reales!$A$4:$I$107, 5, FALSE)=G229, VLOOKUP(C229, Resultados_Reales!$A$4:$I$107, 6, FALSE)=H229), Configuracion!$B$5, IF(SIGN(VLOOKUP(C229, Resultados_Reales!$A$4:$I$107, 5, FALSE)-VLOOKUP(C229, Resultados_Reales!$A$4:$I$107, 6, FALSE)) = SIGN(G229-H229), Configuracion!$B$4, 0)))</f>
        <v/>
      </c>
      <c r="L229" s="11" t="n"/>
      <c r="M229" s="11" t="n"/>
      <c r="N229" s="11" t="n"/>
      <c r="O229" s="11" t="n"/>
      <c r="P229" s="11" t="n"/>
      <c r="Q229" s="11" t="n"/>
    </row>
    <row r="230">
      <c r="A230" s="8">
        <f>B230&amp;"_"&amp;C230</f>
        <v/>
      </c>
      <c r="B230" s="8" t="n"/>
      <c r="C230" s="8" t="n"/>
      <c r="D230" s="8" t="n"/>
      <c r="E230" s="11" t="n"/>
      <c r="F230" s="11" t="n"/>
      <c r="G230" s="8" t="n"/>
      <c r="H230" s="8" t="n"/>
      <c r="I230" s="8" t="n"/>
      <c r="J230" s="8" t="n"/>
      <c r="K230" s="12">
        <f>IF(OR(ISERROR(VLOOKUP(C230, Resultados_Reales!$A$4:$I$107, 5, FALSE)), ISERROR(VLOOKUP(C230, Resultados_Reales!$A$4:$I$107, 6, FALSE)), VLOOKUP(C230, Resultados_Reales!$A$4:$I$107, 5, FALSE)="", VLOOKUP(C230, Resultados_Reales!$A$4:$I$107, 6, FALSE)=""), 0, IF(AND(VLOOKUP(C230, Resultados_Reales!$A$4:$I$107, 5, FALSE)=G230, VLOOKUP(C230, Resultados_Reales!$A$4:$I$107, 6, FALSE)=H230), Configuracion!$B$5, IF(SIGN(VLOOKUP(C230, Resultados_Reales!$A$4:$I$107, 5, FALSE)-VLOOKUP(C230, Resultados_Reales!$A$4:$I$107, 6, FALSE)) = SIGN(G230-H230), Configuracion!$B$4, 0)))</f>
        <v/>
      </c>
      <c r="L230" s="11" t="n"/>
      <c r="M230" s="11" t="n"/>
      <c r="N230" s="11" t="n"/>
      <c r="O230" s="11" t="n"/>
      <c r="P230" s="11" t="n"/>
      <c r="Q230" s="11" t="n"/>
    </row>
    <row r="231">
      <c r="A231" s="8">
        <f>B231&amp;"_"&amp;C231</f>
        <v/>
      </c>
      <c r="B231" s="8" t="n"/>
      <c r="C231" s="8" t="n"/>
      <c r="D231" s="8" t="n"/>
      <c r="E231" s="11" t="n"/>
      <c r="F231" s="11" t="n"/>
      <c r="G231" s="8" t="n"/>
      <c r="H231" s="8" t="n"/>
      <c r="I231" s="8" t="n"/>
      <c r="J231" s="8" t="n"/>
      <c r="K231" s="12">
        <f>IF(OR(ISERROR(VLOOKUP(C231, Resultados_Reales!$A$4:$I$107, 5, FALSE)), ISERROR(VLOOKUP(C231, Resultados_Reales!$A$4:$I$107, 6, FALSE)), VLOOKUP(C231, Resultados_Reales!$A$4:$I$107, 5, FALSE)="", VLOOKUP(C231, Resultados_Reales!$A$4:$I$107, 6, FALSE)=""), 0, IF(AND(VLOOKUP(C231, Resultados_Reales!$A$4:$I$107, 5, FALSE)=G231, VLOOKUP(C231, Resultados_Reales!$A$4:$I$107, 6, FALSE)=H231), Configuracion!$B$5, IF(SIGN(VLOOKUP(C231, Resultados_Reales!$A$4:$I$107, 5, FALSE)-VLOOKUP(C231, Resultados_Reales!$A$4:$I$107, 6, FALSE)) = SIGN(G231-H231), Configuracion!$B$4, 0)))</f>
        <v/>
      </c>
      <c r="L231" s="11" t="n"/>
      <c r="M231" s="11" t="n"/>
      <c r="N231" s="11" t="n"/>
      <c r="O231" s="11" t="n"/>
      <c r="P231" s="11" t="n"/>
      <c r="Q231" s="11" t="n"/>
    </row>
    <row r="232">
      <c r="A232" s="8">
        <f>B232&amp;"_"&amp;C232</f>
        <v/>
      </c>
      <c r="B232" s="8" t="n"/>
      <c r="C232" s="8" t="n"/>
      <c r="D232" s="8" t="n"/>
      <c r="E232" s="11" t="n"/>
      <c r="F232" s="11" t="n"/>
      <c r="G232" s="8" t="n"/>
      <c r="H232" s="8" t="n"/>
      <c r="I232" s="8" t="n"/>
      <c r="J232" s="8" t="n"/>
      <c r="K232" s="12">
        <f>IF(OR(ISERROR(VLOOKUP(C232, Resultados_Reales!$A$4:$I$107, 5, FALSE)), ISERROR(VLOOKUP(C232, Resultados_Reales!$A$4:$I$107, 6, FALSE)), VLOOKUP(C232, Resultados_Reales!$A$4:$I$107, 5, FALSE)="", VLOOKUP(C232, Resultados_Reales!$A$4:$I$107, 6, FALSE)=""), 0, IF(AND(VLOOKUP(C232, Resultados_Reales!$A$4:$I$107, 5, FALSE)=G232, VLOOKUP(C232, Resultados_Reales!$A$4:$I$107, 6, FALSE)=H232), Configuracion!$B$5, IF(SIGN(VLOOKUP(C232, Resultados_Reales!$A$4:$I$107, 5, FALSE)-VLOOKUP(C232, Resultados_Reales!$A$4:$I$107, 6, FALSE)) = SIGN(G232-H232), Configuracion!$B$4, 0)))</f>
        <v/>
      </c>
      <c r="L232" s="11" t="n"/>
      <c r="M232" s="11" t="n"/>
      <c r="N232" s="11" t="n"/>
      <c r="O232" s="11" t="n"/>
      <c r="P232" s="11" t="n"/>
      <c r="Q232" s="11" t="n"/>
    </row>
    <row r="233">
      <c r="A233" s="8">
        <f>B233&amp;"_"&amp;C233</f>
        <v/>
      </c>
      <c r="B233" s="8" t="n"/>
      <c r="C233" s="8" t="n"/>
      <c r="D233" s="8" t="n"/>
      <c r="E233" s="11" t="n"/>
      <c r="F233" s="11" t="n"/>
      <c r="G233" s="8" t="n"/>
      <c r="H233" s="8" t="n"/>
      <c r="I233" s="8" t="n"/>
      <c r="J233" s="8" t="n"/>
      <c r="K233" s="12">
        <f>IF(OR(ISERROR(VLOOKUP(C233, Resultados_Reales!$A$4:$I$107, 5, FALSE)), ISERROR(VLOOKUP(C233, Resultados_Reales!$A$4:$I$107, 6, FALSE)), VLOOKUP(C233, Resultados_Reales!$A$4:$I$107, 5, FALSE)="", VLOOKUP(C233, Resultados_Reales!$A$4:$I$107, 6, FALSE)=""), 0, IF(AND(VLOOKUP(C233, Resultados_Reales!$A$4:$I$107, 5, FALSE)=G233, VLOOKUP(C233, Resultados_Reales!$A$4:$I$107, 6, FALSE)=H233), Configuracion!$B$5, IF(SIGN(VLOOKUP(C233, Resultados_Reales!$A$4:$I$107, 5, FALSE)-VLOOKUP(C233, Resultados_Reales!$A$4:$I$107, 6, FALSE)) = SIGN(G233-H233), Configuracion!$B$4, 0)))</f>
        <v/>
      </c>
      <c r="L233" s="11" t="n"/>
      <c r="M233" s="11" t="n"/>
      <c r="N233" s="11" t="n"/>
      <c r="O233" s="11" t="n"/>
      <c r="P233" s="11" t="n"/>
      <c r="Q233" s="11" t="n"/>
    </row>
    <row r="234">
      <c r="A234" s="8">
        <f>B234&amp;"_"&amp;C234</f>
        <v/>
      </c>
      <c r="B234" s="8" t="n"/>
      <c r="C234" s="8" t="n"/>
      <c r="D234" s="8" t="n"/>
      <c r="E234" s="11" t="n"/>
      <c r="F234" s="11" t="n"/>
      <c r="G234" s="8" t="n"/>
      <c r="H234" s="8" t="n"/>
      <c r="I234" s="8" t="n"/>
      <c r="J234" s="8" t="n"/>
      <c r="K234" s="12">
        <f>IF(OR(ISERROR(VLOOKUP(C234, Resultados_Reales!$A$4:$I$107, 5, FALSE)), ISERROR(VLOOKUP(C234, Resultados_Reales!$A$4:$I$107, 6, FALSE)), VLOOKUP(C234, Resultados_Reales!$A$4:$I$107, 5, FALSE)="", VLOOKUP(C234, Resultados_Reales!$A$4:$I$107, 6, FALSE)=""), 0, IF(AND(VLOOKUP(C234, Resultados_Reales!$A$4:$I$107, 5, FALSE)=G234, VLOOKUP(C234, Resultados_Reales!$A$4:$I$107, 6, FALSE)=H234), Configuracion!$B$5, IF(SIGN(VLOOKUP(C234, Resultados_Reales!$A$4:$I$107, 5, FALSE)-VLOOKUP(C234, Resultados_Reales!$A$4:$I$107, 6, FALSE)) = SIGN(G234-H234), Configuracion!$B$4, 0)))</f>
        <v/>
      </c>
      <c r="L234" s="11" t="n"/>
      <c r="M234" s="11" t="n"/>
      <c r="N234" s="11" t="n"/>
      <c r="O234" s="11" t="n"/>
      <c r="P234" s="11" t="n"/>
      <c r="Q234" s="11" t="n"/>
    </row>
    <row r="235">
      <c r="A235" s="8">
        <f>B235&amp;"_"&amp;C235</f>
        <v/>
      </c>
      <c r="B235" s="8" t="n"/>
      <c r="C235" s="8" t="n"/>
      <c r="D235" s="8" t="n"/>
      <c r="E235" s="11" t="n"/>
      <c r="F235" s="11" t="n"/>
      <c r="G235" s="8" t="n"/>
      <c r="H235" s="8" t="n"/>
      <c r="I235" s="8" t="n"/>
      <c r="J235" s="8" t="n"/>
      <c r="K235" s="12">
        <f>IF(OR(ISERROR(VLOOKUP(C235, Resultados_Reales!$A$4:$I$107, 5, FALSE)), ISERROR(VLOOKUP(C235, Resultados_Reales!$A$4:$I$107, 6, FALSE)), VLOOKUP(C235, Resultados_Reales!$A$4:$I$107, 5, FALSE)="", VLOOKUP(C235, Resultados_Reales!$A$4:$I$107, 6, FALSE)=""), 0, IF(AND(VLOOKUP(C235, Resultados_Reales!$A$4:$I$107, 5, FALSE)=G235, VLOOKUP(C235, Resultados_Reales!$A$4:$I$107, 6, FALSE)=H235), Configuracion!$B$5, IF(SIGN(VLOOKUP(C235, Resultados_Reales!$A$4:$I$107, 5, FALSE)-VLOOKUP(C235, Resultados_Reales!$A$4:$I$107, 6, FALSE)) = SIGN(G235-H235), Configuracion!$B$4, 0)))</f>
        <v/>
      </c>
      <c r="L235" s="11" t="n"/>
      <c r="M235" s="11" t="n"/>
      <c r="N235" s="11" t="n"/>
      <c r="O235" s="11" t="n"/>
      <c r="P235" s="11" t="n"/>
      <c r="Q235" s="11" t="n"/>
    </row>
    <row r="236">
      <c r="A236" s="8">
        <f>B236&amp;"_"&amp;C236</f>
        <v/>
      </c>
      <c r="B236" s="8" t="n"/>
      <c r="C236" s="8" t="n"/>
      <c r="D236" s="8" t="n"/>
      <c r="E236" s="11" t="n"/>
      <c r="F236" s="11" t="n"/>
      <c r="G236" s="8" t="n"/>
      <c r="H236" s="8" t="n"/>
      <c r="I236" s="8" t="n"/>
      <c r="J236" s="8" t="n"/>
      <c r="K236" s="12">
        <f>IF(OR(ISERROR(VLOOKUP(C236, Resultados_Reales!$A$4:$I$107, 5, FALSE)), ISERROR(VLOOKUP(C236, Resultados_Reales!$A$4:$I$107, 6, FALSE)), VLOOKUP(C236, Resultados_Reales!$A$4:$I$107, 5, FALSE)="", VLOOKUP(C236, Resultados_Reales!$A$4:$I$107, 6, FALSE)=""), 0, IF(AND(VLOOKUP(C236, Resultados_Reales!$A$4:$I$107, 5, FALSE)=G236, VLOOKUP(C236, Resultados_Reales!$A$4:$I$107, 6, FALSE)=H236), Configuracion!$B$5, IF(SIGN(VLOOKUP(C236, Resultados_Reales!$A$4:$I$107, 5, FALSE)-VLOOKUP(C236, Resultados_Reales!$A$4:$I$107, 6, FALSE)) = SIGN(G236-H236), Configuracion!$B$4, 0)))</f>
        <v/>
      </c>
      <c r="L236" s="11" t="n"/>
      <c r="M236" s="11" t="n"/>
      <c r="N236" s="11" t="n"/>
      <c r="O236" s="11" t="n"/>
      <c r="P236" s="11" t="n"/>
      <c r="Q236" s="11" t="n"/>
    </row>
    <row r="237">
      <c r="A237" s="8">
        <f>B237&amp;"_"&amp;C237</f>
        <v/>
      </c>
      <c r="B237" s="8" t="n"/>
      <c r="C237" s="8" t="n"/>
      <c r="D237" s="8" t="n"/>
      <c r="E237" s="11" t="n"/>
      <c r="F237" s="11" t="n"/>
      <c r="G237" s="8" t="n"/>
      <c r="H237" s="8" t="n"/>
      <c r="I237" s="8" t="n"/>
      <c r="J237" s="8" t="n"/>
      <c r="K237" s="12">
        <f>IF(OR(ISERROR(VLOOKUP(C237, Resultados_Reales!$A$4:$I$107, 5, FALSE)), ISERROR(VLOOKUP(C237, Resultados_Reales!$A$4:$I$107, 6, FALSE)), VLOOKUP(C237, Resultados_Reales!$A$4:$I$107, 5, FALSE)="", VLOOKUP(C237, Resultados_Reales!$A$4:$I$107, 6, FALSE)=""), 0, IF(AND(VLOOKUP(C237, Resultados_Reales!$A$4:$I$107, 5, FALSE)=G237, VLOOKUP(C237, Resultados_Reales!$A$4:$I$107, 6, FALSE)=H237), Configuracion!$B$5, IF(SIGN(VLOOKUP(C237, Resultados_Reales!$A$4:$I$107, 5, FALSE)-VLOOKUP(C237, Resultados_Reales!$A$4:$I$107, 6, FALSE)) = SIGN(G237-H237), Configuracion!$B$4, 0)))</f>
        <v/>
      </c>
      <c r="L237" s="11" t="n"/>
      <c r="M237" s="11" t="n"/>
      <c r="N237" s="11" t="n"/>
      <c r="O237" s="11" t="n"/>
      <c r="P237" s="11" t="n"/>
      <c r="Q237" s="11" t="n"/>
    </row>
    <row r="238">
      <c r="A238" s="8">
        <f>B238&amp;"_"&amp;C238</f>
        <v/>
      </c>
      <c r="B238" s="8" t="n"/>
      <c r="C238" s="8" t="n"/>
      <c r="D238" s="8" t="n"/>
      <c r="E238" s="11" t="n"/>
      <c r="F238" s="11" t="n"/>
      <c r="G238" s="8" t="n"/>
      <c r="H238" s="8" t="n"/>
      <c r="I238" s="8" t="n"/>
      <c r="J238" s="8" t="n"/>
      <c r="K238" s="12">
        <f>IF(OR(ISERROR(VLOOKUP(C238, Resultados_Reales!$A$4:$I$107, 5, FALSE)), ISERROR(VLOOKUP(C238, Resultados_Reales!$A$4:$I$107, 6, FALSE)), VLOOKUP(C238, Resultados_Reales!$A$4:$I$107, 5, FALSE)="", VLOOKUP(C238, Resultados_Reales!$A$4:$I$107, 6, FALSE)=""), 0, IF(AND(VLOOKUP(C238, Resultados_Reales!$A$4:$I$107, 5, FALSE)=G238, VLOOKUP(C238, Resultados_Reales!$A$4:$I$107, 6, FALSE)=H238), Configuracion!$B$5, IF(SIGN(VLOOKUP(C238, Resultados_Reales!$A$4:$I$107, 5, FALSE)-VLOOKUP(C238, Resultados_Reales!$A$4:$I$107, 6, FALSE)) = SIGN(G238-H238), Configuracion!$B$4, 0)))</f>
        <v/>
      </c>
      <c r="L238" s="11" t="n"/>
      <c r="M238" s="11" t="n"/>
      <c r="N238" s="11" t="n"/>
      <c r="O238" s="11" t="n"/>
      <c r="P238" s="11" t="n"/>
      <c r="Q238" s="11" t="n"/>
    </row>
    <row r="239">
      <c r="A239" s="8">
        <f>B239&amp;"_"&amp;C239</f>
        <v/>
      </c>
      <c r="B239" s="8" t="n"/>
      <c r="C239" s="8" t="n"/>
      <c r="D239" s="8" t="n"/>
      <c r="E239" s="11" t="n"/>
      <c r="F239" s="11" t="n"/>
      <c r="G239" s="8" t="n"/>
      <c r="H239" s="8" t="n"/>
      <c r="I239" s="8" t="n"/>
      <c r="J239" s="8" t="n"/>
      <c r="K239" s="12">
        <f>IF(OR(ISERROR(VLOOKUP(C239, Resultados_Reales!$A$4:$I$107, 5, FALSE)), ISERROR(VLOOKUP(C239, Resultados_Reales!$A$4:$I$107, 6, FALSE)), VLOOKUP(C239, Resultados_Reales!$A$4:$I$107, 5, FALSE)="", VLOOKUP(C239, Resultados_Reales!$A$4:$I$107, 6, FALSE)=""), 0, IF(AND(VLOOKUP(C239, Resultados_Reales!$A$4:$I$107, 5, FALSE)=G239, VLOOKUP(C239, Resultados_Reales!$A$4:$I$107, 6, FALSE)=H239), Configuracion!$B$5, IF(SIGN(VLOOKUP(C239, Resultados_Reales!$A$4:$I$107, 5, FALSE)-VLOOKUP(C239, Resultados_Reales!$A$4:$I$107, 6, FALSE)) = SIGN(G239-H239), Configuracion!$B$4, 0)))</f>
        <v/>
      </c>
      <c r="L239" s="11" t="n"/>
      <c r="M239" s="11" t="n"/>
      <c r="N239" s="11" t="n"/>
      <c r="O239" s="11" t="n"/>
      <c r="P239" s="11" t="n"/>
      <c r="Q239" s="11" t="n"/>
    </row>
    <row r="240">
      <c r="A240" s="8">
        <f>B240&amp;"_"&amp;C240</f>
        <v/>
      </c>
      <c r="B240" s="8" t="n"/>
      <c r="C240" s="8" t="n"/>
      <c r="D240" s="8" t="n"/>
      <c r="E240" s="11" t="n"/>
      <c r="F240" s="11" t="n"/>
      <c r="G240" s="8" t="n"/>
      <c r="H240" s="8" t="n"/>
      <c r="I240" s="8" t="n"/>
      <c r="J240" s="8" t="n"/>
      <c r="K240" s="12">
        <f>IF(OR(ISERROR(VLOOKUP(C240, Resultados_Reales!$A$4:$I$107, 5, FALSE)), ISERROR(VLOOKUP(C240, Resultados_Reales!$A$4:$I$107, 6, FALSE)), VLOOKUP(C240, Resultados_Reales!$A$4:$I$107, 5, FALSE)="", VLOOKUP(C240, Resultados_Reales!$A$4:$I$107, 6, FALSE)=""), 0, IF(AND(VLOOKUP(C240, Resultados_Reales!$A$4:$I$107, 5, FALSE)=G240, VLOOKUP(C240, Resultados_Reales!$A$4:$I$107, 6, FALSE)=H240), Configuracion!$B$5, IF(SIGN(VLOOKUP(C240, Resultados_Reales!$A$4:$I$107, 5, FALSE)-VLOOKUP(C240, Resultados_Reales!$A$4:$I$107, 6, FALSE)) = SIGN(G240-H240), Configuracion!$B$4, 0)))</f>
        <v/>
      </c>
      <c r="L240" s="11" t="n"/>
      <c r="M240" s="11" t="n"/>
      <c r="N240" s="11" t="n"/>
      <c r="O240" s="11" t="n"/>
      <c r="P240" s="11" t="n"/>
      <c r="Q240" s="11" t="n"/>
    </row>
    <row r="241">
      <c r="A241" s="8">
        <f>B241&amp;"_"&amp;C241</f>
        <v/>
      </c>
      <c r="B241" s="8" t="n"/>
      <c r="C241" s="8" t="n"/>
      <c r="D241" s="8" t="n"/>
      <c r="E241" s="11" t="n"/>
      <c r="F241" s="11" t="n"/>
      <c r="G241" s="8" t="n"/>
      <c r="H241" s="8" t="n"/>
      <c r="I241" s="8" t="n"/>
      <c r="J241" s="8" t="n"/>
      <c r="K241" s="12">
        <f>IF(OR(ISERROR(VLOOKUP(C241, Resultados_Reales!$A$4:$I$107, 5, FALSE)), ISERROR(VLOOKUP(C241, Resultados_Reales!$A$4:$I$107, 6, FALSE)), VLOOKUP(C241, Resultados_Reales!$A$4:$I$107, 5, FALSE)="", VLOOKUP(C241, Resultados_Reales!$A$4:$I$107, 6, FALSE)=""), 0, IF(AND(VLOOKUP(C241, Resultados_Reales!$A$4:$I$107, 5, FALSE)=G241, VLOOKUP(C241, Resultados_Reales!$A$4:$I$107, 6, FALSE)=H241), Configuracion!$B$5, IF(SIGN(VLOOKUP(C241, Resultados_Reales!$A$4:$I$107, 5, FALSE)-VLOOKUP(C241, Resultados_Reales!$A$4:$I$107, 6, FALSE)) = SIGN(G241-H241), Configuracion!$B$4, 0)))</f>
        <v/>
      </c>
      <c r="L241" s="11" t="n"/>
      <c r="M241" s="11" t="n"/>
      <c r="N241" s="11" t="n"/>
      <c r="O241" s="11" t="n"/>
      <c r="P241" s="11" t="n"/>
      <c r="Q241" s="11" t="n"/>
    </row>
    <row r="242">
      <c r="A242" s="8">
        <f>B242&amp;"_"&amp;C242</f>
        <v/>
      </c>
      <c r="B242" s="8" t="n"/>
      <c r="C242" s="8" t="n"/>
      <c r="D242" s="8" t="n"/>
      <c r="E242" s="11" t="n"/>
      <c r="F242" s="11" t="n"/>
      <c r="G242" s="8" t="n"/>
      <c r="H242" s="8" t="n"/>
      <c r="I242" s="8" t="n"/>
      <c r="J242" s="8" t="n"/>
      <c r="K242" s="12">
        <f>IF(OR(ISERROR(VLOOKUP(C242, Resultados_Reales!$A$4:$I$107, 5, FALSE)), ISERROR(VLOOKUP(C242, Resultados_Reales!$A$4:$I$107, 6, FALSE)), VLOOKUP(C242, Resultados_Reales!$A$4:$I$107, 5, FALSE)="", VLOOKUP(C242, Resultados_Reales!$A$4:$I$107, 6, FALSE)=""), 0, IF(AND(VLOOKUP(C242, Resultados_Reales!$A$4:$I$107, 5, FALSE)=G242, VLOOKUP(C242, Resultados_Reales!$A$4:$I$107, 6, FALSE)=H242), Configuracion!$B$5, IF(SIGN(VLOOKUP(C242, Resultados_Reales!$A$4:$I$107, 5, FALSE)-VLOOKUP(C242, Resultados_Reales!$A$4:$I$107, 6, FALSE)) = SIGN(G242-H242), Configuracion!$B$4, 0)))</f>
        <v/>
      </c>
      <c r="L242" s="11" t="n"/>
      <c r="M242" s="11" t="n"/>
      <c r="N242" s="11" t="n"/>
      <c r="O242" s="11" t="n"/>
      <c r="P242" s="11" t="n"/>
      <c r="Q242" s="11" t="n"/>
    </row>
    <row r="243">
      <c r="A243" s="8">
        <f>B243&amp;"_"&amp;C243</f>
        <v/>
      </c>
      <c r="B243" s="8" t="n"/>
      <c r="C243" s="8" t="n"/>
      <c r="D243" s="8" t="n"/>
      <c r="E243" s="11" t="n"/>
      <c r="F243" s="11" t="n"/>
      <c r="G243" s="8" t="n"/>
      <c r="H243" s="8" t="n"/>
      <c r="I243" s="8" t="n"/>
      <c r="J243" s="8" t="n"/>
      <c r="K243" s="12">
        <f>IF(OR(ISERROR(VLOOKUP(C243, Resultados_Reales!$A$4:$I$107, 5, FALSE)), ISERROR(VLOOKUP(C243, Resultados_Reales!$A$4:$I$107, 6, FALSE)), VLOOKUP(C243, Resultados_Reales!$A$4:$I$107, 5, FALSE)="", VLOOKUP(C243, Resultados_Reales!$A$4:$I$107, 6, FALSE)=""), 0, IF(AND(VLOOKUP(C243, Resultados_Reales!$A$4:$I$107, 5, FALSE)=G243, VLOOKUP(C243, Resultados_Reales!$A$4:$I$107, 6, FALSE)=H243), Configuracion!$B$5, IF(SIGN(VLOOKUP(C243, Resultados_Reales!$A$4:$I$107, 5, FALSE)-VLOOKUP(C243, Resultados_Reales!$A$4:$I$107, 6, FALSE)) = SIGN(G243-H243), Configuracion!$B$4, 0)))</f>
        <v/>
      </c>
      <c r="L243" s="11" t="n"/>
      <c r="M243" s="11" t="n"/>
      <c r="N243" s="11" t="n"/>
      <c r="O243" s="11" t="n"/>
      <c r="P243" s="11" t="n"/>
      <c r="Q243" s="11" t="n"/>
    </row>
    <row r="244">
      <c r="A244" s="8">
        <f>B244&amp;"_"&amp;C244</f>
        <v/>
      </c>
      <c r="B244" s="8" t="n"/>
      <c r="C244" s="8" t="n"/>
      <c r="D244" s="8" t="n"/>
      <c r="E244" s="11" t="n"/>
      <c r="F244" s="11" t="n"/>
      <c r="G244" s="8" t="n"/>
      <c r="H244" s="8" t="n"/>
      <c r="I244" s="8" t="n"/>
      <c r="J244" s="8" t="n"/>
      <c r="K244" s="12">
        <f>IF(OR(ISERROR(VLOOKUP(C244, Resultados_Reales!$A$4:$I$107, 5, FALSE)), ISERROR(VLOOKUP(C244, Resultados_Reales!$A$4:$I$107, 6, FALSE)), VLOOKUP(C244, Resultados_Reales!$A$4:$I$107, 5, FALSE)="", VLOOKUP(C244, Resultados_Reales!$A$4:$I$107, 6, FALSE)=""), 0, IF(AND(VLOOKUP(C244, Resultados_Reales!$A$4:$I$107, 5, FALSE)=G244, VLOOKUP(C244, Resultados_Reales!$A$4:$I$107, 6, FALSE)=H244), Configuracion!$B$5, IF(SIGN(VLOOKUP(C244, Resultados_Reales!$A$4:$I$107, 5, FALSE)-VLOOKUP(C244, Resultados_Reales!$A$4:$I$107, 6, FALSE)) = SIGN(G244-H244), Configuracion!$B$4, 0)))</f>
        <v/>
      </c>
      <c r="L244" s="11" t="n"/>
      <c r="M244" s="11" t="n"/>
      <c r="N244" s="11" t="n"/>
      <c r="O244" s="11" t="n"/>
      <c r="P244" s="11" t="n"/>
      <c r="Q244" s="11" t="n"/>
    </row>
    <row r="245">
      <c r="A245" s="8">
        <f>B245&amp;"_"&amp;C245</f>
        <v/>
      </c>
      <c r="B245" s="8" t="n"/>
      <c r="C245" s="8" t="n"/>
      <c r="D245" s="8" t="n"/>
      <c r="E245" s="11" t="n"/>
      <c r="F245" s="11" t="n"/>
      <c r="G245" s="8" t="n"/>
      <c r="H245" s="8" t="n"/>
      <c r="I245" s="8" t="n"/>
      <c r="J245" s="8" t="n"/>
      <c r="K245" s="12">
        <f>IF(OR(ISERROR(VLOOKUP(C245, Resultados_Reales!$A$4:$I$107, 5, FALSE)), ISERROR(VLOOKUP(C245, Resultados_Reales!$A$4:$I$107, 6, FALSE)), VLOOKUP(C245, Resultados_Reales!$A$4:$I$107, 5, FALSE)="", VLOOKUP(C245, Resultados_Reales!$A$4:$I$107, 6, FALSE)=""), 0, IF(AND(VLOOKUP(C245, Resultados_Reales!$A$4:$I$107, 5, FALSE)=G245, VLOOKUP(C245, Resultados_Reales!$A$4:$I$107, 6, FALSE)=H245), Configuracion!$B$5, IF(SIGN(VLOOKUP(C245, Resultados_Reales!$A$4:$I$107, 5, FALSE)-VLOOKUP(C245, Resultados_Reales!$A$4:$I$107, 6, FALSE)) = SIGN(G245-H245), Configuracion!$B$4, 0)))</f>
        <v/>
      </c>
      <c r="L245" s="11" t="n"/>
      <c r="M245" s="11" t="n"/>
      <c r="N245" s="11" t="n"/>
      <c r="O245" s="11" t="n"/>
      <c r="P245" s="11" t="n"/>
      <c r="Q245" s="11" t="n"/>
    </row>
    <row r="246">
      <c r="A246" s="8">
        <f>B246&amp;"_"&amp;C246</f>
        <v/>
      </c>
      <c r="B246" s="8" t="n"/>
      <c r="C246" s="8" t="n"/>
      <c r="D246" s="8" t="n"/>
      <c r="E246" s="11" t="n"/>
      <c r="F246" s="11" t="n"/>
      <c r="G246" s="8" t="n"/>
      <c r="H246" s="8" t="n"/>
      <c r="I246" s="8" t="n"/>
      <c r="J246" s="8" t="n"/>
      <c r="K246" s="12">
        <f>IF(OR(ISERROR(VLOOKUP(C246, Resultados_Reales!$A$4:$I$107, 5, FALSE)), ISERROR(VLOOKUP(C246, Resultados_Reales!$A$4:$I$107, 6, FALSE)), VLOOKUP(C246, Resultados_Reales!$A$4:$I$107, 5, FALSE)="", VLOOKUP(C246, Resultados_Reales!$A$4:$I$107, 6, FALSE)=""), 0, IF(AND(VLOOKUP(C246, Resultados_Reales!$A$4:$I$107, 5, FALSE)=G246, VLOOKUP(C246, Resultados_Reales!$A$4:$I$107, 6, FALSE)=H246), Configuracion!$B$5, IF(SIGN(VLOOKUP(C246, Resultados_Reales!$A$4:$I$107, 5, FALSE)-VLOOKUP(C246, Resultados_Reales!$A$4:$I$107, 6, FALSE)) = SIGN(G246-H246), Configuracion!$B$4, 0)))</f>
        <v/>
      </c>
      <c r="L246" s="11" t="n"/>
      <c r="M246" s="11" t="n"/>
      <c r="N246" s="11" t="n"/>
      <c r="O246" s="11" t="n"/>
      <c r="P246" s="11" t="n"/>
      <c r="Q246" s="11" t="n"/>
    </row>
    <row r="247">
      <c r="A247" s="8">
        <f>B247&amp;"_"&amp;C247</f>
        <v/>
      </c>
      <c r="B247" s="8" t="n"/>
      <c r="C247" s="8" t="n"/>
      <c r="D247" s="8" t="n"/>
      <c r="E247" s="11" t="n"/>
      <c r="F247" s="11" t="n"/>
      <c r="G247" s="8" t="n"/>
      <c r="H247" s="8" t="n"/>
      <c r="I247" s="8" t="n"/>
      <c r="J247" s="8" t="n"/>
      <c r="K247" s="12">
        <f>IF(OR(ISERROR(VLOOKUP(C247, Resultados_Reales!$A$4:$I$107, 5, FALSE)), ISERROR(VLOOKUP(C247, Resultados_Reales!$A$4:$I$107, 6, FALSE)), VLOOKUP(C247, Resultados_Reales!$A$4:$I$107, 5, FALSE)="", VLOOKUP(C247, Resultados_Reales!$A$4:$I$107, 6, FALSE)=""), 0, IF(AND(VLOOKUP(C247, Resultados_Reales!$A$4:$I$107, 5, FALSE)=G247, VLOOKUP(C247, Resultados_Reales!$A$4:$I$107, 6, FALSE)=H247), Configuracion!$B$5, IF(SIGN(VLOOKUP(C247, Resultados_Reales!$A$4:$I$107, 5, FALSE)-VLOOKUP(C247, Resultados_Reales!$A$4:$I$107, 6, FALSE)) = SIGN(G247-H247), Configuracion!$B$4, 0)))</f>
        <v/>
      </c>
      <c r="L247" s="11" t="n"/>
      <c r="M247" s="11" t="n"/>
      <c r="N247" s="11" t="n"/>
      <c r="O247" s="11" t="n"/>
      <c r="P247" s="11" t="n"/>
      <c r="Q247" s="11" t="n"/>
    </row>
    <row r="248">
      <c r="A248" s="8">
        <f>B248&amp;"_"&amp;C248</f>
        <v/>
      </c>
      <c r="B248" s="8" t="n"/>
      <c r="C248" s="8" t="n"/>
      <c r="D248" s="8" t="n"/>
      <c r="E248" s="11" t="n"/>
      <c r="F248" s="11" t="n"/>
      <c r="G248" s="8" t="n"/>
      <c r="H248" s="8" t="n"/>
      <c r="I248" s="8" t="n"/>
      <c r="J248" s="8" t="n"/>
      <c r="K248" s="12">
        <f>IF(OR(ISERROR(VLOOKUP(C248, Resultados_Reales!$A$4:$I$107, 5, FALSE)), ISERROR(VLOOKUP(C248, Resultados_Reales!$A$4:$I$107, 6, FALSE)), VLOOKUP(C248, Resultados_Reales!$A$4:$I$107, 5, FALSE)="", VLOOKUP(C248, Resultados_Reales!$A$4:$I$107, 6, FALSE)=""), 0, IF(AND(VLOOKUP(C248, Resultados_Reales!$A$4:$I$107, 5, FALSE)=G248, VLOOKUP(C248, Resultados_Reales!$A$4:$I$107, 6, FALSE)=H248), Configuracion!$B$5, IF(SIGN(VLOOKUP(C248, Resultados_Reales!$A$4:$I$107, 5, FALSE)-VLOOKUP(C248, Resultados_Reales!$A$4:$I$107, 6, FALSE)) = SIGN(G248-H248), Configuracion!$B$4, 0)))</f>
        <v/>
      </c>
      <c r="L248" s="11" t="n"/>
      <c r="M248" s="11" t="n"/>
      <c r="N248" s="11" t="n"/>
      <c r="O248" s="11" t="n"/>
      <c r="P248" s="11" t="n"/>
      <c r="Q248" s="11" t="n"/>
    </row>
    <row r="249">
      <c r="A249" s="8">
        <f>B249&amp;"_"&amp;C249</f>
        <v/>
      </c>
      <c r="B249" s="8" t="n"/>
      <c r="C249" s="8" t="n"/>
      <c r="D249" s="8" t="n"/>
      <c r="E249" s="11" t="n"/>
      <c r="F249" s="11" t="n"/>
      <c r="G249" s="8" t="n"/>
      <c r="H249" s="8" t="n"/>
      <c r="I249" s="8" t="n"/>
      <c r="J249" s="8" t="n"/>
      <c r="K249" s="12">
        <f>IF(OR(ISERROR(VLOOKUP(C249, Resultados_Reales!$A$4:$I$107, 5, FALSE)), ISERROR(VLOOKUP(C249, Resultados_Reales!$A$4:$I$107, 6, FALSE)), VLOOKUP(C249, Resultados_Reales!$A$4:$I$107, 5, FALSE)="", VLOOKUP(C249, Resultados_Reales!$A$4:$I$107, 6, FALSE)=""), 0, IF(AND(VLOOKUP(C249, Resultados_Reales!$A$4:$I$107, 5, FALSE)=G249, VLOOKUP(C249, Resultados_Reales!$A$4:$I$107, 6, FALSE)=H249), Configuracion!$B$5, IF(SIGN(VLOOKUP(C249, Resultados_Reales!$A$4:$I$107, 5, FALSE)-VLOOKUP(C249, Resultados_Reales!$A$4:$I$107, 6, FALSE)) = SIGN(G249-H249), Configuracion!$B$4, 0)))</f>
        <v/>
      </c>
      <c r="L249" s="11" t="n"/>
      <c r="M249" s="11" t="n"/>
      <c r="N249" s="11" t="n"/>
      <c r="O249" s="11" t="n"/>
      <c r="P249" s="11" t="n"/>
      <c r="Q249" s="11" t="n"/>
    </row>
    <row r="250">
      <c r="A250" s="8">
        <f>B250&amp;"_"&amp;C250</f>
        <v/>
      </c>
      <c r="B250" s="8" t="n"/>
      <c r="C250" s="8" t="n"/>
      <c r="D250" s="8" t="n"/>
      <c r="E250" s="11" t="n"/>
      <c r="F250" s="11" t="n"/>
      <c r="G250" s="8" t="n"/>
      <c r="H250" s="8" t="n"/>
      <c r="I250" s="8" t="n"/>
      <c r="J250" s="8" t="n"/>
      <c r="K250" s="12">
        <f>IF(OR(ISERROR(VLOOKUP(C250, Resultados_Reales!$A$4:$I$107, 5, FALSE)), ISERROR(VLOOKUP(C250, Resultados_Reales!$A$4:$I$107, 6, FALSE)), VLOOKUP(C250, Resultados_Reales!$A$4:$I$107, 5, FALSE)="", VLOOKUP(C250, Resultados_Reales!$A$4:$I$107, 6, FALSE)=""), 0, IF(AND(VLOOKUP(C250, Resultados_Reales!$A$4:$I$107, 5, FALSE)=G250, VLOOKUP(C250, Resultados_Reales!$A$4:$I$107, 6, FALSE)=H250), Configuracion!$B$5, IF(SIGN(VLOOKUP(C250, Resultados_Reales!$A$4:$I$107, 5, FALSE)-VLOOKUP(C250, Resultados_Reales!$A$4:$I$107, 6, FALSE)) = SIGN(G250-H250), Configuracion!$B$4, 0)))</f>
        <v/>
      </c>
      <c r="L250" s="11" t="n"/>
      <c r="M250" s="11" t="n"/>
      <c r="N250" s="11" t="n"/>
      <c r="O250" s="11" t="n"/>
      <c r="P250" s="11" t="n"/>
      <c r="Q250" s="11" t="n"/>
    </row>
    <row r="251">
      <c r="A251" s="8">
        <f>B251&amp;"_"&amp;C251</f>
        <v/>
      </c>
      <c r="B251" s="8" t="n"/>
      <c r="C251" s="8" t="n"/>
      <c r="D251" s="8" t="n"/>
      <c r="E251" s="11" t="n"/>
      <c r="F251" s="11" t="n"/>
      <c r="G251" s="8" t="n"/>
      <c r="H251" s="8" t="n"/>
      <c r="I251" s="8" t="n"/>
      <c r="J251" s="8" t="n"/>
      <c r="K251" s="12">
        <f>IF(OR(ISERROR(VLOOKUP(C251, Resultados_Reales!$A$4:$I$107, 5, FALSE)), ISERROR(VLOOKUP(C251, Resultados_Reales!$A$4:$I$107, 6, FALSE)), VLOOKUP(C251, Resultados_Reales!$A$4:$I$107, 5, FALSE)="", VLOOKUP(C251, Resultados_Reales!$A$4:$I$107, 6, FALSE)=""), 0, IF(AND(VLOOKUP(C251, Resultados_Reales!$A$4:$I$107, 5, FALSE)=G251, VLOOKUP(C251, Resultados_Reales!$A$4:$I$107, 6, FALSE)=H251), Configuracion!$B$5, IF(SIGN(VLOOKUP(C251, Resultados_Reales!$A$4:$I$107, 5, FALSE)-VLOOKUP(C251, Resultados_Reales!$A$4:$I$107, 6, FALSE)) = SIGN(G251-H251), Configuracion!$B$4, 0)))</f>
        <v/>
      </c>
      <c r="L251" s="11" t="n"/>
      <c r="M251" s="11" t="n"/>
      <c r="N251" s="11" t="n"/>
      <c r="O251" s="11" t="n"/>
      <c r="P251" s="11" t="n"/>
      <c r="Q251" s="11" t="n"/>
    </row>
    <row r="252">
      <c r="A252" s="8">
        <f>B252&amp;"_"&amp;C252</f>
        <v/>
      </c>
      <c r="B252" s="8" t="n"/>
      <c r="C252" s="8" t="n"/>
      <c r="D252" s="8" t="n"/>
      <c r="E252" s="11" t="n"/>
      <c r="F252" s="11" t="n"/>
      <c r="G252" s="8" t="n"/>
      <c r="H252" s="8" t="n"/>
      <c r="I252" s="8" t="n"/>
      <c r="J252" s="8" t="n"/>
      <c r="K252" s="12">
        <f>IF(OR(ISERROR(VLOOKUP(C252, Resultados_Reales!$A$4:$I$107, 5, FALSE)), ISERROR(VLOOKUP(C252, Resultados_Reales!$A$4:$I$107, 6, FALSE)), VLOOKUP(C252, Resultados_Reales!$A$4:$I$107, 5, FALSE)="", VLOOKUP(C252, Resultados_Reales!$A$4:$I$107, 6, FALSE)=""), 0, IF(AND(VLOOKUP(C252, Resultados_Reales!$A$4:$I$107, 5, FALSE)=G252, VLOOKUP(C252, Resultados_Reales!$A$4:$I$107, 6, FALSE)=H252), Configuracion!$B$5, IF(SIGN(VLOOKUP(C252, Resultados_Reales!$A$4:$I$107, 5, FALSE)-VLOOKUP(C252, Resultados_Reales!$A$4:$I$107, 6, FALSE)) = SIGN(G252-H252), Configuracion!$B$4, 0)))</f>
        <v/>
      </c>
      <c r="L252" s="11" t="n"/>
      <c r="M252" s="11" t="n"/>
      <c r="N252" s="11" t="n"/>
      <c r="O252" s="11" t="n"/>
      <c r="P252" s="11" t="n"/>
      <c r="Q252" s="11" t="n"/>
    </row>
    <row r="253">
      <c r="A253" s="8">
        <f>B253&amp;"_"&amp;C253</f>
        <v/>
      </c>
      <c r="B253" s="8" t="n"/>
      <c r="C253" s="8" t="n"/>
      <c r="D253" s="8" t="n"/>
      <c r="E253" s="11" t="n"/>
      <c r="F253" s="11" t="n"/>
      <c r="G253" s="8" t="n"/>
      <c r="H253" s="8" t="n"/>
      <c r="I253" s="8" t="n"/>
      <c r="J253" s="8" t="n"/>
      <c r="K253" s="12">
        <f>IF(OR(ISERROR(VLOOKUP(C253, Resultados_Reales!$A$4:$I$107, 5, FALSE)), ISERROR(VLOOKUP(C253, Resultados_Reales!$A$4:$I$107, 6, FALSE)), VLOOKUP(C253, Resultados_Reales!$A$4:$I$107, 5, FALSE)="", VLOOKUP(C253, Resultados_Reales!$A$4:$I$107, 6, FALSE)=""), 0, IF(AND(VLOOKUP(C253, Resultados_Reales!$A$4:$I$107, 5, FALSE)=G253, VLOOKUP(C253, Resultados_Reales!$A$4:$I$107, 6, FALSE)=H253), Configuracion!$B$5, IF(SIGN(VLOOKUP(C253, Resultados_Reales!$A$4:$I$107, 5, FALSE)-VLOOKUP(C253, Resultados_Reales!$A$4:$I$107, 6, FALSE)) = SIGN(G253-H253), Configuracion!$B$4, 0)))</f>
        <v/>
      </c>
      <c r="L253" s="11" t="n"/>
      <c r="M253" s="11" t="n"/>
      <c r="N253" s="11" t="n"/>
      <c r="O253" s="11" t="n"/>
      <c r="P253" s="11" t="n"/>
      <c r="Q253" s="11" t="n"/>
    </row>
    <row r="254">
      <c r="A254" s="8">
        <f>B254&amp;"_"&amp;C254</f>
        <v/>
      </c>
      <c r="B254" s="8" t="n"/>
      <c r="C254" s="8" t="n"/>
      <c r="D254" s="8" t="n"/>
      <c r="E254" s="11" t="n"/>
      <c r="F254" s="11" t="n"/>
      <c r="G254" s="8" t="n"/>
      <c r="H254" s="8" t="n"/>
      <c r="I254" s="8" t="n"/>
      <c r="J254" s="8" t="n"/>
      <c r="K254" s="12">
        <f>IF(OR(ISERROR(VLOOKUP(C254, Resultados_Reales!$A$4:$I$107, 5, FALSE)), ISERROR(VLOOKUP(C254, Resultados_Reales!$A$4:$I$107, 6, FALSE)), VLOOKUP(C254, Resultados_Reales!$A$4:$I$107, 5, FALSE)="", VLOOKUP(C254, Resultados_Reales!$A$4:$I$107, 6, FALSE)=""), 0, IF(AND(VLOOKUP(C254, Resultados_Reales!$A$4:$I$107, 5, FALSE)=G254, VLOOKUP(C254, Resultados_Reales!$A$4:$I$107, 6, FALSE)=H254), Configuracion!$B$5, IF(SIGN(VLOOKUP(C254, Resultados_Reales!$A$4:$I$107, 5, FALSE)-VLOOKUP(C254, Resultados_Reales!$A$4:$I$107, 6, FALSE)) = SIGN(G254-H254), Configuracion!$B$4, 0)))</f>
        <v/>
      </c>
      <c r="L254" s="11" t="n"/>
      <c r="M254" s="11" t="n"/>
      <c r="N254" s="11" t="n"/>
      <c r="O254" s="11" t="n"/>
      <c r="P254" s="11" t="n"/>
      <c r="Q254" s="11" t="n"/>
    </row>
    <row r="255">
      <c r="A255" s="8">
        <f>B255&amp;"_"&amp;C255</f>
        <v/>
      </c>
      <c r="B255" s="8" t="n"/>
      <c r="C255" s="8" t="n"/>
      <c r="D255" s="8" t="n"/>
      <c r="E255" s="11" t="n"/>
      <c r="F255" s="11" t="n"/>
      <c r="G255" s="8" t="n"/>
      <c r="H255" s="8" t="n"/>
      <c r="I255" s="8" t="n"/>
      <c r="J255" s="8" t="n"/>
      <c r="K255" s="12">
        <f>IF(OR(ISERROR(VLOOKUP(C255, Resultados_Reales!$A$4:$I$107, 5, FALSE)), ISERROR(VLOOKUP(C255, Resultados_Reales!$A$4:$I$107, 6, FALSE)), VLOOKUP(C255, Resultados_Reales!$A$4:$I$107, 5, FALSE)="", VLOOKUP(C255, Resultados_Reales!$A$4:$I$107, 6, FALSE)=""), 0, IF(AND(VLOOKUP(C255, Resultados_Reales!$A$4:$I$107, 5, FALSE)=G255, VLOOKUP(C255, Resultados_Reales!$A$4:$I$107, 6, FALSE)=H255), Configuracion!$B$5, IF(SIGN(VLOOKUP(C255, Resultados_Reales!$A$4:$I$107, 5, FALSE)-VLOOKUP(C255, Resultados_Reales!$A$4:$I$107, 6, FALSE)) = SIGN(G255-H255), Configuracion!$B$4, 0)))</f>
        <v/>
      </c>
      <c r="L255" s="11" t="n"/>
      <c r="M255" s="11" t="n"/>
      <c r="N255" s="11" t="n"/>
      <c r="O255" s="11" t="n"/>
      <c r="P255" s="11" t="n"/>
      <c r="Q255" s="11" t="n"/>
    </row>
    <row r="256">
      <c r="A256" s="8">
        <f>B256&amp;"_"&amp;C256</f>
        <v/>
      </c>
      <c r="B256" s="8" t="n"/>
      <c r="C256" s="8" t="n"/>
      <c r="D256" s="8" t="n"/>
      <c r="E256" s="11" t="n"/>
      <c r="F256" s="11" t="n"/>
      <c r="G256" s="8" t="n"/>
      <c r="H256" s="8" t="n"/>
      <c r="I256" s="8" t="n"/>
      <c r="J256" s="8" t="n"/>
      <c r="K256" s="12">
        <f>IF(OR(ISERROR(VLOOKUP(C256, Resultados_Reales!$A$4:$I$107, 5, FALSE)), ISERROR(VLOOKUP(C256, Resultados_Reales!$A$4:$I$107, 6, FALSE)), VLOOKUP(C256, Resultados_Reales!$A$4:$I$107, 5, FALSE)="", VLOOKUP(C256, Resultados_Reales!$A$4:$I$107, 6, FALSE)=""), 0, IF(AND(VLOOKUP(C256, Resultados_Reales!$A$4:$I$107, 5, FALSE)=G256, VLOOKUP(C256, Resultados_Reales!$A$4:$I$107, 6, FALSE)=H256), Configuracion!$B$5, IF(SIGN(VLOOKUP(C256, Resultados_Reales!$A$4:$I$107, 5, FALSE)-VLOOKUP(C256, Resultados_Reales!$A$4:$I$107, 6, FALSE)) = SIGN(G256-H256), Configuracion!$B$4, 0)))</f>
        <v/>
      </c>
      <c r="L256" s="11" t="n"/>
      <c r="M256" s="11" t="n"/>
      <c r="N256" s="11" t="n"/>
      <c r="O256" s="11" t="n"/>
      <c r="P256" s="11" t="n"/>
      <c r="Q256" s="11" t="n"/>
    </row>
    <row r="257">
      <c r="A257" s="8">
        <f>B257&amp;"_"&amp;C257</f>
        <v/>
      </c>
      <c r="B257" s="8" t="n"/>
      <c r="C257" s="8" t="n"/>
      <c r="D257" s="8" t="n"/>
      <c r="E257" s="11" t="n"/>
      <c r="F257" s="11" t="n"/>
      <c r="G257" s="8" t="n"/>
      <c r="H257" s="8" t="n"/>
      <c r="I257" s="8" t="n"/>
      <c r="J257" s="8" t="n"/>
      <c r="K257" s="12">
        <f>IF(OR(ISERROR(VLOOKUP(C257, Resultados_Reales!$A$4:$I$107, 5, FALSE)), ISERROR(VLOOKUP(C257, Resultados_Reales!$A$4:$I$107, 6, FALSE)), VLOOKUP(C257, Resultados_Reales!$A$4:$I$107, 5, FALSE)="", VLOOKUP(C257, Resultados_Reales!$A$4:$I$107, 6, FALSE)=""), 0, IF(AND(VLOOKUP(C257, Resultados_Reales!$A$4:$I$107, 5, FALSE)=G257, VLOOKUP(C257, Resultados_Reales!$A$4:$I$107, 6, FALSE)=H257), Configuracion!$B$5, IF(SIGN(VLOOKUP(C257, Resultados_Reales!$A$4:$I$107, 5, FALSE)-VLOOKUP(C257, Resultados_Reales!$A$4:$I$107, 6, FALSE)) = SIGN(G257-H257), Configuracion!$B$4, 0)))</f>
        <v/>
      </c>
      <c r="L257" s="11" t="n"/>
      <c r="M257" s="11" t="n"/>
      <c r="N257" s="11" t="n"/>
      <c r="O257" s="11" t="n"/>
      <c r="P257" s="11" t="n"/>
      <c r="Q257" s="11" t="n"/>
    </row>
    <row r="258">
      <c r="A258" s="8">
        <f>B258&amp;"_"&amp;C258</f>
        <v/>
      </c>
      <c r="B258" s="8" t="n"/>
      <c r="C258" s="8" t="n"/>
      <c r="D258" s="8" t="n"/>
      <c r="E258" s="11" t="n"/>
      <c r="F258" s="11" t="n"/>
      <c r="G258" s="8" t="n"/>
      <c r="H258" s="8" t="n"/>
      <c r="I258" s="8" t="n"/>
      <c r="J258" s="8" t="n"/>
      <c r="K258" s="12">
        <f>IF(OR(ISERROR(VLOOKUP(C258, Resultados_Reales!$A$4:$I$107, 5, FALSE)), ISERROR(VLOOKUP(C258, Resultados_Reales!$A$4:$I$107, 6, FALSE)), VLOOKUP(C258, Resultados_Reales!$A$4:$I$107, 5, FALSE)="", VLOOKUP(C258, Resultados_Reales!$A$4:$I$107, 6, FALSE)=""), 0, IF(AND(VLOOKUP(C258, Resultados_Reales!$A$4:$I$107, 5, FALSE)=G258, VLOOKUP(C258, Resultados_Reales!$A$4:$I$107, 6, FALSE)=H258), Configuracion!$B$5, IF(SIGN(VLOOKUP(C258, Resultados_Reales!$A$4:$I$107, 5, FALSE)-VLOOKUP(C258, Resultados_Reales!$A$4:$I$107, 6, FALSE)) = SIGN(G258-H258), Configuracion!$B$4, 0)))</f>
        <v/>
      </c>
      <c r="L258" s="11" t="n"/>
      <c r="M258" s="11" t="n"/>
      <c r="N258" s="11" t="n"/>
      <c r="O258" s="11" t="n"/>
      <c r="P258" s="11" t="n"/>
      <c r="Q258" s="11" t="n"/>
    </row>
    <row r="259">
      <c r="A259" s="8">
        <f>B259&amp;"_"&amp;C259</f>
        <v/>
      </c>
      <c r="B259" s="8" t="n"/>
      <c r="C259" s="8" t="n"/>
      <c r="D259" s="8" t="n"/>
      <c r="E259" s="11" t="n"/>
      <c r="F259" s="11" t="n"/>
      <c r="G259" s="8" t="n"/>
      <c r="H259" s="8" t="n"/>
      <c r="I259" s="8" t="n"/>
      <c r="J259" s="8" t="n"/>
      <c r="K259" s="12">
        <f>IF(OR(ISERROR(VLOOKUP(C259, Resultados_Reales!$A$4:$I$107, 5, FALSE)), ISERROR(VLOOKUP(C259, Resultados_Reales!$A$4:$I$107, 6, FALSE)), VLOOKUP(C259, Resultados_Reales!$A$4:$I$107, 5, FALSE)="", VLOOKUP(C259, Resultados_Reales!$A$4:$I$107, 6, FALSE)=""), 0, IF(AND(VLOOKUP(C259, Resultados_Reales!$A$4:$I$107, 5, FALSE)=G259, VLOOKUP(C259, Resultados_Reales!$A$4:$I$107, 6, FALSE)=H259), Configuracion!$B$5, IF(SIGN(VLOOKUP(C259, Resultados_Reales!$A$4:$I$107, 5, FALSE)-VLOOKUP(C259, Resultados_Reales!$A$4:$I$107, 6, FALSE)) = SIGN(G259-H259), Configuracion!$B$4, 0)))</f>
        <v/>
      </c>
      <c r="L259" s="11" t="n"/>
      <c r="M259" s="11" t="n"/>
      <c r="N259" s="11" t="n"/>
      <c r="O259" s="11" t="n"/>
      <c r="P259" s="11" t="n"/>
      <c r="Q259" s="11" t="n"/>
    </row>
    <row r="260">
      <c r="A260" s="8">
        <f>B260&amp;"_"&amp;C260</f>
        <v/>
      </c>
      <c r="B260" s="8" t="n"/>
      <c r="C260" s="8" t="n"/>
      <c r="D260" s="8" t="n"/>
      <c r="E260" s="11" t="n"/>
      <c r="F260" s="11" t="n"/>
      <c r="G260" s="8" t="n"/>
      <c r="H260" s="8" t="n"/>
      <c r="I260" s="8" t="n"/>
      <c r="J260" s="8" t="n"/>
      <c r="K260" s="12">
        <f>IF(OR(ISERROR(VLOOKUP(C260, Resultados_Reales!$A$4:$I$107, 5, FALSE)), ISERROR(VLOOKUP(C260, Resultados_Reales!$A$4:$I$107, 6, FALSE)), VLOOKUP(C260, Resultados_Reales!$A$4:$I$107, 5, FALSE)="", VLOOKUP(C260, Resultados_Reales!$A$4:$I$107, 6, FALSE)=""), 0, IF(AND(VLOOKUP(C260, Resultados_Reales!$A$4:$I$107, 5, FALSE)=G260, VLOOKUP(C260, Resultados_Reales!$A$4:$I$107, 6, FALSE)=H260), Configuracion!$B$5, IF(SIGN(VLOOKUP(C260, Resultados_Reales!$A$4:$I$107, 5, FALSE)-VLOOKUP(C260, Resultados_Reales!$A$4:$I$107, 6, FALSE)) = SIGN(G260-H260), Configuracion!$B$4, 0)))</f>
        <v/>
      </c>
      <c r="L260" s="11" t="n"/>
      <c r="M260" s="11" t="n"/>
      <c r="N260" s="11" t="n"/>
      <c r="O260" s="11" t="n"/>
      <c r="P260" s="11" t="n"/>
      <c r="Q260" s="11" t="n"/>
    </row>
    <row r="261">
      <c r="A261" s="8">
        <f>B261&amp;"_"&amp;C261</f>
        <v/>
      </c>
      <c r="B261" s="8" t="n"/>
      <c r="C261" s="8" t="n"/>
      <c r="D261" s="8" t="n"/>
      <c r="E261" s="11" t="n"/>
      <c r="F261" s="11" t="n"/>
      <c r="G261" s="8" t="n"/>
      <c r="H261" s="8" t="n"/>
      <c r="I261" s="8" t="n"/>
      <c r="J261" s="8" t="n"/>
      <c r="K261" s="12">
        <f>IF(OR(ISERROR(VLOOKUP(C261, Resultados_Reales!$A$4:$I$107, 5, FALSE)), ISERROR(VLOOKUP(C261, Resultados_Reales!$A$4:$I$107, 6, FALSE)), VLOOKUP(C261, Resultados_Reales!$A$4:$I$107, 5, FALSE)="", VLOOKUP(C261, Resultados_Reales!$A$4:$I$107, 6, FALSE)=""), 0, IF(AND(VLOOKUP(C261, Resultados_Reales!$A$4:$I$107, 5, FALSE)=G261, VLOOKUP(C261, Resultados_Reales!$A$4:$I$107, 6, FALSE)=H261), Configuracion!$B$5, IF(SIGN(VLOOKUP(C261, Resultados_Reales!$A$4:$I$107, 5, FALSE)-VLOOKUP(C261, Resultados_Reales!$A$4:$I$107, 6, FALSE)) = SIGN(G261-H261), Configuracion!$B$4, 0)))</f>
        <v/>
      </c>
      <c r="L261" s="11" t="n"/>
      <c r="M261" s="11" t="n"/>
      <c r="N261" s="11" t="n"/>
      <c r="O261" s="11" t="n"/>
      <c r="P261" s="11" t="n"/>
      <c r="Q261" s="11" t="n"/>
    </row>
    <row r="262">
      <c r="A262" s="8">
        <f>B262&amp;"_"&amp;C262</f>
        <v/>
      </c>
      <c r="B262" s="8" t="n"/>
      <c r="C262" s="8" t="n"/>
      <c r="D262" s="8" t="n"/>
      <c r="E262" s="11" t="n"/>
      <c r="F262" s="11" t="n"/>
      <c r="G262" s="8" t="n"/>
      <c r="H262" s="8" t="n"/>
      <c r="I262" s="8" t="n"/>
      <c r="J262" s="8" t="n"/>
      <c r="K262" s="12">
        <f>IF(OR(ISERROR(VLOOKUP(C262, Resultados_Reales!$A$4:$I$107, 5, FALSE)), ISERROR(VLOOKUP(C262, Resultados_Reales!$A$4:$I$107, 6, FALSE)), VLOOKUP(C262, Resultados_Reales!$A$4:$I$107, 5, FALSE)="", VLOOKUP(C262, Resultados_Reales!$A$4:$I$107, 6, FALSE)=""), 0, IF(AND(VLOOKUP(C262, Resultados_Reales!$A$4:$I$107, 5, FALSE)=G262, VLOOKUP(C262, Resultados_Reales!$A$4:$I$107, 6, FALSE)=H262), Configuracion!$B$5, IF(SIGN(VLOOKUP(C262, Resultados_Reales!$A$4:$I$107, 5, FALSE)-VLOOKUP(C262, Resultados_Reales!$A$4:$I$107, 6, FALSE)) = SIGN(G262-H262), Configuracion!$B$4, 0)))</f>
        <v/>
      </c>
      <c r="L262" s="11" t="n"/>
      <c r="M262" s="11" t="n"/>
      <c r="N262" s="11" t="n"/>
      <c r="O262" s="11" t="n"/>
      <c r="P262" s="11" t="n"/>
      <c r="Q262" s="11" t="n"/>
    </row>
    <row r="263">
      <c r="A263" s="8">
        <f>B263&amp;"_"&amp;C263</f>
        <v/>
      </c>
      <c r="B263" s="8" t="n"/>
      <c r="C263" s="8" t="n"/>
      <c r="D263" s="8" t="n"/>
      <c r="E263" s="11" t="n"/>
      <c r="F263" s="11" t="n"/>
      <c r="G263" s="8" t="n"/>
      <c r="H263" s="8" t="n"/>
      <c r="I263" s="8" t="n"/>
      <c r="J263" s="8" t="n"/>
      <c r="K263" s="12">
        <f>IF(OR(ISERROR(VLOOKUP(C263, Resultados_Reales!$A$4:$I$107, 5, FALSE)), ISERROR(VLOOKUP(C263, Resultados_Reales!$A$4:$I$107, 6, FALSE)), VLOOKUP(C263, Resultados_Reales!$A$4:$I$107, 5, FALSE)="", VLOOKUP(C263, Resultados_Reales!$A$4:$I$107, 6, FALSE)=""), 0, IF(AND(VLOOKUP(C263, Resultados_Reales!$A$4:$I$107, 5, FALSE)=G263, VLOOKUP(C263, Resultados_Reales!$A$4:$I$107, 6, FALSE)=H263), Configuracion!$B$5, IF(SIGN(VLOOKUP(C263, Resultados_Reales!$A$4:$I$107, 5, FALSE)-VLOOKUP(C263, Resultados_Reales!$A$4:$I$107, 6, FALSE)) = SIGN(G263-H263), Configuracion!$B$4, 0)))</f>
        <v/>
      </c>
      <c r="L263" s="11" t="n"/>
      <c r="M263" s="11" t="n"/>
      <c r="N263" s="11" t="n"/>
      <c r="O263" s="11" t="n"/>
      <c r="P263" s="11" t="n"/>
      <c r="Q263" s="11" t="n"/>
    </row>
    <row r="264">
      <c r="A264" s="8">
        <f>B264&amp;"_"&amp;C264</f>
        <v/>
      </c>
      <c r="B264" s="8" t="n"/>
      <c r="C264" s="8" t="n"/>
      <c r="D264" s="8" t="n"/>
      <c r="E264" s="11" t="n"/>
      <c r="F264" s="11" t="n"/>
      <c r="G264" s="8" t="n"/>
      <c r="H264" s="8" t="n"/>
      <c r="I264" s="8" t="n"/>
      <c r="J264" s="8" t="n"/>
      <c r="K264" s="12">
        <f>IF(OR(ISERROR(VLOOKUP(C264, Resultados_Reales!$A$4:$I$107, 5, FALSE)), ISERROR(VLOOKUP(C264, Resultados_Reales!$A$4:$I$107, 6, FALSE)), VLOOKUP(C264, Resultados_Reales!$A$4:$I$107, 5, FALSE)="", VLOOKUP(C264, Resultados_Reales!$A$4:$I$107, 6, FALSE)=""), 0, IF(AND(VLOOKUP(C264, Resultados_Reales!$A$4:$I$107, 5, FALSE)=G264, VLOOKUP(C264, Resultados_Reales!$A$4:$I$107, 6, FALSE)=H264), Configuracion!$B$5, IF(SIGN(VLOOKUP(C264, Resultados_Reales!$A$4:$I$107, 5, FALSE)-VLOOKUP(C264, Resultados_Reales!$A$4:$I$107, 6, FALSE)) = SIGN(G264-H264), Configuracion!$B$4, 0)))</f>
        <v/>
      </c>
      <c r="L264" s="11" t="n"/>
      <c r="M264" s="11" t="n"/>
      <c r="N264" s="11" t="n"/>
      <c r="O264" s="11" t="n"/>
      <c r="P264" s="11" t="n"/>
      <c r="Q264" s="11" t="n"/>
    </row>
    <row r="265">
      <c r="A265" s="8">
        <f>B265&amp;"_"&amp;C265</f>
        <v/>
      </c>
      <c r="B265" s="8" t="n"/>
      <c r="C265" s="8" t="n"/>
      <c r="D265" s="8" t="n"/>
      <c r="E265" s="11" t="n"/>
      <c r="F265" s="11" t="n"/>
      <c r="G265" s="8" t="n"/>
      <c r="H265" s="8" t="n"/>
      <c r="I265" s="8" t="n"/>
      <c r="J265" s="8" t="n"/>
      <c r="K265" s="12">
        <f>IF(OR(ISERROR(VLOOKUP(C265, Resultados_Reales!$A$4:$I$107, 5, FALSE)), ISERROR(VLOOKUP(C265, Resultados_Reales!$A$4:$I$107, 6, FALSE)), VLOOKUP(C265, Resultados_Reales!$A$4:$I$107, 5, FALSE)="", VLOOKUP(C265, Resultados_Reales!$A$4:$I$107, 6, FALSE)=""), 0, IF(AND(VLOOKUP(C265, Resultados_Reales!$A$4:$I$107, 5, FALSE)=G265, VLOOKUP(C265, Resultados_Reales!$A$4:$I$107, 6, FALSE)=H265), Configuracion!$B$5, IF(SIGN(VLOOKUP(C265, Resultados_Reales!$A$4:$I$107, 5, FALSE)-VLOOKUP(C265, Resultados_Reales!$A$4:$I$107, 6, FALSE)) = SIGN(G265-H265), Configuracion!$B$4, 0)))</f>
        <v/>
      </c>
      <c r="L265" s="11" t="n"/>
      <c r="M265" s="11" t="n"/>
      <c r="N265" s="11" t="n"/>
      <c r="O265" s="11" t="n"/>
      <c r="P265" s="11" t="n"/>
      <c r="Q265" s="11" t="n"/>
    </row>
    <row r="266">
      <c r="A266" s="8">
        <f>B266&amp;"_"&amp;C266</f>
        <v/>
      </c>
      <c r="B266" s="8" t="n"/>
      <c r="C266" s="8" t="n"/>
      <c r="D266" s="8" t="n"/>
      <c r="E266" s="11" t="n"/>
      <c r="F266" s="11" t="n"/>
      <c r="G266" s="8" t="n"/>
      <c r="H266" s="8" t="n"/>
      <c r="I266" s="8" t="n"/>
      <c r="J266" s="8" t="n"/>
      <c r="K266" s="12">
        <f>IF(OR(ISERROR(VLOOKUP(C266, Resultados_Reales!$A$4:$I$107, 5, FALSE)), ISERROR(VLOOKUP(C266, Resultados_Reales!$A$4:$I$107, 6, FALSE)), VLOOKUP(C266, Resultados_Reales!$A$4:$I$107, 5, FALSE)="", VLOOKUP(C266, Resultados_Reales!$A$4:$I$107, 6, FALSE)=""), 0, IF(AND(VLOOKUP(C266, Resultados_Reales!$A$4:$I$107, 5, FALSE)=G266, VLOOKUP(C266, Resultados_Reales!$A$4:$I$107, 6, FALSE)=H266), Configuracion!$B$5, IF(SIGN(VLOOKUP(C266, Resultados_Reales!$A$4:$I$107, 5, FALSE)-VLOOKUP(C266, Resultados_Reales!$A$4:$I$107, 6, FALSE)) = SIGN(G266-H266), Configuracion!$B$4, 0)))</f>
        <v/>
      </c>
      <c r="L266" s="11" t="n"/>
      <c r="M266" s="11" t="n"/>
      <c r="N266" s="11" t="n"/>
      <c r="O266" s="11" t="n"/>
      <c r="P266" s="11" t="n"/>
      <c r="Q266" s="11" t="n"/>
    </row>
    <row r="267">
      <c r="A267" s="8">
        <f>B267&amp;"_"&amp;C267</f>
        <v/>
      </c>
      <c r="B267" s="8" t="n"/>
      <c r="C267" s="8" t="n"/>
      <c r="D267" s="8" t="n"/>
      <c r="E267" s="11" t="n"/>
      <c r="F267" s="11" t="n"/>
      <c r="G267" s="8" t="n"/>
      <c r="H267" s="8" t="n"/>
      <c r="I267" s="8" t="n"/>
      <c r="J267" s="8" t="n"/>
      <c r="K267" s="12">
        <f>IF(OR(ISERROR(VLOOKUP(C267, Resultados_Reales!$A$4:$I$107, 5, FALSE)), ISERROR(VLOOKUP(C267, Resultados_Reales!$A$4:$I$107, 6, FALSE)), VLOOKUP(C267, Resultados_Reales!$A$4:$I$107, 5, FALSE)="", VLOOKUP(C267, Resultados_Reales!$A$4:$I$107, 6, FALSE)=""), 0, IF(AND(VLOOKUP(C267, Resultados_Reales!$A$4:$I$107, 5, FALSE)=G267, VLOOKUP(C267, Resultados_Reales!$A$4:$I$107, 6, FALSE)=H267), Configuracion!$B$5, IF(SIGN(VLOOKUP(C267, Resultados_Reales!$A$4:$I$107, 5, FALSE)-VLOOKUP(C267, Resultados_Reales!$A$4:$I$107, 6, FALSE)) = SIGN(G267-H267), Configuracion!$B$4, 0)))</f>
        <v/>
      </c>
      <c r="L267" s="11" t="n"/>
      <c r="M267" s="11" t="n"/>
      <c r="N267" s="11" t="n"/>
      <c r="O267" s="11" t="n"/>
      <c r="P267" s="11" t="n"/>
      <c r="Q267" s="11" t="n"/>
    </row>
    <row r="268">
      <c r="A268" s="8">
        <f>B268&amp;"_"&amp;C268</f>
        <v/>
      </c>
      <c r="B268" s="8" t="n"/>
      <c r="C268" s="8" t="n"/>
      <c r="D268" s="8" t="n"/>
      <c r="E268" s="11" t="n"/>
      <c r="F268" s="11" t="n"/>
      <c r="G268" s="8" t="n"/>
      <c r="H268" s="8" t="n"/>
      <c r="I268" s="8" t="n"/>
      <c r="J268" s="8" t="n"/>
      <c r="K268" s="12">
        <f>IF(OR(ISERROR(VLOOKUP(C268, Resultados_Reales!$A$4:$I$107, 5, FALSE)), ISERROR(VLOOKUP(C268, Resultados_Reales!$A$4:$I$107, 6, FALSE)), VLOOKUP(C268, Resultados_Reales!$A$4:$I$107, 5, FALSE)="", VLOOKUP(C268, Resultados_Reales!$A$4:$I$107, 6, FALSE)=""), 0, IF(AND(VLOOKUP(C268, Resultados_Reales!$A$4:$I$107, 5, FALSE)=G268, VLOOKUP(C268, Resultados_Reales!$A$4:$I$107, 6, FALSE)=H268), Configuracion!$B$5, IF(SIGN(VLOOKUP(C268, Resultados_Reales!$A$4:$I$107, 5, FALSE)-VLOOKUP(C268, Resultados_Reales!$A$4:$I$107, 6, FALSE)) = SIGN(G268-H268), Configuracion!$B$4, 0)))</f>
        <v/>
      </c>
      <c r="L268" s="11" t="n"/>
      <c r="M268" s="11" t="n"/>
      <c r="N268" s="11" t="n"/>
      <c r="O268" s="11" t="n"/>
      <c r="P268" s="11" t="n"/>
      <c r="Q268" s="11" t="n"/>
    </row>
    <row r="269">
      <c r="A269" s="8">
        <f>B269&amp;"_"&amp;C269</f>
        <v/>
      </c>
      <c r="B269" s="8" t="n"/>
      <c r="C269" s="8" t="n"/>
      <c r="D269" s="8" t="n"/>
      <c r="E269" s="11" t="n"/>
      <c r="F269" s="11" t="n"/>
      <c r="G269" s="8" t="n"/>
      <c r="H269" s="8" t="n"/>
      <c r="I269" s="8" t="n"/>
      <c r="J269" s="8" t="n"/>
      <c r="K269" s="12">
        <f>IF(OR(ISERROR(VLOOKUP(C269, Resultados_Reales!$A$4:$I$107, 5, FALSE)), ISERROR(VLOOKUP(C269, Resultados_Reales!$A$4:$I$107, 6, FALSE)), VLOOKUP(C269, Resultados_Reales!$A$4:$I$107, 5, FALSE)="", VLOOKUP(C269, Resultados_Reales!$A$4:$I$107, 6, FALSE)=""), 0, IF(AND(VLOOKUP(C269, Resultados_Reales!$A$4:$I$107, 5, FALSE)=G269, VLOOKUP(C269, Resultados_Reales!$A$4:$I$107, 6, FALSE)=H269), Configuracion!$B$5, IF(SIGN(VLOOKUP(C269, Resultados_Reales!$A$4:$I$107, 5, FALSE)-VLOOKUP(C269, Resultados_Reales!$A$4:$I$107, 6, FALSE)) = SIGN(G269-H269), Configuracion!$B$4, 0)))</f>
        <v/>
      </c>
      <c r="L269" s="11" t="n"/>
      <c r="M269" s="11" t="n"/>
      <c r="N269" s="11" t="n"/>
      <c r="O269" s="11" t="n"/>
      <c r="P269" s="11" t="n"/>
      <c r="Q269" s="11" t="n"/>
    </row>
    <row r="270">
      <c r="A270" s="8">
        <f>B270&amp;"_"&amp;C270</f>
        <v/>
      </c>
      <c r="B270" s="8" t="n"/>
      <c r="C270" s="8" t="n"/>
      <c r="D270" s="8" t="n"/>
      <c r="E270" s="11" t="n"/>
      <c r="F270" s="11" t="n"/>
      <c r="G270" s="8" t="n"/>
      <c r="H270" s="8" t="n"/>
      <c r="I270" s="8" t="n"/>
      <c r="J270" s="8" t="n"/>
      <c r="K270" s="12">
        <f>IF(OR(ISERROR(VLOOKUP(C270, Resultados_Reales!$A$4:$I$107, 5, FALSE)), ISERROR(VLOOKUP(C270, Resultados_Reales!$A$4:$I$107, 6, FALSE)), VLOOKUP(C270, Resultados_Reales!$A$4:$I$107, 5, FALSE)="", VLOOKUP(C270, Resultados_Reales!$A$4:$I$107, 6, FALSE)=""), 0, IF(AND(VLOOKUP(C270, Resultados_Reales!$A$4:$I$107, 5, FALSE)=G270, VLOOKUP(C270, Resultados_Reales!$A$4:$I$107, 6, FALSE)=H270), Configuracion!$B$5, IF(SIGN(VLOOKUP(C270, Resultados_Reales!$A$4:$I$107, 5, FALSE)-VLOOKUP(C270, Resultados_Reales!$A$4:$I$107, 6, FALSE)) = SIGN(G270-H270), Configuracion!$B$4, 0)))</f>
        <v/>
      </c>
      <c r="L270" s="11" t="n"/>
      <c r="M270" s="11" t="n"/>
      <c r="N270" s="11" t="n"/>
      <c r="O270" s="11" t="n"/>
      <c r="P270" s="11" t="n"/>
      <c r="Q270" s="11" t="n"/>
    </row>
    <row r="271">
      <c r="A271" s="8">
        <f>B271&amp;"_"&amp;C271</f>
        <v/>
      </c>
      <c r="B271" s="8" t="n"/>
      <c r="C271" s="8" t="n"/>
      <c r="D271" s="8" t="n"/>
      <c r="E271" s="11" t="n"/>
      <c r="F271" s="11" t="n"/>
      <c r="G271" s="8" t="n"/>
      <c r="H271" s="8" t="n"/>
      <c r="I271" s="8" t="n"/>
      <c r="J271" s="8" t="n"/>
      <c r="K271" s="12">
        <f>IF(OR(ISERROR(VLOOKUP(C271, Resultados_Reales!$A$4:$I$107, 5, FALSE)), ISERROR(VLOOKUP(C271, Resultados_Reales!$A$4:$I$107, 6, FALSE)), VLOOKUP(C271, Resultados_Reales!$A$4:$I$107, 5, FALSE)="", VLOOKUP(C271, Resultados_Reales!$A$4:$I$107, 6, FALSE)=""), 0, IF(AND(VLOOKUP(C271, Resultados_Reales!$A$4:$I$107, 5, FALSE)=G271, VLOOKUP(C271, Resultados_Reales!$A$4:$I$107, 6, FALSE)=H271), Configuracion!$B$5, IF(SIGN(VLOOKUP(C271, Resultados_Reales!$A$4:$I$107, 5, FALSE)-VLOOKUP(C271, Resultados_Reales!$A$4:$I$107, 6, FALSE)) = SIGN(G271-H271), Configuracion!$B$4, 0)))</f>
        <v/>
      </c>
      <c r="L271" s="11" t="n"/>
      <c r="M271" s="11" t="n"/>
      <c r="N271" s="11" t="n"/>
      <c r="O271" s="11" t="n"/>
      <c r="P271" s="11" t="n"/>
      <c r="Q271" s="11" t="n"/>
    </row>
    <row r="272">
      <c r="A272" s="8">
        <f>B272&amp;"_"&amp;C272</f>
        <v/>
      </c>
      <c r="B272" s="8" t="n"/>
      <c r="C272" s="8" t="n"/>
      <c r="D272" s="8" t="n"/>
      <c r="E272" s="11" t="n"/>
      <c r="F272" s="11" t="n"/>
      <c r="G272" s="8" t="n"/>
      <c r="H272" s="8" t="n"/>
      <c r="I272" s="8" t="n"/>
      <c r="J272" s="8" t="n"/>
      <c r="K272" s="12">
        <f>IF(OR(ISERROR(VLOOKUP(C272, Resultados_Reales!$A$4:$I$107, 5, FALSE)), ISERROR(VLOOKUP(C272, Resultados_Reales!$A$4:$I$107, 6, FALSE)), VLOOKUP(C272, Resultados_Reales!$A$4:$I$107, 5, FALSE)="", VLOOKUP(C272, Resultados_Reales!$A$4:$I$107, 6, FALSE)=""), 0, IF(AND(VLOOKUP(C272, Resultados_Reales!$A$4:$I$107, 5, FALSE)=G272, VLOOKUP(C272, Resultados_Reales!$A$4:$I$107, 6, FALSE)=H272), Configuracion!$B$5, IF(SIGN(VLOOKUP(C272, Resultados_Reales!$A$4:$I$107, 5, FALSE)-VLOOKUP(C272, Resultados_Reales!$A$4:$I$107, 6, FALSE)) = SIGN(G272-H272), Configuracion!$B$4, 0)))</f>
        <v/>
      </c>
      <c r="L272" s="11" t="n"/>
      <c r="M272" s="11" t="n"/>
      <c r="N272" s="11" t="n"/>
      <c r="O272" s="11" t="n"/>
      <c r="P272" s="11" t="n"/>
      <c r="Q272" s="11" t="n"/>
    </row>
    <row r="273">
      <c r="A273" s="8">
        <f>B273&amp;"_"&amp;C273</f>
        <v/>
      </c>
      <c r="B273" s="8" t="n"/>
      <c r="C273" s="8" t="n"/>
      <c r="D273" s="8" t="n"/>
      <c r="E273" s="11" t="n"/>
      <c r="F273" s="11" t="n"/>
      <c r="G273" s="8" t="n"/>
      <c r="H273" s="8" t="n"/>
      <c r="I273" s="8" t="n"/>
      <c r="J273" s="8" t="n"/>
      <c r="K273" s="12">
        <f>IF(OR(ISERROR(VLOOKUP(C273, Resultados_Reales!$A$4:$I$107, 5, FALSE)), ISERROR(VLOOKUP(C273, Resultados_Reales!$A$4:$I$107, 6, FALSE)), VLOOKUP(C273, Resultados_Reales!$A$4:$I$107, 5, FALSE)="", VLOOKUP(C273, Resultados_Reales!$A$4:$I$107, 6, FALSE)=""), 0, IF(AND(VLOOKUP(C273, Resultados_Reales!$A$4:$I$107, 5, FALSE)=G273, VLOOKUP(C273, Resultados_Reales!$A$4:$I$107, 6, FALSE)=H273), Configuracion!$B$5, IF(SIGN(VLOOKUP(C273, Resultados_Reales!$A$4:$I$107, 5, FALSE)-VLOOKUP(C273, Resultados_Reales!$A$4:$I$107, 6, FALSE)) = SIGN(G273-H273), Configuracion!$B$4, 0)))</f>
        <v/>
      </c>
      <c r="L273" s="11" t="n"/>
      <c r="M273" s="11" t="n"/>
      <c r="N273" s="11" t="n"/>
      <c r="O273" s="11" t="n"/>
      <c r="P273" s="11" t="n"/>
      <c r="Q273" s="11" t="n"/>
    </row>
    <row r="274">
      <c r="A274" s="8">
        <f>B274&amp;"_"&amp;C274</f>
        <v/>
      </c>
      <c r="B274" s="8" t="n"/>
      <c r="C274" s="8" t="n"/>
      <c r="D274" s="8" t="n"/>
      <c r="E274" s="11" t="n"/>
      <c r="F274" s="11" t="n"/>
      <c r="G274" s="8" t="n"/>
      <c r="H274" s="8" t="n"/>
      <c r="I274" s="8" t="n"/>
      <c r="J274" s="8" t="n"/>
      <c r="K274" s="12">
        <f>IF(OR(ISERROR(VLOOKUP(C274, Resultados_Reales!$A$4:$I$107, 5, FALSE)), ISERROR(VLOOKUP(C274, Resultados_Reales!$A$4:$I$107, 6, FALSE)), VLOOKUP(C274, Resultados_Reales!$A$4:$I$107, 5, FALSE)="", VLOOKUP(C274, Resultados_Reales!$A$4:$I$107, 6, FALSE)=""), 0, IF(AND(VLOOKUP(C274, Resultados_Reales!$A$4:$I$107, 5, FALSE)=G274, VLOOKUP(C274, Resultados_Reales!$A$4:$I$107, 6, FALSE)=H274), Configuracion!$B$5, IF(SIGN(VLOOKUP(C274, Resultados_Reales!$A$4:$I$107, 5, FALSE)-VLOOKUP(C274, Resultados_Reales!$A$4:$I$107, 6, FALSE)) = SIGN(G274-H274), Configuracion!$B$4, 0)))</f>
        <v/>
      </c>
      <c r="L274" s="11" t="n"/>
      <c r="M274" s="11" t="n"/>
      <c r="N274" s="11" t="n"/>
      <c r="O274" s="11" t="n"/>
      <c r="P274" s="11" t="n"/>
      <c r="Q274" s="11" t="n"/>
    </row>
    <row r="275">
      <c r="A275" s="8">
        <f>B275&amp;"_"&amp;C275</f>
        <v/>
      </c>
      <c r="B275" s="8" t="n"/>
      <c r="C275" s="8" t="n"/>
      <c r="D275" s="8" t="n"/>
      <c r="E275" s="11" t="n"/>
      <c r="F275" s="11" t="n"/>
      <c r="G275" s="8" t="n"/>
      <c r="H275" s="8" t="n"/>
      <c r="I275" s="8" t="n"/>
      <c r="J275" s="8" t="n"/>
      <c r="K275" s="12">
        <f>IF(OR(ISERROR(VLOOKUP(C275, Resultados_Reales!$A$4:$I$107, 5, FALSE)), ISERROR(VLOOKUP(C275, Resultados_Reales!$A$4:$I$107, 6, FALSE)), VLOOKUP(C275, Resultados_Reales!$A$4:$I$107, 5, FALSE)="", VLOOKUP(C275, Resultados_Reales!$A$4:$I$107, 6, FALSE)=""), 0, IF(AND(VLOOKUP(C275, Resultados_Reales!$A$4:$I$107, 5, FALSE)=G275, VLOOKUP(C275, Resultados_Reales!$A$4:$I$107, 6, FALSE)=H275), Configuracion!$B$5, IF(SIGN(VLOOKUP(C275, Resultados_Reales!$A$4:$I$107, 5, FALSE)-VLOOKUP(C275, Resultados_Reales!$A$4:$I$107, 6, FALSE)) = SIGN(G275-H275), Configuracion!$B$4, 0)))</f>
        <v/>
      </c>
      <c r="L275" s="11" t="n"/>
      <c r="M275" s="11" t="n"/>
      <c r="N275" s="11" t="n"/>
      <c r="O275" s="11" t="n"/>
      <c r="P275" s="11" t="n"/>
      <c r="Q275" s="11" t="n"/>
    </row>
    <row r="276">
      <c r="A276" s="8">
        <f>B276&amp;"_"&amp;C276</f>
        <v/>
      </c>
      <c r="B276" s="8" t="n"/>
      <c r="C276" s="8" t="n"/>
      <c r="D276" s="8" t="n"/>
      <c r="E276" s="11" t="n"/>
      <c r="F276" s="11" t="n"/>
      <c r="G276" s="8" t="n"/>
      <c r="H276" s="8" t="n"/>
      <c r="I276" s="8" t="n"/>
      <c r="J276" s="8" t="n"/>
      <c r="K276" s="12">
        <f>IF(OR(ISERROR(VLOOKUP(C276, Resultados_Reales!$A$4:$I$107, 5, FALSE)), ISERROR(VLOOKUP(C276, Resultados_Reales!$A$4:$I$107, 6, FALSE)), VLOOKUP(C276, Resultados_Reales!$A$4:$I$107, 5, FALSE)="", VLOOKUP(C276, Resultados_Reales!$A$4:$I$107, 6, FALSE)=""), 0, IF(AND(VLOOKUP(C276, Resultados_Reales!$A$4:$I$107, 5, FALSE)=G276, VLOOKUP(C276, Resultados_Reales!$A$4:$I$107, 6, FALSE)=H276), Configuracion!$B$5, IF(SIGN(VLOOKUP(C276, Resultados_Reales!$A$4:$I$107, 5, FALSE)-VLOOKUP(C276, Resultados_Reales!$A$4:$I$107, 6, FALSE)) = SIGN(G276-H276), Configuracion!$B$4, 0)))</f>
        <v/>
      </c>
      <c r="L276" s="11" t="n"/>
      <c r="M276" s="11" t="n"/>
      <c r="N276" s="11" t="n"/>
      <c r="O276" s="11" t="n"/>
      <c r="P276" s="11" t="n"/>
      <c r="Q276" s="11" t="n"/>
    </row>
    <row r="277">
      <c r="A277" s="8">
        <f>B277&amp;"_"&amp;C277</f>
        <v/>
      </c>
      <c r="B277" s="8" t="n"/>
      <c r="C277" s="8" t="n"/>
      <c r="D277" s="8" t="n"/>
      <c r="E277" s="11" t="n"/>
      <c r="F277" s="11" t="n"/>
      <c r="G277" s="8" t="n"/>
      <c r="H277" s="8" t="n"/>
      <c r="I277" s="8" t="n"/>
      <c r="J277" s="8" t="n"/>
      <c r="K277" s="12">
        <f>IF(OR(ISERROR(VLOOKUP(C277, Resultados_Reales!$A$4:$I$107, 5, FALSE)), ISERROR(VLOOKUP(C277, Resultados_Reales!$A$4:$I$107, 6, FALSE)), VLOOKUP(C277, Resultados_Reales!$A$4:$I$107, 5, FALSE)="", VLOOKUP(C277, Resultados_Reales!$A$4:$I$107, 6, FALSE)=""), 0, IF(AND(VLOOKUP(C277, Resultados_Reales!$A$4:$I$107, 5, FALSE)=G277, VLOOKUP(C277, Resultados_Reales!$A$4:$I$107, 6, FALSE)=H277), Configuracion!$B$5, IF(SIGN(VLOOKUP(C277, Resultados_Reales!$A$4:$I$107, 5, FALSE)-VLOOKUP(C277, Resultados_Reales!$A$4:$I$107, 6, FALSE)) = SIGN(G277-H277), Configuracion!$B$4, 0)))</f>
        <v/>
      </c>
      <c r="L277" s="11" t="n"/>
      <c r="M277" s="11" t="n"/>
      <c r="N277" s="11" t="n"/>
      <c r="O277" s="11" t="n"/>
      <c r="P277" s="11" t="n"/>
      <c r="Q277" s="11" t="n"/>
    </row>
    <row r="278">
      <c r="A278" s="8">
        <f>B278&amp;"_"&amp;C278</f>
        <v/>
      </c>
      <c r="B278" s="8" t="n"/>
      <c r="C278" s="8" t="n"/>
      <c r="D278" s="8" t="n"/>
      <c r="E278" s="11" t="n"/>
      <c r="F278" s="11" t="n"/>
      <c r="G278" s="8" t="n"/>
      <c r="H278" s="8" t="n"/>
      <c r="I278" s="8" t="n"/>
      <c r="J278" s="8" t="n"/>
      <c r="K278" s="12">
        <f>IF(OR(ISERROR(VLOOKUP(C278, Resultados_Reales!$A$4:$I$107, 5, FALSE)), ISERROR(VLOOKUP(C278, Resultados_Reales!$A$4:$I$107, 6, FALSE)), VLOOKUP(C278, Resultados_Reales!$A$4:$I$107, 5, FALSE)="", VLOOKUP(C278, Resultados_Reales!$A$4:$I$107, 6, FALSE)=""), 0, IF(AND(VLOOKUP(C278, Resultados_Reales!$A$4:$I$107, 5, FALSE)=G278, VLOOKUP(C278, Resultados_Reales!$A$4:$I$107, 6, FALSE)=H278), Configuracion!$B$5, IF(SIGN(VLOOKUP(C278, Resultados_Reales!$A$4:$I$107, 5, FALSE)-VLOOKUP(C278, Resultados_Reales!$A$4:$I$107, 6, FALSE)) = SIGN(G278-H278), Configuracion!$B$4, 0)))</f>
        <v/>
      </c>
      <c r="L278" s="11" t="n"/>
      <c r="M278" s="11" t="n"/>
      <c r="N278" s="11" t="n"/>
      <c r="O278" s="11" t="n"/>
      <c r="P278" s="11" t="n"/>
      <c r="Q278" s="11" t="n"/>
    </row>
    <row r="279">
      <c r="A279" s="8">
        <f>B279&amp;"_"&amp;C279</f>
        <v/>
      </c>
      <c r="B279" s="8" t="n"/>
      <c r="C279" s="8" t="n"/>
      <c r="D279" s="8" t="n"/>
      <c r="E279" s="11" t="n"/>
      <c r="F279" s="11" t="n"/>
      <c r="G279" s="8" t="n"/>
      <c r="H279" s="8" t="n"/>
      <c r="I279" s="8" t="n"/>
      <c r="J279" s="8" t="n"/>
      <c r="K279" s="12">
        <f>IF(OR(ISERROR(VLOOKUP(C279, Resultados_Reales!$A$4:$I$107, 5, FALSE)), ISERROR(VLOOKUP(C279, Resultados_Reales!$A$4:$I$107, 6, FALSE)), VLOOKUP(C279, Resultados_Reales!$A$4:$I$107, 5, FALSE)="", VLOOKUP(C279, Resultados_Reales!$A$4:$I$107, 6, FALSE)=""), 0, IF(AND(VLOOKUP(C279, Resultados_Reales!$A$4:$I$107, 5, FALSE)=G279, VLOOKUP(C279, Resultados_Reales!$A$4:$I$107, 6, FALSE)=H279), Configuracion!$B$5, IF(SIGN(VLOOKUP(C279, Resultados_Reales!$A$4:$I$107, 5, FALSE)-VLOOKUP(C279, Resultados_Reales!$A$4:$I$107, 6, FALSE)) = SIGN(G279-H279), Configuracion!$B$4, 0)))</f>
        <v/>
      </c>
      <c r="L279" s="11" t="n"/>
      <c r="M279" s="11" t="n"/>
      <c r="N279" s="11" t="n"/>
      <c r="O279" s="11" t="n"/>
      <c r="P279" s="11" t="n"/>
      <c r="Q279" s="11" t="n"/>
    </row>
    <row r="280">
      <c r="A280" s="8">
        <f>B280&amp;"_"&amp;C280</f>
        <v/>
      </c>
      <c r="B280" s="8" t="n"/>
      <c r="C280" s="8" t="n"/>
      <c r="D280" s="8" t="n"/>
      <c r="E280" s="11" t="n"/>
      <c r="F280" s="11" t="n"/>
      <c r="G280" s="8" t="n"/>
      <c r="H280" s="8" t="n"/>
      <c r="I280" s="8" t="n"/>
      <c r="J280" s="8" t="n"/>
      <c r="K280" s="12">
        <f>IF(OR(ISERROR(VLOOKUP(C280, Resultados_Reales!$A$4:$I$107, 5, FALSE)), ISERROR(VLOOKUP(C280, Resultados_Reales!$A$4:$I$107, 6, FALSE)), VLOOKUP(C280, Resultados_Reales!$A$4:$I$107, 5, FALSE)="", VLOOKUP(C280, Resultados_Reales!$A$4:$I$107, 6, FALSE)=""), 0, IF(AND(VLOOKUP(C280, Resultados_Reales!$A$4:$I$107, 5, FALSE)=G280, VLOOKUP(C280, Resultados_Reales!$A$4:$I$107, 6, FALSE)=H280), Configuracion!$B$5, IF(SIGN(VLOOKUP(C280, Resultados_Reales!$A$4:$I$107, 5, FALSE)-VLOOKUP(C280, Resultados_Reales!$A$4:$I$107, 6, FALSE)) = SIGN(G280-H280), Configuracion!$B$4, 0)))</f>
        <v/>
      </c>
      <c r="L280" s="11" t="n"/>
      <c r="M280" s="11" t="n"/>
      <c r="N280" s="11" t="n"/>
      <c r="O280" s="11" t="n"/>
      <c r="P280" s="11" t="n"/>
      <c r="Q280" s="11" t="n"/>
    </row>
    <row r="281">
      <c r="A281" s="8">
        <f>B281&amp;"_"&amp;C281</f>
        <v/>
      </c>
      <c r="B281" s="8" t="n"/>
      <c r="C281" s="8" t="n"/>
      <c r="D281" s="8" t="n"/>
      <c r="E281" s="11" t="n"/>
      <c r="F281" s="11" t="n"/>
      <c r="G281" s="8" t="n"/>
      <c r="H281" s="8" t="n"/>
      <c r="I281" s="8" t="n"/>
      <c r="J281" s="8" t="n"/>
      <c r="K281" s="12">
        <f>IF(OR(ISERROR(VLOOKUP(C281, Resultados_Reales!$A$4:$I$107, 5, FALSE)), ISERROR(VLOOKUP(C281, Resultados_Reales!$A$4:$I$107, 6, FALSE)), VLOOKUP(C281, Resultados_Reales!$A$4:$I$107, 5, FALSE)="", VLOOKUP(C281, Resultados_Reales!$A$4:$I$107, 6, FALSE)=""), 0, IF(AND(VLOOKUP(C281, Resultados_Reales!$A$4:$I$107, 5, FALSE)=G281, VLOOKUP(C281, Resultados_Reales!$A$4:$I$107, 6, FALSE)=H281), Configuracion!$B$5, IF(SIGN(VLOOKUP(C281, Resultados_Reales!$A$4:$I$107, 5, FALSE)-VLOOKUP(C281, Resultados_Reales!$A$4:$I$107, 6, FALSE)) = SIGN(G281-H281), Configuracion!$B$4, 0)))</f>
        <v/>
      </c>
      <c r="L281" s="11" t="n"/>
      <c r="M281" s="11" t="n"/>
      <c r="N281" s="11" t="n"/>
      <c r="O281" s="11" t="n"/>
      <c r="P281" s="11" t="n"/>
      <c r="Q281" s="11" t="n"/>
    </row>
    <row r="282">
      <c r="A282" s="8">
        <f>B282&amp;"_"&amp;C282</f>
        <v/>
      </c>
      <c r="B282" s="8" t="n"/>
      <c r="C282" s="8" t="n"/>
      <c r="D282" s="8" t="n"/>
      <c r="E282" s="11" t="n"/>
      <c r="F282" s="11" t="n"/>
      <c r="G282" s="8" t="n"/>
      <c r="H282" s="8" t="n"/>
      <c r="I282" s="8" t="n"/>
      <c r="J282" s="8" t="n"/>
      <c r="K282" s="12">
        <f>IF(OR(ISERROR(VLOOKUP(C282, Resultados_Reales!$A$4:$I$107, 5, FALSE)), ISERROR(VLOOKUP(C282, Resultados_Reales!$A$4:$I$107, 6, FALSE)), VLOOKUP(C282, Resultados_Reales!$A$4:$I$107, 5, FALSE)="", VLOOKUP(C282, Resultados_Reales!$A$4:$I$107, 6, FALSE)=""), 0, IF(AND(VLOOKUP(C282, Resultados_Reales!$A$4:$I$107, 5, FALSE)=G282, VLOOKUP(C282, Resultados_Reales!$A$4:$I$107, 6, FALSE)=H282), Configuracion!$B$5, IF(SIGN(VLOOKUP(C282, Resultados_Reales!$A$4:$I$107, 5, FALSE)-VLOOKUP(C282, Resultados_Reales!$A$4:$I$107, 6, FALSE)) = SIGN(G282-H282), Configuracion!$B$4, 0)))</f>
        <v/>
      </c>
      <c r="L282" s="11" t="n"/>
      <c r="M282" s="11" t="n"/>
      <c r="N282" s="11" t="n"/>
      <c r="O282" s="11" t="n"/>
      <c r="P282" s="11" t="n"/>
      <c r="Q282" s="11" t="n"/>
    </row>
    <row r="283">
      <c r="A283" s="8">
        <f>B283&amp;"_"&amp;C283</f>
        <v/>
      </c>
      <c r="B283" s="8" t="n"/>
      <c r="C283" s="8" t="n"/>
      <c r="D283" s="8" t="n"/>
      <c r="E283" s="11" t="n"/>
      <c r="F283" s="11" t="n"/>
      <c r="G283" s="8" t="n"/>
      <c r="H283" s="8" t="n"/>
      <c r="I283" s="8" t="n"/>
      <c r="J283" s="8" t="n"/>
      <c r="K283" s="12">
        <f>IF(OR(ISERROR(VLOOKUP(C283, Resultados_Reales!$A$4:$I$107, 5, FALSE)), ISERROR(VLOOKUP(C283, Resultados_Reales!$A$4:$I$107, 6, FALSE)), VLOOKUP(C283, Resultados_Reales!$A$4:$I$107, 5, FALSE)="", VLOOKUP(C283, Resultados_Reales!$A$4:$I$107, 6, FALSE)=""), 0, IF(AND(VLOOKUP(C283, Resultados_Reales!$A$4:$I$107, 5, FALSE)=G283, VLOOKUP(C283, Resultados_Reales!$A$4:$I$107, 6, FALSE)=H283), Configuracion!$B$5, IF(SIGN(VLOOKUP(C283, Resultados_Reales!$A$4:$I$107, 5, FALSE)-VLOOKUP(C283, Resultados_Reales!$A$4:$I$107, 6, FALSE)) = SIGN(G283-H283), Configuracion!$B$4, 0)))</f>
        <v/>
      </c>
      <c r="L283" s="11" t="n"/>
      <c r="M283" s="11" t="n"/>
      <c r="N283" s="11" t="n"/>
      <c r="O283" s="11" t="n"/>
      <c r="P283" s="11" t="n"/>
      <c r="Q283" s="11" t="n"/>
    </row>
    <row r="284">
      <c r="A284" s="8">
        <f>B284&amp;"_"&amp;C284</f>
        <v/>
      </c>
      <c r="B284" s="8" t="n"/>
      <c r="C284" s="8" t="n"/>
      <c r="D284" s="8" t="n"/>
      <c r="E284" s="11" t="n"/>
      <c r="F284" s="11" t="n"/>
      <c r="G284" s="8" t="n"/>
      <c r="H284" s="8" t="n"/>
      <c r="I284" s="8" t="n"/>
      <c r="J284" s="8" t="n"/>
      <c r="K284" s="12">
        <f>IF(OR(ISERROR(VLOOKUP(C284, Resultados_Reales!$A$4:$I$107, 5, FALSE)), ISERROR(VLOOKUP(C284, Resultados_Reales!$A$4:$I$107, 6, FALSE)), VLOOKUP(C284, Resultados_Reales!$A$4:$I$107, 5, FALSE)="", VLOOKUP(C284, Resultados_Reales!$A$4:$I$107, 6, FALSE)=""), 0, IF(AND(VLOOKUP(C284, Resultados_Reales!$A$4:$I$107, 5, FALSE)=G284, VLOOKUP(C284, Resultados_Reales!$A$4:$I$107, 6, FALSE)=H284), Configuracion!$B$5, IF(SIGN(VLOOKUP(C284, Resultados_Reales!$A$4:$I$107, 5, FALSE)-VLOOKUP(C284, Resultados_Reales!$A$4:$I$107, 6, FALSE)) = SIGN(G284-H284), Configuracion!$B$4, 0)))</f>
        <v/>
      </c>
      <c r="L284" s="11" t="n"/>
      <c r="M284" s="11" t="n"/>
      <c r="N284" s="11" t="n"/>
      <c r="O284" s="11" t="n"/>
      <c r="P284" s="11" t="n"/>
      <c r="Q284" s="11" t="n"/>
    </row>
    <row r="285">
      <c r="A285" s="8">
        <f>B285&amp;"_"&amp;C285</f>
        <v/>
      </c>
      <c r="B285" s="8" t="n"/>
      <c r="C285" s="8" t="n"/>
      <c r="D285" s="8" t="n"/>
      <c r="E285" s="11" t="n"/>
      <c r="F285" s="11" t="n"/>
      <c r="G285" s="8" t="n"/>
      <c r="H285" s="8" t="n"/>
      <c r="I285" s="8" t="n"/>
      <c r="J285" s="8" t="n"/>
      <c r="K285" s="12">
        <f>IF(OR(ISERROR(VLOOKUP(C285, Resultados_Reales!$A$4:$I$107, 5, FALSE)), ISERROR(VLOOKUP(C285, Resultados_Reales!$A$4:$I$107, 6, FALSE)), VLOOKUP(C285, Resultados_Reales!$A$4:$I$107, 5, FALSE)="", VLOOKUP(C285, Resultados_Reales!$A$4:$I$107, 6, FALSE)=""), 0, IF(AND(VLOOKUP(C285, Resultados_Reales!$A$4:$I$107, 5, FALSE)=G285, VLOOKUP(C285, Resultados_Reales!$A$4:$I$107, 6, FALSE)=H285), Configuracion!$B$5, IF(SIGN(VLOOKUP(C285, Resultados_Reales!$A$4:$I$107, 5, FALSE)-VLOOKUP(C285, Resultados_Reales!$A$4:$I$107, 6, FALSE)) = SIGN(G285-H285), Configuracion!$B$4, 0)))</f>
        <v/>
      </c>
      <c r="L285" s="11" t="n"/>
      <c r="M285" s="11" t="n"/>
      <c r="N285" s="11" t="n"/>
      <c r="O285" s="11" t="n"/>
      <c r="P285" s="11" t="n"/>
      <c r="Q285" s="11" t="n"/>
    </row>
    <row r="286">
      <c r="A286" s="8">
        <f>B286&amp;"_"&amp;C286</f>
        <v/>
      </c>
      <c r="B286" s="8" t="n"/>
      <c r="C286" s="8" t="n"/>
      <c r="D286" s="8" t="n"/>
      <c r="E286" s="11" t="n"/>
      <c r="F286" s="11" t="n"/>
      <c r="G286" s="8" t="n"/>
      <c r="H286" s="8" t="n"/>
      <c r="I286" s="8" t="n"/>
      <c r="J286" s="8" t="n"/>
      <c r="K286" s="12">
        <f>IF(OR(ISERROR(VLOOKUP(C286, Resultados_Reales!$A$4:$I$107, 5, FALSE)), ISERROR(VLOOKUP(C286, Resultados_Reales!$A$4:$I$107, 6, FALSE)), VLOOKUP(C286, Resultados_Reales!$A$4:$I$107, 5, FALSE)="", VLOOKUP(C286, Resultados_Reales!$A$4:$I$107, 6, FALSE)=""), 0, IF(AND(VLOOKUP(C286, Resultados_Reales!$A$4:$I$107, 5, FALSE)=G286, VLOOKUP(C286, Resultados_Reales!$A$4:$I$107, 6, FALSE)=H286), Configuracion!$B$5, IF(SIGN(VLOOKUP(C286, Resultados_Reales!$A$4:$I$107, 5, FALSE)-VLOOKUP(C286, Resultados_Reales!$A$4:$I$107, 6, FALSE)) = SIGN(G286-H286), Configuracion!$B$4, 0)))</f>
        <v/>
      </c>
      <c r="L286" s="11" t="n"/>
      <c r="M286" s="11" t="n"/>
      <c r="N286" s="11" t="n"/>
      <c r="O286" s="11" t="n"/>
      <c r="P286" s="11" t="n"/>
      <c r="Q286" s="11" t="n"/>
    </row>
    <row r="287">
      <c r="A287" s="8">
        <f>B287&amp;"_"&amp;C287</f>
        <v/>
      </c>
      <c r="B287" s="8" t="n"/>
      <c r="C287" s="8" t="n"/>
      <c r="D287" s="8" t="n"/>
      <c r="E287" s="11" t="n"/>
      <c r="F287" s="11" t="n"/>
      <c r="G287" s="8" t="n"/>
      <c r="H287" s="8" t="n"/>
      <c r="I287" s="8" t="n"/>
      <c r="J287" s="8" t="n"/>
      <c r="K287" s="12">
        <f>IF(OR(ISERROR(VLOOKUP(C287, Resultados_Reales!$A$4:$I$107, 5, FALSE)), ISERROR(VLOOKUP(C287, Resultados_Reales!$A$4:$I$107, 6, FALSE)), VLOOKUP(C287, Resultados_Reales!$A$4:$I$107, 5, FALSE)="", VLOOKUP(C287, Resultados_Reales!$A$4:$I$107, 6, FALSE)=""), 0, IF(AND(VLOOKUP(C287, Resultados_Reales!$A$4:$I$107, 5, FALSE)=G287, VLOOKUP(C287, Resultados_Reales!$A$4:$I$107, 6, FALSE)=H287), Configuracion!$B$5, IF(SIGN(VLOOKUP(C287, Resultados_Reales!$A$4:$I$107, 5, FALSE)-VLOOKUP(C287, Resultados_Reales!$A$4:$I$107, 6, FALSE)) = SIGN(G287-H287), Configuracion!$B$4, 0)))</f>
        <v/>
      </c>
      <c r="L287" s="11" t="n"/>
      <c r="M287" s="11" t="n"/>
      <c r="N287" s="11" t="n"/>
      <c r="O287" s="11" t="n"/>
      <c r="P287" s="11" t="n"/>
      <c r="Q287" s="11" t="n"/>
    </row>
    <row r="288">
      <c r="A288" s="8">
        <f>B288&amp;"_"&amp;C288</f>
        <v/>
      </c>
      <c r="B288" s="8" t="n"/>
      <c r="C288" s="8" t="n"/>
      <c r="D288" s="8" t="n"/>
      <c r="E288" s="11" t="n"/>
      <c r="F288" s="11" t="n"/>
      <c r="G288" s="8" t="n"/>
      <c r="H288" s="8" t="n"/>
      <c r="I288" s="8" t="n"/>
      <c r="J288" s="8" t="n"/>
      <c r="K288" s="12">
        <f>IF(OR(ISERROR(VLOOKUP(C288, Resultados_Reales!$A$4:$I$107, 5, FALSE)), ISERROR(VLOOKUP(C288, Resultados_Reales!$A$4:$I$107, 6, FALSE)), VLOOKUP(C288, Resultados_Reales!$A$4:$I$107, 5, FALSE)="", VLOOKUP(C288, Resultados_Reales!$A$4:$I$107, 6, FALSE)=""), 0, IF(AND(VLOOKUP(C288, Resultados_Reales!$A$4:$I$107, 5, FALSE)=G288, VLOOKUP(C288, Resultados_Reales!$A$4:$I$107, 6, FALSE)=H288), Configuracion!$B$5, IF(SIGN(VLOOKUP(C288, Resultados_Reales!$A$4:$I$107, 5, FALSE)-VLOOKUP(C288, Resultados_Reales!$A$4:$I$107, 6, FALSE)) = SIGN(G288-H288), Configuracion!$B$4, 0)))</f>
        <v/>
      </c>
      <c r="L288" s="11" t="n"/>
      <c r="M288" s="11" t="n"/>
      <c r="N288" s="11" t="n"/>
      <c r="O288" s="11" t="n"/>
      <c r="P288" s="11" t="n"/>
      <c r="Q288" s="11" t="n"/>
    </row>
    <row r="289">
      <c r="A289" s="8">
        <f>B289&amp;"_"&amp;C289</f>
        <v/>
      </c>
      <c r="B289" s="8" t="n"/>
      <c r="C289" s="8" t="n"/>
      <c r="D289" s="8" t="n"/>
      <c r="E289" s="11" t="n"/>
      <c r="F289" s="11" t="n"/>
      <c r="G289" s="8" t="n"/>
      <c r="H289" s="8" t="n"/>
      <c r="I289" s="8" t="n"/>
      <c r="J289" s="8" t="n"/>
      <c r="K289" s="12">
        <f>IF(OR(ISERROR(VLOOKUP(C289, Resultados_Reales!$A$4:$I$107, 5, FALSE)), ISERROR(VLOOKUP(C289, Resultados_Reales!$A$4:$I$107, 6, FALSE)), VLOOKUP(C289, Resultados_Reales!$A$4:$I$107, 5, FALSE)="", VLOOKUP(C289, Resultados_Reales!$A$4:$I$107, 6, FALSE)=""), 0, IF(AND(VLOOKUP(C289, Resultados_Reales!$A$4:$I$107, 5, FALSE)=G289, VLOOKUP(C289, Resultados_Reales!$A$4:$I$107, 6, FALSE)=H289), Configuracion!$B$5, IF(SIGN(VLOOKUP(C289, Resultados_Reales!$A$4:$I$107, 5, FALSE)-VLOOKUP(C289, Resultados_Reales!$A$4:$I$107, 6, FALSE)) = SIGN(G289-H289), Configuracion!$B$4, 0)))</f>
        <v/>
      </c>
      <c r="L289" s="11" t="n"/>
      <c r="M289" s="11" t="n"/>
      <c r="N289" s="11" t="n"/>
      <c r="O289" s="11" t="n"/>
      <c r="P289" s="11" t="n"/>
      <c r="Q289" s="11" t="n"/>
    </row>
    <row r="290">
      <c r="A290" s="8">
        <f>B290&amp;"_"&amp;C290</f>
        <v/>
      </c>
      <c r="B290" s="8" t="n"/>
      <c r="C290" s="8" t="n"/>
      <c r="D290" s="8" t="n"/>
      <c r="E290" s="11" t="n"/>
      <c r="F290" s="11" t="n"/>
      <c r="G290" s="8" t="n"/>
      <c r="H290" s="8" t="n"/>
      <c r="I290" s="8" t="n"/>
      <c r="J290" s="8" t="n"/>
      <c r="K290" s="12">
        <f>IF(OR(ISERROR(VLOOKUP(C290, Resultados_Reales!$A$4:$I$107, 5, FALSE)), ISERROR(VLOOKUP(C290, Resultados_Reales!$A$4:$I$107, 6, FALSE)), VLOOKUP(C290, Resultados_Reales!$A$4:$I$107, 5, FALSE)="", VLOOKUP(C290, Resultados_Reales!$A$4:$I$107, 6, FALSE)=""), 0, IF(AND(VLOOKUP(C290, Resultados_Reales!$A$4:$I$107, 5, FALSE)=G290, VLOOKUP(C290, Resultados_Reales!$A$4:$I$107, 6, FALSE)=H290), Configuracion!$B$5, IF(SIGN(VLOOKUP(C290, Resultados_Reales!$A$4:$I$107, 5, FALSE)-VLOOKUP(C290, Resultados_Reales!$A$4:$I$107, 6, FALSE)) = SIGN(G290-H290), Configuracion!$B$4, 0)))</f>
        <v/>
      </c>
      <c r="L290" s="11" t="n"/>
      <c r="M290" s="11" t="n"/>
      <c r="N290" s="11" t="n"/>
      <c r="O290" s="11" t="n"/>
      <c r="P290" s="11" t="n"/>
      <c r="Q290" s="11" t="n"/>
    </row>
    <row r="291">
      <c r="A291" s="8">
        <f>B291&amp;"_"&amp;C291</f>
        <v/>
      </c>
      <c r="B291" s="8" t="n"/>
      <c r="C291" s="8" t="n"/>
      <c r="D291" s="8" t="n"/>
      <c r="E291" s="11" t="n"/>
      <c r="F291" s="11" t="n"/>
      <c r="G291" s="8" t="n"/>
      <c r="H291" s="8" t="n"/>
      <c r="I291" s="8" t="n"/>
      <c r="J291" s="8" t="n"/>
      <c r="K291" s="12">
        <f>IF(OR(ISERROR(VLOOKUP(C291, Resultados_Reales!$A$4:$I$107, 5, FALSE)), ISERROR(VLOOKUP(C291, Resultados_Reales!$A$4:$I$107, 6, FALSE)), VLOOKUP(C291, Resultados_Reales!$A$4:$I$107, 5, FALSE)="", VLOOKUP(C291, Resultados_Reales!$A$4:$I$107, 6, FALSE)=""), 0, IF(AND(VLOOKUP(C291, Resultados_Reales!$A$4:$I$107, 5, FALSE)=G291, VLOOKUP(C291, Resultados_Reales!$A$4:$I$107, 6, FALSE)=H291), Configuracion!$B$5, IF(SIGN(VLOOKUP(C291, Resultados_Reales!$A$4:$I$107, 5, FALSE)-VLOOKUP(C291, Resultados_Reales!$A$4:$I$107, 6, FALSE)) = SIGN(G291-H291), Configuracion!$B$4, 0)))</f>
        <v/>
      </c>
      <c r="L291" s="11" t="n"/>
      <c r="M291" s="11" t="n"/>
      <c r="N291" s="11" t="n"/>
      <c r="O291" s="11" t="n"/>
      <c r="P291" s="11" t="n"/>
      <c r="Q291" s="11" t="n"/>
    </row>
    <row r="292">
      <c r="A292" s="8">
        <f>B292&amp;"_"&amp;C292</f>
        <v/>
      </c>
      <c r="B292" s="8" t="n"/>
      <c r="C292" s="8" t="n"/>
      <c r="D292" s="8" t="n"/>
      <c r="E292" s="11" t="n"/>
      <c r="F292" s="11" t="n"/>
      <c r="G292" s="8" t="n"/>
      <c r="H292" s="8" t="n"/>
      <c r="I292" s="8" t="n"/>
      <c r="J292" s="8" t="n"/>
      <c r="K292" s="12">
        <f>IF(OR(ISERROR(VLOOKUP(C292, Resultados_Reales!$A$4:$I$107, 5, FALSE)), ISERROR(VLOOKUP(C292, Resultados_Reales!$A$4:$I$107, 6, FALSE)), VLOOKUP(C292, Resultados_Reales!$A$4:$I$107, 5, FALSE)="", VLOOKUP(C292, Resultados_Reales!$A$4:$I$107, 6, FALSE)=""), 0, IF(AND(VLOOKUP(C292, Resultados_Reales!$A$4:$I$107, 5, FALSE)=G292, VLOOKUP(C292, Resultados_Reales!$A$4:$I$107, 6, FALSE)=H292), Configuracion!$B$5, IF(SIGN(VLOOKUP(C292, Resultados_Reales!$A$4:$I$107, 5, FALSE)-VLOOKUP(C292, Resultados_Reales!$A$4:$I$107, 6, FALSE)) = SIGN(G292-H292), Configuracion!$B$4, 0)))</f>
        <v/>
      </c>
      <c r="L292" s="11" t="n"/>
      <c r="M292" s="11" t="n"/>
      <c r="N292" s="11" t="n"/>
      <c r="O292" s="11" t="n"/>
      <c r="P292" s="11" t="n"/>
      <c r="Q292" s="11" t="n"/>
    </row>
    <row r="293">
      <c r="A293" s="8">
        <f>B293&amp;"_"&amp;C293</f>
        <v/>
      </c>
      <c r="B293" s="8" t="n"/>
      <c r="C293" s="8" t="n"/>
      <c r="D293" s="8" t="n"/>
      <c r="E293" s="11" t="n"/>
      <c r="F293" s="11" t="n"/>
      <c r="G293" s="8" t="n"/>
      <c r="H293" s="8" t="n"/>
      <c r="I293" s="8" t="n"/>
      <c r="J293" s="8" t="n"/>
      <c r="K293" s="12">
        <f>IF(OR(ISERROR(VLOOKUP(C293, Resultados_Reales!$A$4:$I$107, 5, FALSE)), ISERROR(VLOOKUP(C293, Resultados_Reales!$A$4:$I$107, 6, FALSE)), VLOOKUP(C293, Resultados_Reales!$A$4:$I$107, 5, FALSE)="", VLOOKUP(C293, Resultados_Reales!$A$4:$I$107, 6, FALSE)=""), 0, IF(AND(VLOOKUP(C293, Resultados_Reales!$A$4:$I$107, 5, FALSE)=G293, VLOOKUP(C293, Resultados_Reales!$A$4:$I$107, 6, FALSE)=H293), Configuracion!$B$5, IF(SIGN(VLOOKUP(C293, Resultados_Reales!$A$4:$I$107, 5, FALSE)-VLOOKUP(C293, Resultados_Reales!$A$4:$I$107, 6, FALSE)) = SIGN(G293-H293), Configuracion!$B$4, 0)))</f>
        <v/>
      </c>
      <c r="L293" s="11" t="n"/>
      <c r="M293" s="11" t="n"/>
      <c r="N293" s="11" t="n"/>
      <c r="O293" s="11" t="n"/>
      <c r="P293" s="11" t="n"/>
      <c r="Q293" s="11" t="n"/>
    </row>
    <row r="294">
      <c r="A294" s="8">
        <f>B294&amp;"_"&amp;C294</f>
        <v/>
      </c>
      <c r="B294" s="8" t="n"/>
      <c r="C294" s="8" t="n"/>
      <c r="D294" s="8" t="n"/>
      <c r="E294" s="11" t="n"/>
      <c r="F294" s="11" t="n"/>
      <c r="G294" s="8" t="n"/>
      <c r="H294" s="8" t="n"/>
      <c r="I294" s="8" t="n"/>
      <c r="J294" s="8" t="n"/>
      <c r="K294" s="12">
        <f>IF(OR(ISERROR(VLOOKUP(C294, Resultados_Reales!$A$4:$I$107, 5, FALSE)), ISERROR(VLOOKUP(C294, Resultados_Reales!$A$4:$I$107, 6, FALSE)), VLOOKUP(C294, Resultados_Reales!$A$4:$I$107, 5, FALSE)="", VLOOKUP(C294, Resultados_Reales!$A$4:$I$107, 6, FALSE)=""), 0, IF(AND(VLOOKUP(C294, Resultados_Reales!$A$4:$I$107, 5, FALSE)=G294, VLOOKUP(C294, Resultados_Reales!$A$4:$I$107, 6, FALSE)=H294), Configuracion!$B$5, IF(SIGN(VLOOKUP(C294, Resultados_Reales!$A$4:$I$107, 5, FALSE)-VLOOKUP(C294, Resultados_Reales!$A$4:$I$107, 6, FALSE)) = SIGN(G294-H294), Configuracion!$B$4, 0)))</f>
        <v/>
      </c>
      <c r="L294" s="11" t="n"/>
      <c r="M294" s="11" t="n"/>
      <c r="N294" s="11" t="n"/>
      <c r="O294" s="11" t="n"/>
      <c r="P294" s="11" t="n"/>
      <c r="Q294" s="11" t="n"/>
    </row>
    <row r="295">
      <c r="A295" s="8">
        <f>B295&amp;"_"&amp;C295</f>
        <v/>
      </c>
      <c r="B295" s="8" t="n"/>
      <c r="C295" s="8" t="n"/>
      <c r="D295" s="8" t="n"/>
      <c r="E295" s="11" t="n"/>
      <c r="F295" s="11" t="n"/>
      <c r="G295" s="8" t="n"/>
      <c r="H295" s="8" t="n"/>
      <c r="I295" s="8" t="n"/>
      <c r="J295" s="8" t="n"/>
      <c r="K295" s="12">
        <f>IF(OR(ISERROR(VLOOKUP(C295, Resultados_Reales!$A$4:$I$107, 5, FALSE)), ISERROR(VLOOKUP(C295, Resultados_Reales!$A$4:$I$107, 6, FALSE)), VLOOKUP(C295, Resultados_Reales!$A$4:$I$107, 5, FALSE)="", VLOOKUP(C295, Resultados_Reales!$A$4:$I$107, 6, FALSE)=""), 0, IF(AND(VLOOKUP(C295, Resultados_Reales!$A$4:$I$107, 5, FALSE)=G295, VLOOKUP(C295, Resultados_Reales!$A$4:$I$107, 6, FALSE)=H295), Configuracion!$B$5, IF(SIGN(VLOOKUP(C295, Resultados_Reales!$A$4:$I$107, 5, FALSE)-VLOOKUP(C295, Resultados_Reales!$A$4:$I$107, 6, FALSE)) = SIGN(G295-H295), Configuracion!$B$4, 0)))</f>
        <v/>
      </c>
      <c r="L295" s="11" t="n"/>
      <c r="M295" s="11" t="n"/>
      <c r="N295" s="11" t="n"/>
      <c r="O295" s="11" t="n"/>
      <c r="P295" s="11" t="n"/>
      <c r="Q295" s="11" t="n"/>
    </row>
    <row r="296">
      <c r="A296" s="8">
        <f>B296&amp;"_"&amp;C296</f>
        <v/>
      </c>
      <c r="B296" s="8" t="n"/>
      <c r="C296" s="8" t="n"/>
      <c r="D296" s="8" t="n"/>
      <c r="E296" s="11" t="n"/>
      <c r="F296" s="11" t="n"/>
      <c r="G296" s="8" t="n"/>
      <c r="H296" s="8" t="n"/>
      <c r="I296" s="8" t="n"/>
      <c r="J296" s="8" t="n"/>
      <c r="K296" s="12">
        <f>IF(OR(ISERROR(VLOOKUP(C296, Resultados_Reales!$A$4:$I$107, 5, FALSE)), ISERROR(VLOOKUP(C296, Resultados_Reales!$A$4:$I$107, 6, FALSE)), VLOOKUP(C296, Resultados_Reales!$A$4:$I$107, 5, FALSE)="", VLOOKUP(C296, Resultados_Reales!$A$4:$I$107, 6, FALSE)=""), 0, IF(AND(VLOOKUP(C296, Resultados_Reales!$A$4:$I$107, 5, FALSE)=G296, VLOOKUP(C296, Resultados_Reales!$A$4:$I$107, 6, FALSE)=H296), Configuracion!$B$5, IF(SIGN(VLOOKUP(C296, Resultados_Reales!$A$4:$I$107, 5, FALSE)-VLOOKUP(C296, Resultados_Reales!$A$4:$I$107, 6, FALSE)) = SIGN(G296-H296), Configuracion!$B$4, 0)))</f>
        <v/>
      </c>
      <c r="L296" s="11" t="n"/>
      <c r="M296" s="11" t="n"/>
      <c r="N296" s="11" t="n"/>
      <c r="O296" s="11" t="n"/>
      <c r="P296" s="11" t="n"/>
      <c r="Q296" s="11" t="n"/>
    </row>
    <row r="297">
      <c r="A297" s="8">
        <f>B297&amp;"_"&amp;C297</f>
        <v/>
      </c>
      <c r="B297" s="8" t="n"/>
      <c r="C297" s="8" t="n"/>
      <c r="D297" s="8" t="n"/>
      <c r="E297" s="11" t="n"/>
      <c r="F297" s="11" t="n"/>
      <c r="G297" s="8" t="n"/>
      <c r="H297" s="8" t="n"/>
      <c r="I297" s="8" t="n"/>
      <c r="J297" s="8" t="n"/>
      <c r="K297" s="12">
        <f>IF(OR(ISERROR(VLOOKUP(C297, Resultados_Reales!$A$4:$I$107, 5, FALSE)), ISERROR(VLOOKUP(C297, Resultados_Reales!$A$4:$I$107, 6, FALSE)), VLOOKUP(C297, Resultados_Reales!$A$4:$I$107, 5, FALSE)="", VLOOKUP(C297, Resultados_Reales!$A$4:$I$107, 6, FALSE)=""), 0, IF(AND(VLOOKUP(C297, Resultados_Reales!$A$4:$I$107, 5, FALSE)=G297, VLOOKUP(C297, Resultados_Reales!$A$4:$I$107, 6, FALSE)=H297), Configuracion!$B$5, IF(SIGN(VLOOKUP(C297, Resultados_Reales!$A$4:$I$107, 5, FALSE)-VLOOKUP(C297, Resultados_Reales!$A$4:$I$107, 6, FALSE)) = SIGN(G297-H297), Configuracion!$B$4, 0)))</f>
        <v/>
      </c>
      <c r="L297" s="11" t="n"/>
      <c r="M297" s="11" t="n"/>
      <c r="N297" s="11" t="n"/>
      <c r="O297" s="11" t="n"/>
      <c r="P297" s="11" t="n"/>
      <c r="Q297" s="11" t="n"/>
    </row>
    <row r="298">
      <c r="A298" s="8">
        <f>B298&amp;"_"&amp;C298</f>
        <v/>
      </c>
      <c r="B298" s="8" t="n"/>
      <c r="C298" s="8" t="n"/>
      <c r="D298" s="8" t="n"/>
      <c r="E298" s="11" t="n"/>
      <c r="F298" s="11" t="n"/>
      <c r="G298" s="8" t="n"/>
      <c r="H298" s="8" t="n"/>
      <c r="I298" s="8" t="n"/>
      <c r="J298" s="8" t="n"/>
      <c r="K298" s="12">
        <f>IF(OR(ISERROR(VLOOKUP(C298, Resultados_Reales!$A$4:$I$107, 5, FALSE)), ISERROR(VLOOKUP(C298, Resultados_Reales!$A$4:$I$107, 6, FALSE)), VLOOKUP(C298, Resultados_Reales!$A$4:$I$107, 5, FALSE)="", VLOOKUP(C298, Resultados_Reales!$A$4:$I$107, 6, FALSE)=""), 0, IF(AND(VLOOKUP(C298, Resultados_Reales!$A$4:$I$107, 5, FALSE)=G298, VLOOKUP(C298, Resultados_Reales!$A$4:$I$107, 6, FALSE)=H298), Configuracion!$B$5, IF(SIGN(VLOOKUP(C298, Resultados_Reales!$A$4:$I$107, 5, FALSE)-VLOOKUP(C298, Resultados_Reales!$A$4:$I$107, 6, FALSE)) = SIGN(G298-H298), Configuracion!$B$4, 0)))</f>
        <v/>
      </c>
      <c r="L298" s="11" t="n"/>
      <c r="M298" s="11" t="n"/>
      <c r="N298" s="11" t="n"/>
      <c r="O298" s="11" t="n"/>
      <c r="P298" s="11" t="n"/>
      <c r="Q298" s="11" t="n"/>
    </row>
    <row r="299">
      <c r="A299" s="8">
        <f>B299&amp;"_"&amp;C299</f>
        <v/>
      </c>
      <c r="B299" s="8" t="n"/>
      <c r="C299" s="8" t="n"/>
      <c r="D299" s="8" t="n"/>
      <c r="E299" s="11" t="n"/>
      <c r="F299" s="11" t="n"/>
      <c r="G299" s="8" t="n"/>
      <c r="H299" s="8" t="n"/>
      <c r="I299" s="8" t="n"/>
      <c r="J299" s="8" t="n"/>
      <c r="K299" s="12">
        <f>IF(OR(ISERROR(VLOOKUP(C299, Resultados_Reales!$A$4:$I$107, 5, FALSE)), ISERROR(VLOOKUP(C299, Resultados_Reales!$A$4:$I$107, 6, FALSE)), VLOOKUP(C299, Resultados_Reales!$A$4:$I$107, 5, FALSE)="", VLOOKUP(C299, Resultados_Reales!$A$4:$I$107, 6, FALSE)=""), 0, IF(AND(VLOOKUP(C299, Resultados_Reales!$A$4:$I$107, 5, FALSE)=G299, VLOOKUP(C299, Resultados_Reales!$A$4:$I$107, 6, FALSE)=H299), Configuracion!$B$5, IF(SIGN(VLOOKUP(C299, Resultados_Reales!$A$4:$I$107, 5, FALSE)-VLOOKUP(C299, Resultados_Reales!$A$4:$I$107, 6, FALSE)) = SIGN(G299-H299), Configuracion!$B$4, 0)))</f>
        <v/>
      </c>
      <c r="L299" s="11" t="n"/>
      <c r="M299" s="11" t="n"/>
      <c r="N299" s="11" t="n"/>
      <c r="O299" s="11" t="n"/>
      <c r="P299" s="11" t="n"/>
      <c r="Q299" s="11" t="n"/>
    </row>
    <row r="300">
      <c r="A300" s="8">
        <f>B300&amp;"_"&amp;C300</f>
        <v/>
      </c>
      <c r="B300" s="8" t="n"/>
      <c r="C300" s="8" t="n"/>
      <c r="D300" s="8" t="n"/>
      <c r="E300" s="11" t="n"/>
      <c r="F300" s="11" t="n"/>
      <c r="G300" s="8" t="n"/>
      <c r="H300" s="8" t="n"/>
      <c r="I300" s="8" t="n"/>
      <c r="J300" s="8" t="n"/>
      <c r="K300" s="12">
        <f>IF(OR(ISERROR(VLOOKUP(C300, Resultados_Reales!$A$4:$I$107, 5, FALSE)), ISERROR(VLOOKUP(C300, Resultados_Reales!$A$4:$I$107, 6, FALSE)), VLOOKUP(C300, Resultados_Reales!$A$4:$I$107, 5, FALSE)="", VLOOKUP(C300, Resultados_Reales!$A$4:$I$107, 6, FALSE)=""), 0, IF(AND(VLOOKUP(C300, Resultados_Reales!$A$4:$I$107, 5, FALSE)=G300, VLOOKUP(C300, Resultados_Reales!$A$4:$I$107, 6, FALSE)=H300), Configuracion!$B$5, IF(SIGN(VLOOKUP(C300, Resultados_Reales!$A$4:$I$107, 5, FALSE)-VLOOKUP(C300, Resultados_Reales!$A$4:$I$107, 6, FALSE)) = SIGN(G300-H300), Configuracion!$B$4, 0)))</f>
        <v/>
      </c>
      <c r="L300" s="11" t="n"/>
      <c r="M300" s="11" t="n"/>
      <c r="N300" s="11" t="n"/>
      <c r="O300" s="11" t="n"/>
      <c r="P300" s="11" t="n"/>
      <c r="Q300" s="11" t="n"/>
    </row>
    <row r="301">
      <c r="A301" s="8">
        <f>B301&amp;"_"&amp;C301</f>
        <v/>
      </c>
      <c r="B301" s="8" t="n"/>
      <c r="C301" s="8" t="n"/>
      <c r="D301" s="8" t="n"/>
      <c r="E301" s="11" t="n"/>
      <c r="F301" s="11" t="n"/>
      <c r="G301" s="8" t="n"/>
      <c r="H301" s="8" t="n"/>
      <c r="I301" s="8" t="n"/>
      <c r="J301" s="8" t="n"/>
      <c r="K301" s="12">
        <f>IF(OR(ISERROR(VLOOKUP(C301, Resultados_Reales!$A$4:$I$107, 5, FALSE)), ISERROR(VLOOKUP(C301, Resultados_Reales!$A$4:$I$107, 6, FALSE)), VLOOKUP(C301, Resultados_Reales!$A$4:$I$107, 5, FALSE)="", VLOOKUP(C301, Resultados_Reales!$A$4:$I$107, 6, FALSE)=""), 0, IF(AND(VLOOKUP(C301, Resultados_Reales!$A$4:$I$107, 5, FALSE)=G301, VLOOKUP(C301, Resultados_Reales!$A$4:$I$107, 6, FALSE)=H301), Configuracion!$B$5, IF(SIGN(VLOOKUP(C301, Resultados_Reales!$A$4:$I$107, 5, FALSE)-VLOOKUP(C301, Resultados_Reales!$A$4:$I$107, 6, FALSE)) = SIGN(G301-H301), Configuracion!$B$4, 0)))</f>
        <v/>
      </c>
      <c r="L301" s="11" t="n"/>
      <c r="M301" s="11" t="n"/>
      <c r="N301" s="11" t="n"/>
      <c r="O301" s="11" t="n"/>
      <c r="P301" s="11" t="n"/>
      <c r="Q301" s="11" t="n"/>
    </row>
    <row r="302">
      <c r="A302" s="8">
        <f>B302&amp;"_"&amp;C302</f>
        <v/>
      </c>
      <c r="B302" s="8" t="n"/>
      <c r="C302" s="8" t="n"/>
      <c r="D302" s="8" t="n"/>
      <c r="E302" s="11" t="n"/>
      <c r="F302" s="11" t="n"/>
      <c r="G302" s="8" t="n"/>
      <c r="H302" s="8" t="n"/>
      <c r="I302" s="8" t="n"/>
      <c r="J302" s="8" t="n"/>
      <c r="K302" s="12">
        <f>IF(OR(ISERROR(VLOOKUP(C302, Resultados_Reales!$A$4:$I$107, 5, FALSE)), ISERROR(VLOOKUP(C302, Resultados_Reales!$A$4:$I$107, 6, FALSE)), VLOOKUP(C302, Resultados_Reales!$A$4:$I$107, 5, FALSE)="", VLOOKUP(C302, Resultados_Reales!$A$4:$I$107, 6, FALSE)=""), 0, IF(AND(VLOOKUP(C302, Resultados_Reales!$A$4:$I$107, 5, FALSE)=G302, VLOOKUP(C302, Resultados_Reales!$A$4:$I$107, 6, FALSE)=H302), Configuracion!$B$5, IF(SIGN(VLOOKUP(C302, Resultados_Reales!$A$4:$I$107, 5, FALSE)-VLOOKUP(C302, Resultados_Reales!$A$4:$I$107, 6, FALSE)) = SIGN(G302-H302), Configuracion!$B$4, 0)))</f>
        <v/>
      </c>
      <c r="L302" s="11" t="n"/>
      <c r="M302" s="11" t="n"/>
      <c r="N302" s="11" t="n"/>
      <c r="O302" s="11" t="n"/>
      <c r="P302" s="11" t="n"/>
      <c r="Q302" s="11" t="n"/>
    </row>
    <row r="303">
      <c r="A303" s="8">
        <f>B303&amp;"_"&amp;C303</f>
        <v/>
      </c>
      <c r="B303" s="8" t="n"/>
      <c r="C303" s="8" t="n"/>
      <c r="D303" s="8" t="n"/>
      <c r="E303" s="11" t="n"/>
      <c r="F303" s="11" t="n"/>
      <c r="G303" s="8" t="n"/>
      <c r="H303" s="8" t="n"/>
      <c r="I303" s="8" t="n"/>
      <c r="J303" s="8" t="n"/>
      <c r="K303" s="12">
        <f>IF(OR(ISERROR(VLOOKUP(C303, Resultados_Reales!$A$4:$I$107, 5, FALSE)), ISERROR(VLOOKUP(C303, Resultados_Reales!$A$4:$I$107, 6, FALSE)), VLOOKUP(C303, Resultados_Reales!$A$4:$I$107, 5, FALSE)="", VLOOKUP(C303, Resultados_Reales!$A$4:$I$107, 6, FALSE)=""), 0, IF(AND(VLOOKUP(C303, Resultados_Reales!$A$4:$I$107, 5, FALSE)=G303, VLOOKUP(C303, Resultados_Reales!$A$4:$I$107, 6, FALSE)=H303), Configuracion!$B$5, IF(SIGN(VLOOKUP(C303, Resultados_Reales!$A$4:$I$107, 5, FALSE)-VLOOKUP(C303, Resultados_Reales!$A$4:$I$107, 6, FALSE)) = SIGN(G303-H303), Configuracion!$B$4, 0)))</f>
        <v/>
      </c>
      <c r="L303" s="11" t="n"/>
      <c r="M303" s="11" t="n"/>
      <c r="N303" s="11" t="n"/>
      <c r="O303" s="11" t="n"/>
      <c r="P303" s="11" t="n"/>
      <c r="Q303" s="11" t="n"/>
    </row>
    <row r="304">
      <c r="A304" s="8">
        <f>B304&amp;"_"&amp;C304</f>
        <v/>
      </c>
      <c r="B304" s="8" t="n"/>
      <c r="C304" s="8" t="n"/>
      <c r="D304" s="8" t="n"/>
      <c r="E304" s="11" t="n"/>
      <c r="F304" s="11" t="n"/>
      <c r="G304" s="8" t="n"/>
      <c r="H304" s="8" t="n"/>
      <c r="I304" s="8" t="n"/>
      <c r="J304" s="8" t="n"/>
      <c r="K304" s="12">
        <f>IF(OR(ISERROR(VLOOKUP(C304, Resultados_Reales!$A$4:$I$107, 5, FALSE)), ISERROR(VLOOKUP(C304, Resultados_Reales!$A$4:$I$107, 6, FALSE)), VLOOKUP(C304, Resultados_Reales!$A$4:$I$107, 5, FALSE)="", VLOOKUP(C304, Resultados_Reales!$A$4:$I$107, 6, FALSE)=""), 0, IF(AND(VLOOKUP(C304, Resultados_Reales!$A$4:$I$107, 5, FALSE)=G304, VLOOKUP(C304, Resultados_Reales!$A$4:$I$107, 6, FALSE)=H304), Configuracion!$B$5, IF(SIGN(VLOOKUP(C304, Resultados_Reales!$A$4:$I$107, 5, FALSE)-VLOOKUP(C304, Resultados_Reales!$A$4:$I$107, 6, FALSE)) = SIGN(G304-H304), Configuracion!$B$4, 0)))</f>
        <v/>
      </c>
      <c r="L304" s="11" t="n"/>
      <c r="M304" s="11" t="n"/>
      <c r="N304" s="11" t="n"/>
      <c r="O304" s="11" t="n"/>
      <c r="P304" s="11" t="n"/>
      <c r="Q304" s="11" t="n"/>
    </row>
    <row r="305">
      <c r="A305" s="8">
        <f>B305&amp;"_"&amp;C305</f>
        <v/>
      </c>
      <c r="B305" s="8" t="n"/>
      <c r="C305" s="8" t="n"/>
      <c r="D305" s="8" t="n"/>
      <c r="E305" s="11" t="n"/>
      <c r="F305" s="11" t="n"/>
      <c r="G305" s="8" t="n"/>
      <c r="H305" s="8" t="n"/>
      <c r="I305" s="8" t="n"/>
      <c r="J305" s="8" t="n"/>
      <c r="K305" s="12">
        <f>IF(OR(ISERROR(VLOOKUP(C305, Resultados_Reales!$A$4:$I$107, 5, FALSE)), ISERROR(VLOOKUP(C305, Resultados_Reales!$A$4:$I$107, 6, FALSE)), VLOOKUP(C305, Resultados_Reales!$A$4:$I$107, 5, FALSE)="", VLOOKUP(C305, Resultados_Reales!$A$4:$I$107, 6, FALSE)=""), 0, IF(AND(VLOOKUP(C305, Resultados_Reales!$A$4:$I$107, 5, FALSE)=G305, VLOOKUP(C305, Resultados_Reales!$A$4:$I$107, 6, FALSE)=H305), Configuracion!$B$5, IF(SIGN(VLOOKUP(C305, Resultados_Reales!$A$4:$I$107, 5, FALSE)-VLOOKUP(C305, Resultados_Reales!$A$4:$I$107, 6, FALSE)) = SIGN(G305-H305), Configuracion!$B$4, 0)))</f>
        <v/>
      </c>
      <c r="L305" s="11" t="n"/>
      <c r="M305" s="11" t="n"/>
      <c r="N305" s="11" t="n"/>
      <c r="O305" s="11" t="n"/>
      <c r="P305" s="11" t="n"/>
      <c r="Q305" s="11" t="n"/>
    </row>
    <row r="306">
      <c r="A306" s="8">
        <f>B306&amp;"_"&amp;C306</f>
        <v/>
      </c>
      <c r="B306" s="8" t="n"/>
      <c r="C306" s="8" t="n"/>
      <c r="D306" s="8" t="n"/>
      <c r="E306" s="11" t="n"/>
      <c r="F306" s="11" t="n"/>
      <c r="G306" s="8" t="n"/>
      <c r="H306" s="8" t="n"/>
      <c r="I306" s="8" t="n"/>
      <c r="J306" s="8" t="n"/>
      <c r="K306" s="12">
        <f>IF(OR(ISERROR(VLOOKUP(C306, Resultados_Reales!$A$4:$I$107, 5, FALSE)), ISERROR(VLOOKUP(C306, Resultados_Reales!$A$4:$I$107, 6, FALSE)), VLOOKUP(C306, Resultados_Reales!$A$4:$I$107, 5, FALSE)="", VLOOKUP(C306, Resultados_Reales!$A$4:$I$107, 6, FALSE)=""), 0, IF(AND(VLOOKUP(C306, Resultados_Reales!$A$4:$I$107, 5, FALSE)=G306, VLOOKUP(C306, Resultados_Reales!$A$4:$I$107, 6, FALSE)=H306), Configuracion!$B$5, IF(SIGN(VLOOKUP(C306, Resultados_Reales!$A$4:$I$107, 5, FALSE)-VLOOKUP(C306, Resultados_Reales!$A$4:$I$107, 6, FALSE)) = SIGN(G306-H306), Configuracion!$B$4, 0)))</f>
        <v/>
      </c>
      <c r="L306" s="11" t="n"/>
      <c r="M306" s="11" t="n"/>
      <c r="N306" s="11" t="n"/>
      <c r="O306" s="11" t="n"/>
      <c r="P306" s="11" t="n"/>
      <c r="Q306" s="11" t="n"/>
    </row>
    <row r="307">
      <c r="A307" s="8">
        <f>B307&amp;"_"&amp;C307</f>
        <v/>
      </c>
      <c r="B307" s="8" t="n"/>
      <c r="C307" s="8" t="n"/>
      <c r="D307" s="8" t="n"/>
      <c r="E307" s="11" t="n"/>
      <c r="F307" s="11" t="n"/>
      <c r="G307" s="8" t="n"/>
      <c r="H307" s="8" t="n"/>
      <c r="I307" s="8" t="n"/>
      <c r="J307" s="8" t="n"/>
      <c r="K307" s="12">
        <f>IF(OR(ISERROR(VLOOKUP(C307, Resultados_Reales!$A$4:$I$107, 5, FALSE)), ISERROR(VLOOKUP(C307, Resultados_Reales!$A$4:$I$107, 6, FALSE)), VLOOKUP(C307, Resultados_Reales!$A$4:$I$107, 5, FALSE)="", VLOOKUP(C307, Resultados_Reales!$A$4:$I$107, 6, FALSE)=""), 0, IF(AND(VLOOKUP(C307, Resultados_Reales!$A$4:$I$107, 5, FALSE)=G307, VLOOKUP(C307, Resultados_Reales!$A$4:$I$107, 6, FALSE)=H307), Configuracion!$B$5, IF(SIGN(VLOOKUP(C307, Resultados_Reales!$A$4:$I$107, 5, FALSE)-VLOOKUP(C307, Resultados_Reales!$A$4:$I$107, 6, FALSE)) = SIGN(G307-H307), Configuracion!$B$4, 0)))</f>
        <v/>
      </c>
      <c r="L307" s="11" t="n"/>
      <c r="M307" s="11" t="n"/>
      <c r="N307" s="11" t="n"/>
      <c r="O307" s="11" t="n"/>
      <c r="P307" s="11" t="n"/>
      <c r="Q307" s="11" t="n"/>
    </row>
    <row r="308">
      <c r="A308" s="8">
        <f>B308&amp;"_"&amp;C308</f>
        <v/>
      </c>
      <c r="B308" s="8" t="n"/>
      <c r="C308" s="8" t="n"/>
      <c r="D308" s="8" t="n"/>
      <c r="E308" s="11" t="n"/>
      <c r="F308" s="11" t="n"/>
      <c r="G308" s="8" t="n"/>
      <c r="H308" s="8" t="n"/>
      <c r="I308" s="8" t="n"/>
      <c r="J308" s="8" t="n"/>
      <c r="K308" s="12">
        <f>IF(OR(ISERROR(VLOOKUP(C308, Resultados_Reales!$A$4:$I$107, 5, FALSE)), ISERROR(VLOOKUP(C308, Resultados_Reales!$A$4:$I$107, 6, FALSE)), VLOOKUP(C308, Resultados_Reales!$A$4:$I$107, 5, FALSE)="", VLOOKUP(C308, Resultados_Reales!$A$4:$I$107, 6, FALSE)=""), 0, IF(AND(VLOOKUP(C308, Resultados_Reales!$A$4:$I$107, 5, FALSE)=G308, VLOOKUP(C308, Resultados_Reales!$A$4:$I$107, 6, FALSE)=H308), Configuracion!$B$5, IF(SIGN(VLOOKUP(C308, Resultados_Reales!$A$4:$I$107, 5, FALSE)-VLOOKUP(C308, Resultados_Reales!$A$4:$I$107, 6, FALSE)) = SIGN(G308-H308), Configuracion!$B$4, 0)))</f>
        <v/>
      </c>
      <c r="L308" s="11" t="n"/>
      <c r="M308" s="11" t="n"/>
      <c r="N308" s="11" t="n"/>
      <c r="O308" s="11" t="n"/>
      <c r="P308" s="11" t="n"/>
      <c r="Q308" s="11" t="n"/>
    </row>
    <row r="309">
      <c r="A309" s="8">
        <f>B309&amp;"_"&amp;C309</f>
        <v/>
      </c>
      <c r="B309" s="8" t="n"/>
      <c r="C309" s="8" t="n"/>
      <c r="D309" s="8" t="n"/>
      <c r="E309" s="11" t="n"/>
      <c r="F309" s="11" t="n"/>
      <c r="G309" s="8" t="n"/>
      <c r="H309" s="8" t="n"/>
      <c r="I309" s="8" t="n"/>
      <c r="J309" s="8" t="n"/>
      <c r="K309" s="12">
        <f>IF(OR(ISERROR(VLOOKUP(C309, Resultados_Reales!$A$4:$I$107, 5, FALSE)), ISERROR(VLOOKUP(C309, Resultados_Reales!$A$4:$I$107, 6, FALSE)), VLOOKUP(C309, Resultados_Reales!$A$4:$I$107, 5, FALSE)="", VLOOKUP(C309, Resultados_Reales!$A$4:$I$107, 6, FALSE)=""), 0, IF(AND(VLOOKUP(C309, Resultados_Reales!$A$4:$I$107, 5, FALSE)=G309, VLOOKUP(C309, Resultados_Reales!$A$4:$I$107, 6, FALSE)=H309), Configuracion!$B$5, IF(SIGN(VLOOKUP(C309, Resultados_Reales!$A$4:$I$107, 5, FALSE)-VLOOKUP(C309, Resultados_Reales!$A$4:$I$107, 6, FALSE)) = SIGN(G309-H309), Configuracion!$B$4, 0)))</f>
        <v/>
      </c>
      <c r="L309" s="11" t="n"/>
      <c r="M309" s="11" t="n"/>
      <c r="N309" s="11" t="n"/>
      <c r="O309" s="11" t="n"/>
      <c r="P309" s="11" t="n"/>
      <c r="Q309" s="11" t="n"/>
    </row>
    <row r="310">
      <c r="A310" s="8">
        <f>B310&amp;"_"&amp;C310</f>
        <v/>
      </c>
      <c r="B310" s="8" t="n"/>
      <c r="C310" s="8" t="n"/>
      <c r="D310" s="8" t="n"/>
      <c r="E310" s="11" t="n"/>
      <c r="F310" s="11" t="n"/>
      <c r="G310" s="8" t="n"/>
      <c r="H310" s="8" t="n"/>
      <c r="I310" s="8" t="n"/>
      <c r="J310" s="8" t="n"/>
      <c r="K310" s="12">
        <f>IF(OR(ISERROR(VLOOKUP(C310, Resultados_Reales!$A$4:$I$107, 5, FALSE)), ISERROR(VLOOKUP(C310, Resultados_Reales!$A$4:$I$107, 6, FALSE)), VLOOKUP(C310, Resultados_Reales!$A$4:$I$107, 5, FALSE)="", VLOOKUP(C310, Resultados_Reales!$A$4:$I$107, 6, FALSE)=""), 0, IF(AND(VLOOKUP(C310, Resultados_Reales!$A$4:$I$107, 5, FALSE)=G310, VLOOKUP(C310, Resultados_Reales!$A$4:$I$107, 6, FALSE)=H310), Configuracion!$B$5, IF(SIGN(VLOOKUP(C310, Resultados_Reales!$A$4:$I$107, 5, FALSE)-VLOOKUP(C310, Resultados_Reales!$A$4:$I$107, 6, FALSE)) = SIGN(G310-H310), Configuracion!$B$4, 0)))</f>
        <v/>
      </c>
      <c r="L310" s="11" t="n"/>
      <c r="M310" s="11" t="n"/>
      <c r="N310" s="11" t="n"/>
      <c r="O310" s="11" t="n"/>
      <c r="P310" s="11" t="n"/>
      <c r="Q310" s="11" t="n"/>
    </row>
    <row r="311">
      <c r="A311" s="8">
        <f>B311&amp;"_"&amp;C311</f>
        <v/>
      </c>
      <c r="B311" s="8" t="n"/>
      <c r="C311" s="8" t="n"/>
      <c r="D311" s="8" t="n"/>
      <c r="E311" s="11" t="n"/>
      <c r="F311" s="11" t="n"/>
      <c r="G311" s="8" t="n"/>
      <c r="H311" s="8" t="n"/>
      <c r="I311" s="8" t="n"/>
      <c r="J311" s="8" t="n"/>
      <c r="K311" s="12">
        <f>IF(OR(ISERROR(VLOOKUP(C311, Resultados_Reales!$A$4:$I$107, 5, FALSE)), ISERROR(VLOOKUP(C311, Resultados_Reales!$A$4:$I$107, 6, FALSE)), VLOOKUP(C311, Resultados_Reales!$A$4:$I$107, 5, FALSE)="", VLOOKUP(C311, Resultados_Reales!$A$4:$I$107, 6, FALSE)=""), 0, IF(AND(VLOOKUP(C311, Resultados_Reales!$A$4:$I$107, 5, FALSE)=G311, VLOOKUP(C311, Resultados_Reales!$A$4:$I$107, 6, FALSE)=H311), Configuracion!$B$5, IF(SIGN(VLOOKUP(C311, Resultados_Reales!$A$4:$I$107, 5, FALSE)-VLOOKUP(C311, Resultados_Reales!$A$4:$I$107, 6, FALSE)) = SIGN(G311-H311), Configuracion!$B$4, 0)))</f>
        <v/>
      </c>
      <c r="L311" s="11" t="n"/>
      <c r="M311" s="11" t="n"/>
      <c r="N311" s="11" t="n"/>
      <c r="O311" s="11" t="n"/>
      <c r="P311" s="11" t="n"/>
      <c r="Q311" s="11" t="n"/>
    </row>
    <row r="312">
      <c r="A312" s="8">
        <f>B312&amp;"_"&amp;C312</f>
        <v/>
      </c>
      <c r="B312" s="8" t="n"/>
      <c r="C312" s="8" t="n"/>
      <c r="D312" s="8" t="n"/>
      <c r="E312" s="11" t="n"/>
      <c r="F312" s="11" t="n"/>
      <c r="G312" s="8" t="n"/>
      <c r="H312" s="8" t="n"/>
      <c r="I312" s="8" t="n"/>
      <c r="J312" s="8" t="n"/>
      <c r="K312" s="12">
        <f>IF(OR(ISERROR(VLOOKUP(C312, Resultados_Reales!$A$4:$I$107, 5, FALSE)), ISERROR(VLOOKUP(C312, Resultados_Reales!$A$4:$I$107, 6, FALSE)), VLOOKUP(C312, Resultados_Reales!$A$4:$I$107, 5, FALSE)="", VLOOKUP(C312, Resultados_Reales!$A$4:$I$107, 6, FALSE)=""), 0, IF(AND(VLOOKUP(C312, Resultados_Reales!$A$4:$I$107, 5, FALSE)=G312, VLOOKUP(C312, Resultados_Reales!$A$4:$I$107, 6, FALSE)=H312), Configuracion!$B$5, IF(SIGN(VLOOKUP(C312, Resultados_Reales!$A$4:$I$107, 5, FALSE)-VLOOKUP(C312, Resultados_Reales!$A$4:$I$107, 6, FALSE)) = SIGN(G312-H312), Configuracion!$B$4, 0)))</f>
        <v/>
      </c>
      <c r="L312" s="11" t="n"/>
      <c r="M312" s="11" t="n"/>
      <c r="N312" s="11" t="n"/>
      <c r="O312" s="11" t="n"/>
      <c r="P312" s="11" t="n"/>
      <c r="Q312" s="11" t="n"/>
    </row>
    <row r="313">
      <c r="A313" s="8">
        <f>B313&amp;"_"&amp;C313</f>
        <v/>
      </c>
      <c r="B313" s="8" t="n"/>
      <c r="C313" s="8" t="n"/>
      <c r="D313" s="8" t="n"/>
      <c r="E313" s="11" t="n"/>
      <c r="F313" s="11" t="n"/>
      <c r="G313" s="8" t="n"/>
      <c r="H313" s="8" t="n"/>
      <c r="I313" s="8" t="n"/>
      <c r="J313" s="8" t="n"/>
      <c r="K313" s="12">
        <f>IF(OR(ISERROR(VLOOKUP(C313, Resultados_Reales!$A$4:$I$107, 5, FALSE)), ISERROR(VLOOKUP(C313, Resultados_Reales!$A$4:$I$107, 6, FALSE)), VLOOKUP(C313, Resultados_Reales!$A$4:$I$107, 5, FALSE)="", VLOOKUP(C313, Resultados_Reales!$A$4:$I$107, 6, FALSE)=""), 0, IF(AND(VLOOKUP(C313, Resultados_Reales!$A$4:$I$107, 5, FALSE)=G313, VLOOKUP(C313, Resultados_Reales!$A$4:$I$107, 6, FALSE)=H313), Configuracion!$B$5, IF(SIGN(VLOOKUP(C313, Resultados_Reales!$A$4:$I$107, 5, FALSE)-VLOOKUP(C313, Resultados_Reales!$A$4:$I$107, 6, FALSE)) = SIGN(G313-H313), Configuracion!$B$4, 0)))</f>
        <v/>
      </c>
      <c r="L313" s="11" t="n"/>
      <c r="M313" s="11" t="n"/>
      <c r="N313" s="11" t="n"/>
      <c r="O313" s="11" t="n"/>
      <c r="P313" s="11" t="n"/>
      <c r="Q313" s="11" t="n"/>
    </row>
    <row r="314">
      <c r="A314" s="8">
        <f>B314&amp;"_"&amp;C314</f>
        <v/>
      </c>
      <c r="B314" s="8" t="n"/>
      <c r="C314" s="8" t="n"/>
      <c r="D314" s="8" t="n"/>
      <c r="E314" s="11" t="n"/>
      <c r="F314" s="11" t="n"/>
      <c r="G314" s="8" t="n"/>
      <c r="H314" s="8" t="n"/>
      <c r="I314" s="8" t="n"/>
      <c r="J314" s="8" t="n"/>
      <c r="K314" s="12">
        <f>IF(OR(ISERROR(VLOOKUP(C314, Resultados_Reales!$A$4:$I$107, 5, FALSE)), ISERROR(VLOOKUP(C314, Resultados_Reales!$A$4:$I$107, 6, FALSE)), VLOOKUP(C314, Resultados_Reales!$A$4:$I$107, 5, FALSE)="", VLOOKUP(C314, Resultados_Reales!$A$4:$I$107, 6, FALSE)=""), 0, IF(AND(VLOOKUP(C314, Resultados_Reales!$A$4:$I$107, 5, FALSE)=G314, VLOOKUP(C314, Resultados_Reales!$A$4:$I$107, 6, FALSE)=H314), Configuracion!$B$5, IF(SIGN(VLOOKUP(C314, Resultados_Reales!$A$4:$I$107, 5, FALSE)-VLOOKUP(C314, Resultados_Reales!$A$4:$I$107, 6, FALSE)) = SIGN(G314-H314), Configuracion!$B$4, 0)))</f>
        <v/>
      </c>
      <c r="L314" s="11" t="n"/>
      <c r="M314" s="11" t="n"/>
      <c r="N314" s="11" t="n"/>
      <c r="O314" s="11" t="n"/>
      <c r="P314" s="11" t="n"/>
      <c r="Q314" s="11" t="n"/>
    </row>
    <row r="315">
      <c r="A315" s="8">
        <f>B315&amp;"_"&amp;C315</f>
        <v/>
      </c>
      <c r="B315" s="8" t="n"/>
      <c r="C315" s="8" t="n"/>
      <c r="D315" s="8" t="n"/>
      <c r="E315" s="11" t="n"/>
      <c r="F315" s="11" t="n"/>
      <c r="G315" s="8" t="n"/>
      <c r="H315" s="8" t="n"/>
      <c r="I315" s="8" t="n"/>
      <c r="J315" s="8" t="n"/>
      <c r="K315" s="12">
        <f>IF(OR(ISERROR(VLOOKUP(C315, Resultados_Reales!$A$4:$I$107, 5, FALSE)), ISERROR(VLOOKUP(C315, Resultados_Reales!$A$4:$I$107, 6, FALSE)), VLOOKUP(C315, Resultados_Reales!$A$4:$I$107, 5, FALSE)="", VLOOKUP(C315, Resultados_Reales!$A$4:$I$107, 6, FALSE)=""), 0, IF(AND(VLOOKUP(C315, Resultados_Reales!$A$4:$I$107, 5, FALSE)=G315, VLOOKUP(C315, Resultados_Reales!$A$4:$I$107, 6, FALSE)=H315), Configuracion!$B$5, IF(SIGN(VLOOKUP(C315, Resultados_Reales!$A$4:$I$107, 5, FALSE)-VLOOKUP(C315, Resultados_Reales!$A$4:$I$107, 6, FALSE)) = SIGN(G315-H315), Configuracion!$B$4, 0)))</f>
        <v/>
      </c>
      <c r="L315" s="11" t="n"/>
      <c r="M315" s="11" t="n"/>
      <c r="N315" s="11" t="n"/>
      <c r="O315" s="11" t="n"/>
      <c r="P315" s="11" t="n"/>
      <c r="Q315" s="11" t="n"/>
    </row>
    <row r="316">
      <c r="A316" s="8">
        <f>B316&amp;"_"&amp;C316</f>
        <v/>
      </c>
      <c r="B316" s="8" t="n"/>
      <c r="C316" s="8" t="n"/>
      <c r="D316" s="8" t="n"/>
      <c r="E316" s="11" t="n"/>
      <c r="F316" s="11" t="n"/>
      <c r="G316" s="8" t="n"/>
      <c r="H316" s="8" t="n"/>
      <c r="I316" s="8" t="n"/>
      <c r="J316" s="8" t="n"/>
      <c r="K316" s="12">
        <f>IF(OR(ISERROR(VLOOKUP(C316, Resultados_Reales!$A$4:$I$107, 5, FALSE)), ISERROR(VLOOKUP(C316, Resultados_Reales!$A$4:$I$107, 6, FALSE)), VLOOKUP(C316, Resultados_Reales!$A$4:$I$107, 5, FALSE)="", VLOOKUP(C316, Resultados_Reales!$A$4:$I$107, 6, FALSE)=""), 0, IF(AND(VLOOKUP(C316, Resultados_Reales!$A$4:$I$107, 5, FALSE)=G316, VLOOKUP(C316, Resultados_Reales!$A$4:$I$107, 6, FALSE)=H316), Configuracion!$B$5, IF(SIGN(VLOOKUP(C316, Resultados_Reales!$A$4:$I$107, 5, FALSE)-VLOOKUP(C316, Resultados_Reales!$A$4:$I$107, 6, FALSE)) = SIGN(G316-H316), Configuracion!$B$4, 0)))</f>
        <v/>
      </c>
      <c r="L316" s="11" t="n"/>
      <c r="M316" s="11" t="n"/>
      <c r="N316" s="11" t="n"/>
      <c r="O316" s="11" t="n"/>
      <c r="P316" s="11" t="n"/>
      <c r="Q316" s="11" t="n"/>
    </row>
    <row r="317">
      <c r="A317" s="8">
        <f>B317&amp;"_"&amp;C317</f>
        <v/>
      </c>
      <c r="B317" s="8" t="n"/>
      <c r="C317" s="8" t="n"/>
      <c r="D317" s="8" t="n"/>
      <c r="E317" s="11" t="n"/>
      <c r="F317" s="11" t="n"/>
      <c r="G317" s="8" t="n"/>
      <c r="H317" s="8" t="n"/>
      <c r="I317" s="8" t="n"/>
      <c r="J317" s="8" t="n"/>
      <c r="K317" s="12">
        <f>IF(OR(ISERROR(VLOOKUP(C317, Resultados_Reales!$A$4:$I$107, 5, FALSE)), ISERROR(VLOOKUP(C317, Resultados_Reales!$A$4:$I$107, 6, FALSE)), VLOOKUP(C317, Resultados_Reales!$A$4:$I$107, 5, FALSE)="", VLOOKUP(C317, Resultados_Reales!$A$4:$I$107, 6, FALSE)=""), 0, IF(AND(VLOOKUP(C317, Resultados_Reales!$A$4:$I$107, 5, FALSE)=G317, VLOOKUP(C317, Resultados_Reales!$A$4:$I$107, 6, FALSE)=H317), Configuracion!$B$5, IF(SIGN(VLOOKUP(C317, Resultados_Reales!$A$4:$I$107, 5, FALSE)-VLOOKUP(C317, Resultados_Reales!$A$4:$I$107, 6, FALSE)) = SIGN(G317-H317), Configuracion!$B$4, 0)))</f>
        <v/>
      </c>
      <c r="L317" s="11" t="n"/>
      <c r="M317" s="11" t="n"/>
      <c r="N317" s="11" t="n"/>
      <c r="O317" s="11" t="n"/>
      <c r="P317" s="11" t="n"/>
      <c r="Q317" s="11" t="n"/>
    </row>
    <row r="318">
      <c r="A318" s="8">
        <f>B318&amp;"_"&amp;C318</f>
        <v/>
      </c>
      <c r="B318" s="8" t="n"/>
      <c r="C318" s="8" t="n"/>
      <c r="D318" s="8" t="n"/>
      <c r="E318" s="11" t="n"/>
      <c r="F318" s="11" t="n"/>
      <c r="G318" s="8" t="n"/>
      <c r="H318" s="8" t="n"/>
      <c r="I318" s="8" t="n"/>
      <c r="J318" s="8" t="n"/>
      <c r="K318" s="12">
        <f>IF(OR(ISERROR(VLOOKUP(C318, Resultados_Reales!$A$4:$I$107, 5, FALSE)), ISERROR(VLOOKUP(C318, Resultados_Reales!$A$4:$I$107, 6, FALSE)), VLOOKUP(C318, Resultados_Reales!$A$4:$I$107, 5, FALSE)="", VLOOKUP(C318, Resultados_Reales!$A$4:$I$107, 6, FALSE)=""), 0, IF(AND(VLOOKUP(C318, Resultados_Reales!$A$4:$I$107, 5, FALSE)=G318, VLOOKUP(C318, Resultados_Reales!$A$4:$I$107, 6, FALSE)=H318), Configuracion!$B$5, IF(SIGN(VLOOKUP(C318, Resultados_Reales!$A$4:$I$107, 5, FALSE)-VLOOKUP(C318, Resultados_Reales!$A$4:$I$107, 6, FALSE)) = SIGN(G318-H318), Configuracion!$B$4, 0)))</f>
        <v/>
      </c>
      <c r="L318" s="11" t="n"/>
      <c r="M318" s="11" t="n"/>
      <c r="N318" s="11" t="n"/>
      <c r="O318" s="11" t="n"/>
      <c r="P318" s="11" t="n"/>
      <c r="Q318" s="11" t="n"/>
    </row>
    <row r="319">
      <c r="A319" s="8">
        <f>B319&amp;"_"&amp;C319</f>
        <v/>
      </c>
      <c r="B319" s="8" t="n"/>
      <c r="C319" s="8" t="n"/>
      <c r="D319" s="8" t="n"/>
      <c r="E319" s="11" t="n"/>
      <c r="F319" s="11" t="n"/>
      <c r="G319" s="8" t="n"/>
      <c r="H319" s="8" t="n"/>
      <c r="I319" s="8" t="n"/>
      <c r="J319" s="8" t="n"/>
      <c r="K319" s="12">
        <f>IF(OR(ISERROR(VLOOKUP(C319, Resultados_Reales!$A$4:$I$107, 5, FALSE)), ISERROR(VLOOKUP(C319, Resultados_Reales!$A$4:$I$107, 6, FALSE)), VLOOKUP(C319, Resultados_Reales!$A$4:$I$107, 5, FALSE)="", VLOOKUP(C319, Resultados_Reales!$A$4:$I$107, 6, FALSE)=""), 0, IF(AND(VLOOKUP(C319, Resultados_Reales!$A$4:$I$107, 5, FALSE)=G319, VLOOKUP(C319, Resultados_Reales!$A$4:$I$107, 6, FALSE)=H319), Configuracion!$B$5, IF(SIGN(VLOOKUP(C319, Resultados_Reales!$A$4:$I$107, 5, FALSE)-VLOOKUP(C319, Resultados_Reales!$A$4:$I$107, 6, FALSE)) = SIGN(G319-H319), Configuracion!$B$4, 0)))</f>
        <v/>
      </c>
      <c r="L319" s="11" t="n"/>
      <c r="M319" s="11" t="n"/>
      <c r="N319" s="11" t="n"/>
      <c r="O319" s="11" t="n"/>
      <c r="P319" s="11" t="n"/>
      <c r="Q319" s="11" t="n"/>
    </row>
    <row r="320">
      <c r="A320" s="8">
        <f>B320&amp;"_"&amp;C320</f>
        <v/>
      </c>
      <c r="B320" s="8" t="n"/>
      <c r="C320" s="8" t="n"/>
      <c r="D320" s="8" t="n"/>
      <c r="E320" s="11" t="n"/>
      <c r="F320" s="11" t="n"/>
      <c r="G320" s="8" t="n"/>
      <c r="H320" s="8" t="n"/>
      <c r="I320" s="8" t="n"/>
      <c r="J320" s="8" t="n"/>
      <c r="K320" s="12">
        <f>IF(OR(ISERROR(VLOOKUP(C320, Resultados_Reales!$A$4:$I$107, 5, FALSE)), ISERROR(VLOOKUP(C320, Resultados_Reales!$A$4:$I$107, 6, FALSE)), VLOOKUP(C320, Resultados_Reales!$A$4:$I$107, 5, FALSE)="", VLOOKUP(C320, Resultados_Reales!$A$4:$I$107, 6, FALSE)=""), 0, IF(AND(VLOOKUP(C320, Resultados_Reales!$A$4:$I$107, 5, FALSE)=G320, VLOOKUP(C320, Resultados_Reales!$A$4:$I$107, 6, FALSE)=H320), Configuracion!$B$5, IF(SIGN(VLOOKUP(C320, Resultados_Reales!$A$4:$I$107, 5, FALSE)-VLOOKUP(C320, Resultados_Reales!$A$4:$I$107, 6, FALSE)) = SIGN(G320-H320), Configuracion!$B$4, 0)))</f>
        <v/>
      </c>
      <c r="L320" s="11" t="n"/>
      <c r="M320" s="11" t="n"/>
      <c r="N320" s="11" t="n"/>
      <c r="O320" s="11" t="n"/>
      <c r="P320" s="11" t="n"/>
      <c r="Q320" s="11" t="n"/>
    </row>
    <row r="321">
      <c r="A321" s="8">
        <f>B321&amp;"_"&amp;C321</f>
        <v/>
      </c>
      <c r="B321" s="8" t="n"/>
      <c r="C321" s="8" t="n"/>
      <c r="D321" s="8" t="n"/>
      <c r="E321" s="11" t="n"/>
      <c r="F321" s="11" t="n"/>
      <c r="G321" s="8" t="n"/>
      <c r="H321" s="8" t="n"/>
      <c r="I321" s="8" t="n"/>
      <c r="J321" s="8" t="n"/>
      <c r="K321" s="12">
        <f>IF(OR(ISERROR(VLOOKUP(C321, Resultados_Reales!$A$4:$I$107, 5, FALSE)), ISERROR(VLOOKUP(C321, Resultados_Reales!$A$4:$I$107, 6, FALSE)), VLOOKUP(C321, Resultados_Reales!$A$4:$I$107, 5, FALSE)="", VLOOKUP(C321, Resultados_Reales!$A$4:$I$107, 6, FALSE)=""), 0, IF(AND(VLOOKUP(C321, Resultados_Reales!$A$4:$I$107, 5, FALSE)=G321, VLOOKUP(C321, Resultados_Reales!$A$4:$I$107, 6, FALSE)=H321), Configuracion!$B$5, IF(SIGN(VLOOKUP(C321, Resultados_Reales!$A$4:$I$107, 5, FALSE)-VLOOKUP(C321, Resultados_Reales!$A$4:$I$107, 6, FALSE)) = SIGN(G321-H321), Configuracion!$B$4, 0)))</f>
        <v/>
      </c>
      <c r="L321" s="11" t="n"/>
      <c r="M321" s="11" t="n"/>
      <c r="N321" s="11" t="n"/>
      <c r="O321" s="11" t="n"/>
      <c r="P321" s="11" t="n"/>
      <c r="Q321" s="11" t="n"/>
    </row>
    <row r="322">
      <c r="A322" s="8">
        <f>B322&amp;"_"&amp;C322</f>
        <v/>
      </c>
      <c r="B322" s="8" t="n"/>
      <c r="C322" s="8" t="n"/>
      <c r="D322" s="8" t="n"/>
      <c r="E322" s="11" t="n"/>
      <c r="F322" s="11" t="n"/>
      <c r="G322" s="8" t="n"/>
      <c r="H322" s="8" t="n"/>
      <c r="I322" s="8" t="n"/>
      <c r="J322" s="8" t="n"/>
      <c r="K322" s="12">
        <f>IF(OR(ISERROR(VLOOKUP(C322, Resultados_Reales!$A$4:$I$107, 5, FALSE)), ISERROR(VLOOKUP(C322, Resultados_Reales!$A$4:$I$107, 6, FALSE)), VLOOKUP(C322, Resultados_Reales!$A$4:$I$107, 5, FALSE)="", VLOOKUP(C322, Resultados_Reales!$A$4:$I$107, 6, FALSE)=""), 0, IF(AND(VLOOKUP(C322, Resultados_Reales!$A$4:$I$107, 5, FALSE)=G322, VLOOKUP(C322, Resultados_Reales!$A$4:$I$107, 6, FALSE)=H322), Configuracion!$B$5, IF(SIGN(VLOOKUP(C322, Resultados_Reales!$A$4:$I$107, 5, FALSE)-VLOOKUP(C322, Resultados_Reales!$A$4:$I$107, 6, FALSE)) = SIGN(G322-H322), Configuracion!$B$4, 0)))</f>
        <v/>
      </c>
      <c r="L322" s="11" t="n"/>
      <c r="M322" s="11" t="n"/>
      <c r="N322" s="11" t="n"/>
      <c r="O322" s="11" t="n"/>
      <c r="P322" s="11" t="n"/>
      <c r="Q322" s="11" t="n"/>
    </row>
    <row r="323">
      <c r="A323" s="8">
        <f>B323&amp;"_"&amp;C323</f>
        <v/>
      </c>
      <c r="B323" s="8" t="n"/>
      <c r="C323" s="8" t="n"/>
      <c r="D323" s="8" t="n"/>
      <c r="E323" s="11" t="n"/>
      <c r="F323" s="11" t="n"/>
      <c r="G323" s="8" t="n"/>
      <c r="H323" s="8" t="n"/>
      <c r="I323" s="8" t="n"/>
      <c r="J323" s="8" t="n"/>
      <c r="K323" s="12">
        <f>IF(OR(ISERROR(VLOOKUP(C323, Resultados_Reales!$A$4:$I$107, 5, FALSE)), ISERROR(VLOOKUP(C323, Resultados_Reales!$A$4:$I$107, 6, FALSE)), VLOOKUP(C323, Resultados_Reales!$A$4:$I$107, 5, FALSE)="", VLOOKUP(C323, Resultados_Reales!$A$4:$I$107, 6, FALSE)=""), 0, IF(AND(VLOOKUP(C323, Resultados_Reales!$A$4:$I$107, 5, FALSE)=G323, VLOOKUP(C323, Resultados_Reales!$A$4:$I$107, 6, FALSE)=H323), Configuracion!$B$5, IF(SIGN(VLOOKUP(C323, Resultados_Reales!$A$4:$I$107, 5, FALSE)-VLOOKUP(C323, Resultados_Reales!$A$4:$I$107, 6, FALSE)) = SIGN(G323-H323), Configuracion!$B$4, 0)))</f>
        <v/>
      </c>
      <c r="L323" s="11" t="n"/>
      <c r="M323" s="11" t="n"/>
      <c r="N323" s="11" t="n"/>
      <c r="O323" s="11" t="n"/>
      <c r="P323" s="11" t="n"/>
      <c r="Q323" s="11" t="n"/>
    </row>
    <row r="324">
      <c r="A324" s="8">
        <f>B324&amp;"_"&amp;C324</f>
        <v/>
      </c>
      <c r="B324" s="8" t="n"/>
      <c r="C324" s="8" t="n"/>
      <c r="D324" s="8" t="n"/>
      <c r="E324" s="11" t="n"/>
      <c r="F324" s="11" t="n"/>
      <c r="G324" s="8" t="n"/>
      <c r="H324" s="8" t="n"/>
      <c r="I324" s="8" t="n"/>
      <c r="J324" s="8" t="n"/>
      <c r="K324" s="12">
        <f>IF(OR(ISERROR(VLOOKUP(C324, Resultados_Reales!$A$4:$I$107, 5, FALSE)), ISERROR(VLOOKUP(C324, Resultados_Reales!$A$4:$I$107, 6, FALSE)), VLOOKUP(C324, Resultados_Reales!$A$4:$I$107, 5, FALSE)="", VLOOKUP(C324, Resultados_Reales!$A$4:$I$107, 6, FALSE)=""), 0, IF(AND(VLOOKUP(C324, Resultados_Reales!$A$4:$I$107, 5, FALSE)=G324, VLOOKUP(C324, Resultados_Reales!$A$4:$I$107, 6, FALSE)=H324), Configuracion!$B$5, IF(SIGN(VLOOKUP(C324, Resultados_Reales!$A$4:$I$107, 5, FALSE)-VLOOKUP(C324, Resultados_Reales!$A$4:$I$107, 6, FALSE)) = SIGN(G324-H324), Configuracion!$B$4, 0)))</f>
        <v/>
      </c>
      <c r="L324" s="11" t="n"/>
      <c r="M324" s="11" t="n"/>
      <c r="N324" s="11" t="n"/>
      <c r="O324" s="11" t="n"/>
      <c r="P324" s="11" t="n"/>
      <c r="Q324" s="11" t="n"/>
    </row>
    <row r="325">
      <c r="A325" s="8">
        <f>B325&amp;"_"&amp;C325</f>
        <v/>
      </c>
      <c r="B325" s="8" t="n"/>
      <c r="C325" s="8" t="n"/>
      <c r="D325" s="8" t="n"/>
      <c r="E325" s="11" t="n"/>
      <c r="F325" s="11" t="n"/>
      <c r="G325" s="8" t="n"/>
      <c r="H325" s="8" t="n"/>
      <c r="I325" s="8" t="n"/>
      <c r="J325" s="8" t="n"/>
      <c r="K325" s="12">
        <f>IF(OR(ISERROR(VLOOKUP(C325, Resultados_Reales!$A$4:$I$107, 5, FALSE)), ISERROR(VLOOKUP(C325, Resultados_Reales!$A$4:$I$107, 6, FALSE)), VLOOKUP(C325, Resultados_Reales!$A$4:$I$107, 5, FALSE)="", VLOOKUP(C325, Resultados_Reales!$A$4:$I$107, 6, FALSE)=""), 0, IF(AND(VLOOKUP(C325, Resultados_Reales!$A$4:$I$107, 5, FALSE)=G325, VLOOKUP(C325, Resultados_Reales!$A$4:$I$107, 6, FALSE)=H325), Configuracion!$B$5, IF(SIGN(VLOOKUP(C325, Resultados_Reales!$A$4:$I$107, 5, FALSE)-VLOOKUP(C325, Resultados_Reales!$A$4:$I$107, 6, FALSE)) = SIGN(G325-H325), Configuracion!$B$4, 0)))</f>
        <v/>
      </c>
      <c r="L325" s="11" t="n"/>
      <c r="M325" s="11" t="n"/>
      <c r="N325" s="11" t="n"/>
      <c r="O325" s="11" t="n"/>
      <c r="P325" s="11" t="n"/>
      <c r="Q325" s="11" t="n"/>
    </row>
    <row r="326">
      <c r="A326" s="8">
        <f>B326&amp;"_"&amp;C326</f>
        <v/>
      </c>
      <c r="B326" s="8" t="n"/>
      <c r="C326" s="8" t="n"/>
      <c r="D326" s="8" t="n"/>
      <c r="E326" s="11" t="n"/>
      <c r="F326" s="11" t="n"/>
      <c r="G326" s="8" t="n"/>
      <c r="H326" s="8" t="n"/>
      <c r="I326" s="8" t="n"/>
      <c r="J326" s="8" t="n"/>
      <c r="K326" s="12">
        <f>IF(OR(ISERROR(VLOOKUP(C326, Resultados_Reales!$A$4:$I$107, 5, FALSE)), ISERROR(VLOOKUP(C326, Resultados_Reales!$A$4:$I$107, 6, FALSE)), VLOOKUP(C326, Resultados_Reales!$A$4:$I$107, 5, FALSE)="", VLOOKUP(C326, Resultados_Reales!$A$4:$I$107, 6, FALSE)=""), 0, IF(AND(VLOOKUP(C326, Resultados_Reales!$A$4:$I$107, 5, FALSE)=G326, VLOOKUP(C326, Resultados_Reales!$A$4:$I$107, 6, FALSE)=H326), Configuracion!$B$5, IF(SIGN(VLOOKUP(C326, Resultados_Reales!$A$4:$I$107, 5, FALSE)-VLOOKUP(C326, Resultados_Reales!$A$4:$I$107, 6, FALSE)) = SIGN(G326-H326), Configuracion!$B$4, 0)))</f>
        <v/>
      </c>
      <c r="L326" s="11" t="n"/>
      <c r="M326" s="11" t="n"/>
      <c r="N326" s="11" t="n"/>
      <c r="O326" s="11" t="n"/>
      <c r="P326" s="11" t="n"/>
      <c r="Q326" s="11" t="n"/>
    </row>
    <row r="327">
      <c r="A327" s="8">
        <f>B327&amp;"_"&amp;C327</f>
        <v/>
      </c>
      <c r="B327" s="8" t="n"/>
      <c r="C327" s="8" t="n"/>
      <c r="D327" s="8" t="n"/>
      <c r="E327" s="11" t="n"/>
      <c r="F327" s="11" t="n"/>
      <c r="G327" s="8" t="n"/>
      <c r="H327" s="8" t="n"/>
      <c r="I327" s="8" t="n"/>
      <c r="J327" s="8" t="n"/>
      <c r="K327" s="12">
        <f>IF(OR(ISERROR(VLOOKUP(C327, Resultados_Reales!$A$4:$I$107, 5, FALSE)), ISERROR(VLOOKUP(C327, Resultados_Reales!$A$4:$I$107, 6, FALSE)), VLOOKUP(C327, Resultados_Reales!$A$4:$I$107, 5, FALSE)="", VLOOKUP(C327, Resultados_Reales!$A$4:$I$107, 6, FALSE)=""), 0, IF(AND(VLOOKUP(C327, Resultados_Reales!$A$4:$I$107, 5, FALSE)=G327, VLOOKUP(C327, Resultados_Reales!$A$4:$I$107, 6, FALSE)=H327), Configuracion!$B$5, IF(SIGN(VLOOKUP(C327, Resultados_Reales!$A$4:$I$107, 5, FALSE)-VLOOKUP(C327, Resultados_Reales!$A$4:$I$107, 6, FALSE)) = SIGN(G327-H327), Configuracion!$B$4, 0)))</f>
        <v/>
      </c>
      <c r="L327" s="11" t="n"/>
      <c r="M327" s="11" t="n"/>
      <c r="N327" s="11" t="n"/>
      <c r="O327" s="11" t="n"/>
      <c r="P327" s="11" t="n"/>
      <c r="Q327" s="11" t="n"/>
    </row>
    <row r="328">
      <c r="A328" s="8">
        <f>B328&amp;"_"&amp;C328</f>
        <v/>
      </c>
      <c r="B328" s="8" t="n"/>
      <c r="C328" s="8" t="n"/>
      <c r="D328" s="8" t="n"/>
      <c r="E328" s="11" t="n"/>
      <c r="F328" s="11" t="n"/>
      <c r="G328" s="8" t="n"/>
      <c r="H328" s="8" t="n"/>
      <c r="I328" s="8" t="n"/>
      <c r="J328" s="8" t="n"/>
      <c r="K328" s="12">
        <f>IF(OR(ISERROR(VLOOKUP(C328, Resultados_Reales!$A$4:$I$107, 5, FALSE)), ISERROR(VLOOKUP(C328, Resultados_Reales!$A$4:$I$107, 6, FALSE)), VLOOKUP(C328, Resultados_Reales!$A$4:$I$107, 5, FALSE)="", VLOOKUP(C328, Resultados_Reales!$A$4:$I$107, 6, FALSE)=""), 0, IF(AND(VLOOKUP(C328, Resultados_Reales!$A$4:$I$107, 5, FALSE)=G328, VLOOKUP(C328, Resultados_Reales!$A$4:$I$107, 6, FALSE)=H328), Configuracion!$B$5, IF(SIGN(VLOOKUP(C328, Resultados_Reales!$A$4:$I$107, 5, FALSE)-VLOOKUP(C328, Resultados_Reales!$A$4:$I$107, 6, FALSE)) = SIGN(G328-H328), Configuracion!$B$4, 0)))</f>
        <v/>
      </c>
      <c r="L328" s="11" t="n"/>
      <c r="M328" s="11" t="n"/>
      <c r="N328" s="11" t="n"/>
      <c r="O328" s="11" t="n"/>
      <c r="P328" s="11" t="n"/>
      <c r="Q328" s="11" t="n"/>
    </row>
    <row r="329">
      <c r="A329" s="8">
        <f>B329&amp;"_"&amp;C329</f>
        <v/>
      </c>
      <c r="B329" s="8" t="n"/>
      <c r="C329" s="8" t="n"/>
      <c r="D329" s="8" t="n"/>
      <c r="E329" s="11" t="n"/>
      <c r="F329" s="11" t="n"/>
      <c r="G329" s="8" t="n"/>
      <c r="H329" s="8" t="n"/>
      <c r="I329" s="8" t="n"/>
      <c r="J329" s="8" t="n"/>
      <c r="K329" s="12">
        <f>IF(OR(ISERROR(VLOOKUP(C329, Resultados_Reales!$A$4:$I$107, 5, FALSE)), ISERROR(VLOOKUP(C329, Resultados_Reales!$A$4:$I$107, 6, FALSE)), VLOOKUP(C329, Resultados_Reales!$A$4:$I$107, 5, FALSE)="", VLOOKUP(C329, Resultados_Reales!$A$4:$I$107, 6, FALSE)=""), 0, IF(AND(VLOOKUP(C329, Resultados_Reales!$A$4:$I$107, 5, FALSE)=G329, VLOOKUP(C329, Resultados_Reales!$A$4:$I$107, 6, FALSE)=H329), Configuracion!$B$5, IF(SIGN(VLOOKUP(C329, Resultados_Reales!$A$4:$I$107, 5, FALSE)-VLOOKUP(C329, Resultados_Reales!$A$4:$I$107, 6, FALSE)) = SIGN(G329-H329), Configuracion!$B$4, 0)))</f>
        <v/>
      </c>
      <c r="L329" s="11" t="n"/>
      <c r="M329" s="11" t="n"/>
      <c r="N329" s="11" t="n"/>
      <c r="O329" s="11" t="n"/>
      <c r="P329" s="11" t="n"/>
      <c r="Q329" s="11" t="n"/>
    </row>
    <row r="330">
      <c r="A330" s="8">
        <f>B330&amp;"_"&amp;C330</f>
        <v/>
      </c>
      <c r="B330" s="8" t="n"/>
      <c r="C330" s="8" t="n"/>
      <c r="D330" s="8" t="n"/>
      <c r="E330" s="11" t="n"/>
      <c r="F330" s="11" t="n"/>
      <c r="G330" s="8" t="n"/>
      <c r="H330" s="8" t="n"/>
      <c r="I330" s="8" t="n"/>
      <c r="J330" s="8" t="n"/>
      <c r="K330" s="12">
        <f>IF(OR(ISERROR(VLOOKUP(C330, Resultados_Reales!$A$4:$I$107, 5, FALSE)), ISERROR(VLOOKUP(C330, Resultados_Reales!$A$4:$I$107, 6, FALSE)), VLOOKUP(C330, Resultados_Reales!$A$4:$I$107, 5, FALSE)="", VLOOKUP(C330, Resultados_Reales!$A$4:$I$107, 6, FALSE)=""), 0, IF(AND(VLOOKUP(C330, Resultados_Reales!$A$4:$I$107, 5, FALSE)=G330, VLOOKUP(C330, Resultados_Reales!$A$4:$I$107, 6, FALSE)=H330), Configuracion!$B$5, IF(SIGN(VLOOKUP(C330, Resultados_Reales!$A$4:$I$107, 5, FALSE)-VLOOKUP(C330, Resultados_Reales!$A$4:$I$107, 6, FALSE)) = SIGN(G330-H330), Configuracion!$B$4, 0)))</f>
        <v/>
      </c>
      <c r="L330" s="11" t="n"/>
      <c r="M330" s="11" t="n"/>
      <c r="N330" s="11" t="n"/>
      <c r="O330" s="11" t="n"/>
      <c r="P330" s="11" t="n"/>
      <c r="Q330" s="11" t="n"/>
    </row>
    <row r="331">
      <c r="A331" s="8">
        <f>B331&amp;"_"&amp;C331</f>
        <v/>
      </c>
      <c r="B331" s="8" t="n"/>
      <c r="C331" s="8" t="n"/>
      <c r="D331" s="8" t="n"/>
      <c r="E331" s="11" t="n"/>
      <c r="F331" s="11" t="n"/>
      <c r="G331" s="8" t="n"/>
      <c r="H331" s="8" t="n"/>
      <c r="I331" s="8" t="n"/>
      <c r="J331" s="8" t="n"/>
      <c r="K331" s="12">
        <f>IF(OR(ISERROR(VLOOKUP(C331, Resultados_Reales!$A$4:$I$107, 5, FALSE)), ISERROR(VLOOKUP(C331, Resultados_Reales!$A$4:$I$107, 6, FALSE)), VLOOKUP(C331, Resultados_Reales!$A$4:$I$107, 5, FALSE)="", VLOOKUP(C331, Resultados_Reales!$A$4:$I$107, 6, FALSE)=""), 0, IF(AND(VLOOKUP(C331, Resultados_Reales!$A$4:$I$107, 5, FALSE)=G331, VLOOKUP(C331, Resultados_Reales!$A$4:$I$107, 6, FALSE)=H331), Configuracion!$B$5, IF(SIGN(VLOOKUP(C331, Resultados_Reales!$A$4:$I$107, 5, FALSE)-VLOOKUP(C331, Resultados_Reales!$A$4:$I$107, 6, FALSE)) = SIGN(G331-H331), Configuracion!$B$4, 0)))</f>
        <v/>
      </c>
      <c r="L331" s="11" t="n"/>
      <c r="M331" s="11" t="n"/>
      <c r="N331" s="11" t="n"/>
      <c r="O331" s="11" t="n"/>
      <c r="P331" s="11" t="n"/>
      <c r="Q331" s="11" t="n"/>
    </row>
    <row r="332">
      <c r="A332" s="8">
        <f>B332&amp;"_"&amp;C332</f>
        <v/>
      </c>
      <c r="B332" s="8" t="n"/>
      <c r="C332" s="8" t="n"/>
      <c r="D332" s="8" t="n"/>
      <c r="E332" s="11" t="n"/>
      <c r="F332" s="11" t="n"/>
      <c r="G332" s="8" t="n"/>
      <c r="H332" s="8" t="n"/>
      <c r="I332" s="8" t="n"/>
      <c r="J332" s="8" t="n"/>
      <c r="K332" s="12">
        <f>IF(OR(ISERROR(VLOOKUP(C332, Resultados_Reales!$A$4:$I$107, 5, FALSE)), ISERROR(VLOOKUP(C332, Resultados_Reales!$A$4:$I$107, 6, FALSE)), VLOOKUP(C332, Resultados_Reales!$A$4:$I$107, 5, FALSE)="", VLOOKUP(C332, Resultados_Reales!$A$4:$I$107, 6, FALSE)=""), 0, IF(AND(VLOOKUP(C332, Resultados_Reales!$A$4:$I$107, 5, FALSE)=G332, VLOOKUP(C332, Resultados_Reales!$A$4:$I$107, 6, FALSE)=H332), Configuracion!$B$5, IF(SIGN(VLOOKUP(C332, Resultados_Reales!$A$4:$I$107, 5, FALSE)-VLOOKUP(C332, Resultados_Reales!$A$4:$I$107, 6, FALSE)) = SIGN(G332-H332), Configuracion!$B$4, 0)))</f>
        <v/>
      </c>
      <c r="L332" s="11" t="n"/>
      <c r="M332" s="11" t="n"/>
      <c r="N332" s="11" t="n"/>
      <c r="O332" s="11" t="n"/>
      <c r="P332" s="11" t="n"/>
      <c r="Q332" s="11" t="n"/>
    </row>
    <row r="333">
      <c r="A333" s="8">
        <f>B333&amp;"_"&amp;C333</f>
        <v/>
      </c>
      <c r="B333" s="8" t="n"/>
      <c r="C333" s="8" t="n"/>
      <c r="D333" s="8" t="n"/>
      <c r="E333" s="11" t="n"/>
      <c r="F333" s="11" t="n"/>
      <c r="G333" s="8" t="n"/>
      <c r="H333" s="8" t="n"/>
      <c r="I333" s="8" t="n"/>
      <c r="J333" s="8" t="n"/>
      <c r="K333" s="12">
        <f>IF(OR(ISERROR(VLOOKUP(C333, Resultados_Reales!$A$4:$I$107, 5, FALSE)), ISERROR(VLOOKUP(C333, Resultados_Reales!$A$4:$I$107, 6, FALSE)), VLOOKUP(C333, Resultados_Reales!$A$4:$I$107, 5, FALSE)="", VLOOKUP(C333, Resultados_Reales!$A$4:$I$107, 6, FALSE)=""), 0, IF(AND(VLOOKUP(C333, Resultados_Reales!$A$4:$I$107, 5, FALSE)=G333, VLOOKUP(C333, Resultados_Reales!$A$4:$I$107, 6, FALSE)=H333), Configuracion!$B$5, IF(SIGN(VLOOKUP(C333, Resultados_Reales!$A$4:$I$107, 5, FALSE)-VLOOKUP(C333, Resultados_Reales!$A$4:$I$107, 6, FALSE)) = SIGN(G333-H333), Configuracion!$B$4, 0)))</f>
        <v/>
      </c>
      <c r="L333" s="11" t="n"/>
      <c r="M333" s="11" t="n"/>
      <c r="N333" s="11" t="n"/>
      <c r="O333" s="11" t="n"/>
      <c r="P333" s="11" t="n"/>
      <c r="Q333" s="11" t="n"/>
    </row>
    <row r="334">
      <c r="A334" s="8">
        <f>B334&amp;"_"&amp;C334</f>
        <v/>
      </c>
      <c r="B334" s="8" t="n"/>
      <c r="C334" s="8" t="n"/>
      <c r="D334" s="8" t="n"/>
      <c r="E334" s="11" t="n"/>
      <c r="F334" s="11" t="n"/>
      <c r="G334" s="8" t="n"/>
      <c r="H334" s="8" t="n"/>
      <c r="I334" s="8" t="n"/>
      <c r="J334" s="8" t="n"/>
      <c r="K334" s="12">
        <f>IF(OR(ISERROR(VLOOKUP(C334, Resultados_Reales!$A$4:$I$107, 5, FALSE)), ISERROR(VLOOKUP(C334, Resultados_Reales!$A$4:$I$107, 6, FALSE)), VLOOKUP(C334, Resultados_Reales!$A$4:$I$107, 5, FALSE)="", VLOOKUP(C334, Resultados_Reales!$A$4:$I$107, 6, FALSE)=""), 0, IF(AND(VLOOKUP(C334, Resultados_Reales!$A$4:$I$107, 5, FALSE)=G334, VLOOKUP(C334, Resultados_Reales!$A$4:$I$107, 6, FALSE)=H334), Configuracion!$B$5, IF(SIGN(VLOOKUP(C334, Resultados_Reales!$A$4:$I$107, 5, FALSE)-VLOOKUP(C334, Resultados_Reales!$A$4:$I$107, 6, FALSE)) = SIGN(G334-H334), Configuracion!$B$4, 0)))</f>
        <v/>
      </c>
      <c r="L334" s="11" t="n"/>
      <c r="M334" s="11" t="n"/>
      <c r="N334" s="11" t="n"/>
      <c r="O334" s="11" t="n"/>
      <c r="P334" s="11" t="n"/>
      <c r="Q334" s="11" t="n"/>
    </row>
    <row r="335">
      <c r="A335" s="8">
        <f>B335&amp;"_"&amp;C335</f>
        <v/>
      </c>
      <c r="B335" s="8" t="n"/>
      <c r="C335" s="8" t="n"/>
      <c r="D335" s="8" t="n"/>
      <c r="E335" s="11" t="n"/>
      <c r="F335" s="11" t="n"/>
      <c r="G335" s="8" t="n"/>
      <c r="H335" s="8" t="n"/>
      <c r="I335" s="8" t="n"/>
      <c r="J335" s="8" t="n"/>
      <c r="K335" s="12">
        <f>IF(OR(ISERROR(VLOOKUP(C335, Resultados_Reales!$A$4:$I$107, 5, FALSE)), ISERROR(VLOOKUP(C335, Resultados_Reales!$A$4:$I$107, 6, FALSE)), VLOOKUP(C335, Resultados_Reales!$A$4:$I$107, 5, FALSE)="", VLOOKUP(C335, Resultados_Reales!$A$4:$I$107, 6, FALSE)=""), 0, IF(AND(VLOOKUP(C335, Resultados_Reales!$A$4:$I$107, 5, FALSE)=G335, VLOOKUP(C335, Resultados_Reales!$A$4:$I$107, 6, FALSE)=H335), Configuracion!$B$5, IF(SIGN(VLOOKUP(C335, Resultados_Reales!$A$4:$I$107, 5, FALSE)-VLOOKUP(C335, Resultados_Reales!$A$4:$I$107, 6, FALSE)) = SIGN(G335-H335), Configuracion!$B$4, 0)))</f>
        <v/>
      </c>
      <c r="L335" s="11" t="n"/>
      <c r="M335" s="11" t="n"/>
      <c r="N335" s="11" t="n"/>
      <c r="O335" s="11" t="n"/>
      <c r="P335" s="11" t="n"/>
      <c r="Q335" s="11" t="n"/>
    </row>
    <row r="336">
      <c r="A336" s="8">
        <f>B336&amp;"_"&amp;C336</f>
        <v/>
      </c>
      <c r="B336" s="8" t="n"/>
      <c r="C336" s="8" t="n"/>
      <c r="D336" s="8" t="n"/>
      <c r="E336" s="11" t="n"/>
      <c r="F336" s="11" t="n"/>
      <c r="G336" s="8" t="n"/>
      <c r="H336" s="8" t="n"/>
      <c r="I336" s="8" t="n"/>
      <c r="J336" s="8" t="n"/>
      <c r="K336" s="12">
        <f>IF(OR(ISERROR(VLOOKUP(C336, Resultados_Reales!$A$4:$I$107, 5, FALSE)), ISERROR(VLOOKUP(C336, Resultados_Reales!$A$4:$I$107, 6, FALSE)), VLOOKUP(C336, Resultados_Reales!$A$4:$I$107, 5, FALSE)="", VLOOKUP(C336, Resultados_Reales!$A$4:$I$107, 6, FALSE)=""), 0, IF(AND(VLOOKUP(C336, Resultados_Reales!$A$4:$I$107, 5, FALSE)=G336, VLOOKUP(C336, Resultados_Reales!$A$4:$I$107, 6, FALSE)=H336), Configuracion!$B$5, IF(SIGN(VLOOKUP(C336, Resultados_Reales!$A$4:$I$107, 5, FALSE)-VLOOKUP(C336, Resultados_Reales!$A$4:$I$107, 6, FALSE)) = SIGN(G336-H336), Configuracion!$B$4, 0)))</f>
        <v/>
      </c>
      <c r="L336" s="11" t="n"/>
      <c r="M336" s="11" t="n"/>
      <c r="N336" s="11" t="n"/>
      <c r="O336" s="11" t="n"/>
      <c r="P336" s="11" t="n"/>
      <c r="Q336" s="11" t="n"/>
    </row>
    <row r="337">
      <c r="A337" s="8">
        <f>B337&amp;"_"&amp;C337</f>
        <v/>
      </c>
      <c r="B337" s="8" t="n"/>
      <c r="C337" s="8" t="n"/>
      <c r="D337" s="8" t="n"/>
      <c r="E337" s="11" t="n"/>
      <c r="F337" s="11" t="n"/>
      <c r="G337" s="8" t="n"/>
      <c r="H337" s="8" t="n"/>
      <c r="I337" s="8" t="n"/>
      <c r="J337" s="8" t="n"/>
      <c r="K337" s="12">
        <f>IF(OR(ISERROR(VLOOKUP(C337, Resultados_Reales!$A$4:$I$107, 5, FALSE)), ISERROR(VLOOKUP(C337, Resultados_Reales!$A$4:$I$107, 6, FALSE)), VLOOKUP(C337, Resultados_Reales!$A$4:$I$107, 5, FALSE)="", VLOOKUP(C337, Resultados_Reales!$A$4:$I$107, 6, FALSE)=""), 0, IF(AND(VLOOKUP(C337, Resultados_Reales!$A$4:$I$107, 5, FALSE)=G337, VLOOKUP(C337, Resultados_Reales!$A$4:$I$107, 6, FALSE)=H337), Configuracion!$B$5, IF(SIGN(VLOOKUP(C337, Resultados_Reales!$A$4:$I$107, 5, FALSE)-VLOOKUP(C337, Resultados_Reales!$A$4:$I$107, 6, FALSE)) = SIGN(G337-H337), Configuracion!$B$4, 0)))</f>
        <v/>
      </c>
      <c r="L337" s="11" t="n"/>
      <c r="M337" s="11" t="n"/>
      <c r="N337" s="11" t="n"/>
      <c r="O337" s="11" t="n"/>
      <c r="P337" s="11" t="n"/>
      <c r="Q337" s="11" t="n"/>
    </row>
    <row r="338">
      <c r="A338" s="8">
        <f>B338&amp;"_"&amp;C338</f>
        <v/>
      </c>
      <c r="B338" s="8" t="n"/>
      <c r="C338" s="8" t="n"/>
      <c r="D338" s="8" t="n"/>
      <c r="E338" s="11" t="n"/>
      <c r="F338" s="11" t="n"/>
      <c r="G338" s="8" t="n"/>
      <c r="H338" s="8" t="n"/>
      <c r="I338" s="8" t="n"/>
      <c r="J338" s="8" t="n"/>
      <c r="K338" s="12">
        <f>IF(OR(ISERROR(VLOOKUP(C338, Resultados_Reales!$A$4:$I$107, 5, FALSE)), ISERROR(VLOOKUP(C338, Resultados_Reales!$A$4:$I$107, 6, FALSE)), VLOOKUP(C338, Resultados_Reales!$A$4:$I$107, 5, FALSE)="", VLOOKUP(C338, Resultados_Reales!$A$4:$I$107, 6, FALSE)=""), 0, IF(AND(VLOOKUP(C338, Resultados_Reales!$A$4:$I$107, 5, FALSE)=G338, VLOOKUP(C338, Resultados_Reales!$A$4:$I$107, 6, FALSE)=H338), Configuracion!$B$5, IF(SIGN(VLOOKUP(C338, Resultados_Reales!$A$4:$I$107, 5, FALSE)-VLOOKUP(C338, Resultados_Reales!$A$4:$I$107, 6, FALSE)) = SIGN(G338-H338), Configuracion!$B$4, 0)))</f>
        <v/>
      </c>
      <c r="L338" s="11" t="n"/>
      <c r="M338" s="11" t="n"/>
      <c r="N338" s="11" t="n"/>
      <c r="O338" s="11" t="n"/>
      <c r="P338" s="11" t="n"/>
      <c r="Q338" s="11" t="n"/>
    </row>
    <row r="339">
      <c r="A339" s="8">
        <f>B339&amp;"_"&amp;C339</f>
        <v/>
      </c>
      <c r="B339" s="8" t="n"/>
      <c r="C339" s="8" t="n"/>
      <c r="D339" s="8" t="n"/>
      <c r="E339" s="11" t="n"/>
      <c r="F339" s="11" t="n"/>
      <c r="G339" s="8" t="n"/>
      <c r="H339" s="8" t="n"/>
      <c r="I339" s="8" t="n"/>
      <c r="J339" s="8" t="n"/>
      <c r="K339" s="12">
        <f>IF(OR(ISERROR(VLOOKUP(C339, Resultados_Reales!$A$4:$I$107, 5, FALSE)), ISERROR(VLOOKUP(C339, Resultados_Reales!$A$4:$I$107, 6, FALSE)), VLOOKUP(C339, Resultados_Reales!$A$4:$I$107, 5, FALSE)="", VLOOKUP(C339, Resultados_Reales!$A$4:$I$107, 6, FALSE)=""), 0, IF(AND(VLOOKUP(C339, Resultados_Reales!$A$4:$I$107, 5, FALSE)=G339, VLOOKUP(C339, Resultados_Reales!$A$4:$I$107, 6, FALSE)=H339), Configuracion!$B$5, IF(SIGN(VLOOKUP(C339, Resultados_Reales!$A$4:$I$107, 5, FALSE)-VLOOKUP(C339, Resultados_Reales!$A$4:$I$107, 6, FALSE)) = SIGN(G339-H339), Configuracion!$B$4, 0)))</f>
        <v/>
      </c>
      <c r="L339" s="11" t="n"/>
      <c r="M339" s="11" t="n"/>
      <c r="N339" s="11" t="n"/>
      <c r="O339" s="11" t="n"/>
      <c r="P339" s="11" t="n"/>
      <c r="Q339" s="11" t="n"/>
    </row>
    <row r="340">
      <c r="A340" s="8">
        <f>B340&amp;"_"&amp;C340</f>
        <v/>
      </c>
      <c r="B340" s="8" t="n"/>
      <c r="C340" s="8" t="n"/>
      <c r="D340" s="8" t="n"/>
      <c r="E340" s="11" t="n"/>
      <c r="F340" s="11" t="n"/>
      <c r="G340" s="8" t="n"/>
      <c r="H340" s="8" t="n"/>
      <c r="I340" s="8" t="n"/>
      <c r="J340" s="8" t="n"/>
      <c r="K340" s="12">
        <f>IF(OR(ISERROR(VLOOKUP(C340, Resultados_Reales!$A$4:$I$107, 5, FALSE)), ISERROR(VLOOKUP(C340, Resultados_Reales!$A$4:$I$107, 6, FALSE)), VLOOKUP(C340, Resultados_Reales!$A$4:$I$107, 5, FALSE)="", VLOOKUP(C340, Resultados_Reales!$A$4:$I$107, 6, FALSE)=""), 0, IF(AND(VLOOKUP(C340, Resultados_Reales!$A$4:$I$107, 5, FALSE)=G340, VLOOKUP(C340, Resultados_Reales!$A$4:$I$107, 6, FALSE)=H340), Configuracion!$B$5, IF(SIGN(VLOOKUP(C340, Resultados_Reales!$A$4:$I$107, 5, FALSE)-VLOOKUP(C340, Resultados_Reales!$A$4:$I$107, 6, FALSE)) = SIGN(G340-H340), Configuracion!$B$4, 0)))</f>
        <v/>
      </c>
      <c r="L340" s="11" t="n"/>
      <c r="M340" s="11" t="n"/>
      <c r="N340" s="11" t="n"/>
      <c r="O340" s="11" t="n"/>
      <c r="P340" s="11" t="n"/>
      <c r="Q340" s="11" t="n"/>
    </row>
    <row r="341">
      <c r="A341" s="8">
        <f>B341&amp;"_"&amp;C341</f>
        <v/>
      </c>
      <c r="B341" s="8" t="n"/>
      <c r="C341" s="8" t="n"/>
      <c r="D341" s="8" t="n"/>
      <c r="E341" s="11" t="n"/>
      <c r="F341" s="11" t="n"/>
      <c r="G341" s="8" t="n"/>
      <c r="H341" s="8" t="n"/>
      <c r="I341" s="8" t="n"/>
      <c r="J341" s="8" t="n"/>
      <c r="K341" s="12">
        <f>IF(OR(ISERROR(VLOOKUP(C341, Resultados_Reales!$A$4:$I$107, 5, FALSE)), ISERROR(VLOOKUP(C341, Resultados_Reales!$A$4:$I$107, 6, FALSE)), VLOOKUP(C341, Resultados_Reales!$A$4:$I$107, 5, FALSE)="", VLOOKUP(C341, Resultados_Reales!$A$4:$I$107, 6, FALSE)=""), 0, IF(AND(VLOOKUP(C341, Resultados_Reales!$A$4:$I$107, 5, FALSE)=G341, VLOOKUP(C341, Resultados_Reales!$A$4:$I$107, 6, FALSE)=H341), Configuracion!$B$5, IF(SIGN(VLOOKUP(C341, Resultados_Reales!$A$4:$I$107, 5, FALSE)-VLOOKUP(C341, Resultados_Reales!$A$4:$I$107, 6, FALSE)) = SIGN(G341-H341), Configuracion!$B$4, 0)))</f>
        <v/>
      </c>
      <c r="L341" s="11" t="n"/>
      <c r="M341" s="11" t="n"/>
      <c r="N341" s="11" t="n"/>
      <c r="O341" s="11" t="n"/>
      <c r="P341" s="11" t="n"/>
      <c r="Q341" s="11" t="n"/>
    </row>
    <row r="342">
      <c r="A342" s="8">
        <f>B342&amp;"_"&amp;C342</f>
        <v/>
      </c>
      <c r="B342" s="8" t="n"/>
      <c r="C342" s="8" t="n"/>
      <c r="D342" s="8" t="n"/>
      <c r="E342" s="11" t="n"/>
      <c r="F342" s="11" t="n"/>
      <c r="G342" s="8" t="n"/>
      <c r="H342" s="8" t="n"/>
      <c r="I342" s="8" t="n"/>
      <c r="J342" s="8" t="n"/>
      <c r="K342" s="12">
        <f>IF(OR(ISERROR(VLOOKUP(C342, Resultados_Reales!$A$4:$I$107, 5, FALSE)), ISERROR(VLOOKUP(C342, Resultados_Reales!$A$4:$I$107, 6, FALSE)), VLOOKUP(C342, Resultados_Reales!$A$4:$I$107, 5, FALSE)="", VLOOKUP(C342, Resultados_Reales!$A$4:$I$107, 6, FALSE)=""), 0, IF(AND(VLOOKUP(C342, Resultados_Reales!$A$4:$I$107, 5, FALSE)=G342, VLOOKUP(C342, Resultados_Reales!$A$4:$I$107, 6, FALSE)=H342), Configuracion!$B$5, IF(SIGN(VLOOKUP(C342, Resultados_Reales!$A$4:$I$107, 5, FALSE)-VLOOKUP(C342, Resultados_Reales!$A$4:$I$107, 6, FALSE)) = SIGN(G342-H342), Configuracion!$B$4, 0)))</f>
        <v/>
      </c>
      <c r="L342" s="11" t="n"/>
      <c r="M342" s="11" t="n"/>
      <c r="N342" s="11" t="n"/>
      <c r="O342" s="11" t="n"/>
      <c r="P342" s="11" t="n"/>
      <c r="Q342" s="11" t="n"/>
    </row>
    <row r="343">
      <c r="A343" s="8">
        <f>B343&amp;"_"&amp;C343</f>
        <v/>
      </c>
      <c r="B343" s="8" t="n"/>
      <c r="C343" s="8" t="n"/>
      <c r="D343" s="8" t="n"/>
      <c r="E343" s="11" t="n"/>
      <c r="F343" s="11" t="n"/>
      <c r="G343" s="8" t="n"/>
      <c r="H343" s="8" t="n"/>
      <c r="I343" s="8" t="n"/>
      <c r="J343" s="8" t="n"/>
      <c r="K343" s="12">
        <f>IF(OR(ISERROR(VLOOKUP(C343, Resultados_Reales!$A$4:$I$107, 5, FALSE)), ISERROR(VLOOKUP(C343, Resultados_Reales!$A$4:$I$107, 6, FALSE)), VLOOKUP(C343, Resultados_Reales!$A$4:$I$107, 5, FALSE)="", VLOOKUP(C343, Resultados_Reales!$A$4:$I$107, 6, FALSE)=""), 0, IF(AND(VLOOKUP(C343, Resultados_Reales!$A$4:$I$107, 5, FALSE)=G343, VLOOKUP(C343, Resultados_Reales!$A$4:$I$107, 6, FALSE)=H343), Configuracion!$B$5, IF(SIGN(VLOOKUP(C343, Resultados_Reales!$A$4:$I$107, 5, FALSE)-VLOOKUP(C343, Resultados_Reales!$A$4:$I$107, 6, FALSE)) = SIGN(G343-H343), Configuracion!$B$4, 0)))</f>
        <v/>
      </c>
      <c r="L343" s="11" t="n"/>
      <c r="M343" s="11" t="n"/>
      <c r="N343" s="11" t="n"/>
      <c r="O343" s="11" t="n"/>
      <c r="P343" s="11" t="n"/>
      <c r="Q343" s="11" t="n"/>
    </row>
    <row r="344">
      <c r="A344" s="8">
        <f>B344&amp;"_"&amp;C344</f>
        <v/>
      </c>
      <c r="B344" s="8" t="n"/>
      <c r="C344" s="8" t="n"/>
      <c r="D344" s="8" t="n"/>
      <c r="E344" s="11" t="n"/>
      <c r="F344" s="11" t="n"/>
      <c r="G344" s="8" t="n"/>
      <c r="H344" s="8" t="n"/>
      <c r="I344" s="8" t="n"/>
      <c r="J344" s="8" t="n"/>
      <c r="K344" s="12">
        <f>IF(OR(ISERROR(VLOOKUP(C344, Resultados_Reales!$A$4:$I$107, 5, FALSE)), ISERROR(VLOOKUP(C344, Resultados_Reales!$A$4:$I$107, 6, FALSE)), VLOOKUP(C344, Resultados_Reales!$A$4:$I$107, 5, FALSE)="", VLOOKUP(C344, Resultados_Reales!$A$4:$I$107, 6, FALSE)=""), 0, IF(AND(VLOOKUP(C344, Resultados_Reales!$A$4:$I$107, 5, FALSE)=G344, VLOOKUP(C344, Resultados_Reales!$A$4:$I$107, 6, FALSE)=H344), Configuracion!$B$5, IF(SIGN(VLOOKUP(C344, Resultados_Reales!$A$4:$I$107, 5, FALSE)-VLOOKUP(C344, Resultados_Reales!$A$4:$I$107, 6, FALSE)) = SIGN(G344-H344), Configuracion!$B$4, 0)))</f>
        <v/>
      </c>
      <c r="L344" s="11" t="n"/>
      <c r="M344" s="11" t="n"/>
      <c r="N344" s="11" t="n"/>
      <c r="O344" s="11" t="n"/>
      <c r="P344" s="11" t="n"/>
      <c r="Q344" s="11" t="n"/>
    </row>
    <row r="345">
      <c r="A345" s="8">
        <f>B345&amp;"_"&amp;C345</f>
        <v/>
      </c>
      <c r="B345" s="8" t="n"/>
      <c r="C345" s="8" t="n"/>
      <c r="D345" s="8" t="n"/>
      <c r="E345" s="11" t="n"/>
      <c r="F345" s="11" t="n"/>
      <c r="G345" s="8" t="n"/>
      <c r="H345" s="8" t="n"/>
      <c r="I345" s="8" t="n"/>
      <c r="J345" s="8" t="n"/>
      <c r="K345" s="12">
        <f>IF(OR(ISERROR(VLOOKUP(C345, Resultados_Reales!$A$4:$I$107, 5, FALSE)), ISERROR(VLOOKUP(C345, Resultados_Reales!$A$4:$I$107, 6, FALSE)), VLOOKUP(C345, Resultados_Reales!$A$4:$I$107, 5, FALSE)="", VLOOKUP(C345, Resultados_Reales!$A$4:$I$107, 6, FALSE)=""), 0, IF(AND(VLOOKUP(C345, Resultados_Reales!$A$4:$I$107, 5, FALSE)=G345, VLOOKUP(C345, Resultados_Reales!$A$4:$I$107, 6, FALSE)=H345), Configuracion!$B$5, IF(SIGN(VLOOKUP(C345, Resultados_Reales!$A$4:$I$107, 5, FALSE)-VLOOKUP(C345, Resultados_Reales!$A$4:$I$107, 6, FALSE)) = SIGN(G345-H345), Configuracion!$B$4, 0)))</f>
        <v/>
      </c>
      <c r="L345" s="11" t="n"/>
      <c r="M345" s="11" t="n"/>
      <c r="N345" s="11" t="n"/>
      <c r="O345" s="11" t="n"/>
      <c r="P345" s="11" t="n"/>
      <c r="Q345" s="11" t="n"/>
    </row>
    <row r="346">
      <c r="A346" s="8">
        <f>B346&amp;"_"&amp;C346</f>
        <v/>
      </c>
      <c r="B346" s="8" t="n"/>
      <c r="C346" s="8" t="n"/>
      <c r="D346" s="8" t="n"/>
      <c r="E346" s="11" t="n"/>
      <c r="F346" s="11" t="n"/>
      <c r="G346" s="8" t="n"/>
      <c r="H346" s="8" t="n"/>
      <c r="I346" s="8" t="n"/>
      <c r="J346" s="8" t="n"/>
      <c r="K346" s="12">
        <f>IF(OR(ISERROR(VLOOKUP(C346, Resultados_Reales!$A$4:$I$107, 5, FALSE)), ISERROR(VLOOKUP(C346, Resultados_Reales!$A$4:$I$107, 6, FALSE)), VLOOKUP(C346, Resultados_Reales!$A$4:$I$107, 5, FALSE)="", VLOOKUP(C346, Resultados_Reales!$A$4:$I$107, 6, FALSE)=""), 0, IF(AND(VLOOKUP(C346, Resultados_Reales!$A$4:$I$107, 5, FALSE)=G346, VLOOKUP(C346, Resultados_Reales!$A$4:$I$107, 6, FALSE)=H346), Configuracion!$B$5, IF(SIGN(VLOOKUP(C346, Resultados_Reales!$A$4:$I$107, 5, FALSE)-VLOOKUP(C346, Resultados_Reales!$A$4:$I$107, 6, FALSE)) = SIGN(G346-H346), Configuracion!$B$4, 0)))</f>
        <v/>
      </c>
      <c r="L346" s="11" t="n"/>
      <c r="M346" s="11" t="n"/>
      <c r="N346" s="11" t="n"/>
      <c r="O346" s="11" t="n"/>
      <c r="P346" s="11" t="n"/>
      <c r="Q346" s="11" t="n"/>
    </row>
    <row r="347">
      <c r="A347" s="8">
        <f>B347&amp;"_"&amp;C347</f>
        <v/>
      </c>
      <c r="B347" s="8" t="n"/>
      <c r="C347" s="8" t="n"/>
      <c r="D347" s="8" t="n"/>
      <c r="E347" s="11" t="n"/>
      <c r="F347" s="11" t="n"/>
      <c r="G347" s="8" t="n"/>
      <c r="H347" s="8" t="n"/>
      <c r="I347" s="8" t="n"/>
      <c r="J347" s="8" t="n"/>
      <c r="K347" s="12">
        <f>IF(OR(ISERROR(VLOOKUP(C347, Resultados_Reales!$A$4:$I$107, 5, FALSE)), ISERROR(VLOOKUP(C347, Resultados_Reales!$A$4:$I$107, 6, FALSE)), VLOOKUP(C347, Resultados_Reales!$A$4:$I$107, 5, FALSE)="", VLOOKUP(C347, Resultados_Reales!$A$4:$I$107, 6, FALSE)=""), 0, IF(AND(VLOOKUP(C347, Resultados_Reales!$A$4:$I$107, 5, FALSE)=G347, VLOOKUP(C347, Resultados_Reales!$A$4:$I$107, 6, FALSE)=H347), Configuracion!$B$5, IF(SIGN(VLOOKUP(C347, Resultados_Reales!$A$4:$I$107, 5, FALSE)-VLOOKUP(C347, Resultados_Reales!$A$4:$I$107, 6, FALSE)) = SIGN(G347-H347), Configuracion!$B$4, 0)))</f>
        <v/>
      </c>
      <c r="L347" s="11" t="n"/>
      <c r="M347" s="11" t="n"/>
      <c r="N347" s="11" t="n"/>
      <c r="O347" s="11" t="n"/>
      <c r="P347" s="11" t="n"/>
      <c r="Q347" s="11" t="n"/>
    </row>
    <row r="348">
      <c r="A348" s="8">
        <f>B348&amp;"_"&amp;C348</f>
        <v/>
      </c>
      <c r="B348" s="8" t="n"/>
      <c r="C348" s="8" t="n"/>
      <c r="D348" s="8" t="n"/>
      <c r="E348" s="11" t="n"/>
      <c r="F348" s="11" t="n"/>
      <c r="G348" s="8" t="n"/>
      <c r="H348" s="8" t="n"/>
      <c r="I348" s="8" t="n"/>
      <c r="J348" s="8" t="n"/>
      <c r="K348" s="12">
        <f>IF(OR(ISERROR(VLOOKUP(C348, Resultados_Reales!$A$4:$I$107, 5, FALSE)), ISERROR(VLOOKUP(C348, Resultados_Reales!$A$4:$I$107, 6, FALSE)), VLOOKUP(C348, Resultados_Reales!$A$4:$I$107, 5, FALSE)="", VLOOKUP(C348, Resultados_Reales!$A$4:$I$107, 6, FALSE)=""), 0, IF(AND(VLOOKUP(C348, Resultados_Reales!$A$4:$I$107, 5, FALSE)=G348, VLOOKUP(C348, Resultados_Reales!$A$4:$I$107, 6, FALSE)=H348), Configuracion!$B$5, IF(SIGN(VLOOKUP(C348, Resultados_Reales!$A$4:$I$107, 5, FALSE)-VLOOKUP(C348, Resultados_Reales!$A$4:$I$107, 6, FALSE)) = SIGN(G348-H348), Configuracion!$B$4, 0)))</f>
        <v/>
      </c>
      <c r="L348" s="11" t="n"/>
      <c r="M348" s="11" t="n"/>
      <c r="N348" s="11" t="n"/>
      <c r="O348" s="11" t="n"/>
      <c r="P348" s="11" t="n"/>
      <c r="Q348" s="11" t="n"/>
    </row>
    <row r="349">
      <c r="A349" s="8">
        <f>B349&amp;"_"&amp;C349</f>
        <v/>
      </c>
      <c r="B349" s="8" t="n"/>
      <c r="C349" s="8" t="n"/>
      <c r="D349" s="8" t="n"/>
      <c r="E349" s="11" t="n"/>
      <c r="F349" s="11" t="n"/>
      <c r="G349" s="8" t="n"/>
      <c r="H349" s="8" t="n"/>
      <c r="I349" s="8" t="n"/>
      <c r="J349" s="8" t="n"/>
      <c r="K349" s="12">
        <f>IF(OR(ISERROR(VLOOKUP(C349, Resultados_Reales!$A$4:$I$107, 5, FALSE)), ISERROR(VLOOKUP(C349, Resultados_Reales!$A$4:$I$107, 6, FALSE)), VLOOKUP(C349, Resultados_Reales!$A$4:$I$107, 5, FALSE)="", VLOOKUP(C349, Resultados_Reales!$A$4:$I$107, 6, FALSE)=""), 0, IF(AND(VLOOKUP(C349, Resultados_Reales!$A$4:$I$107, 5, FALSE)=G349, VLOOKUP(C349, Resultados_Reales!$A$4:$I$107, 6, FALSE)=H349), Configuracion!$B$5, IF(SIGN(VLOOKUP(C349, Resultados_Reales!$A$4:$I$107, 5, FALSE)-VLOOKUP(C349, Resultados_Reales!$A$4:$I$107, 6, FALSE)) = SIGN(G349-H349), Configuracion!$B$4, 0)))</f>
        <v/>
      </c>
      <c r="L349" s="11" t="n"/>
      <c r="M349" s="11" t="n"/>
      <c r="N349" s="11" t="n"/>
      <c r="O349" s="11" t="n"/>
      <c r="P349" s="11" t="n"/>
      <c r="Q349" s="11" t="n"/>
    </row>
    <row r="350">
      <c r="A350" s="8">
        <f>B350&amp;"_"&amp;C350</f>
        <v/>
      </c>
      <c r="B350" s="8" t="n"/>
      <c r="C350" s="8" t="n"/>
      <c r="D350" s="8" t="n"/>
      <c r="E350" s="11" t="n"/>
      <c r="F350" s="11" t="n"/>
      <c r="G350" s="8" t="n"/>
      <c r="H350" s="8" t="n"/>
      <c r="I350" s="8" t="n"/>
      <c r="J350" s="8" t="n"/>
      <c r="K350" s="12">
        <f>IF(OR(ISERROR(VLOOKUP(C350, Resultados_Reales!$A$4:$I$107, 5, FALSE)), ISERROR(VLOOKUP(C350, Resultados_Reales!$A$4:$I$107, 6, FALSE)), VLOOKUP(C350, Resultados_Reales!$A$4:$I$107, 5, FALSE)="", VLOOKUP(C350, Resultados_Reales!$A$4:$I$107, 6, FALSE)=""), 0, IF(AND(VLOOKUP(C350, Resultados_Reales!$A$4:$I$107, 5, FALSE)=G350, VLOOKUP(C350, Resultados_Reales!$A$4:$I$107, 6, FALSE)=H350), Configuracion!$B$5, IF(SIGN(VLOOKUP(C350, Resultados_Reales!$A$4:$I$107, 5, FALSE)-VLOOKUP(C350, Resultados_Reales!$A$4:$I$107, 6, FALSE)) = SIGN(G350-H350), Configuracion!$B$4, 0)))</f>
        <v/>
      </c>
      <c r="L350" s="11" t="n"/>
      <c r="M350" s="11" t="n"/>
      <c r="N350" s="11" t="n"/>
      <c r="O350" s="11" t="n"/>
      <c r="P350" s="11" t="n"/>
      <c r="Q350" s="11" t="n"/>
    </row>
    <row r="351">
      <c r="A351" s="8">
        <f>B351&amp;"_"&amp;C351</f>
        <v/>
      </c>
      <c r="B351" s="8" t="n"/>
      <c r="C351" s="8" t="n"/>
      <c r="D351" s="8" t="n"/>
      <c r="E351" s="11" t="n"/>
      <c r="F351" s="11" t="n"/>
      <c r="G351" s="8" t="n"/>
      <c r="H351" s="8" t="n"/>
      <c r="I351" s="8" t="n"/>
      <c r="J351" s="8" t="n"/>
      <c r="K351" s="12">
        <f>IF(OR(ISERROR(VLOOKUP(C351, Resultados_Reales!$A$4:$I$107, 5, FALSE)), ISERROR(VLOOKUP(C351, Resultados_Reales!$A$4:$I$107, 6, FALSE)), VLOOKUP(C351, Resultados_Reales!$A$4:$I$107, 5, FALSE)="", VLOOKUP(C351, Resultados_Reales!$A$4:$I$107, 6, FALSE)=""), 0, IF(AND(VLOOKUP(C351, Resultados_Reales!$A$4:$I$107, 5, FALSE)=G351, VLOOKUP(C351, Resultados_Reales!$A$4:$I$107, 6, FALSE)=H351), Configuracion!$B$5, IF(SIGN(VLOOKUP(C351, Resultados_Reales!$A$4:$I$107, 5, FALSE)-VLOOKUP(C351, Resultados_Reales!$A$4:$I$107, 6, FALSE)) = SIGN(G351-H351), Configuracion!$B$4, 0)))</f>
        <v/>
      </c>
      <c r="L351" s="11" t="n"/>
      <c r="M351" s="11" t="n"/>
      <c r="N351" s="11" t="n"/>
      <c r="O351" s="11" t="n"/>
      <c r="P351" s="11" t="n"/>
      <c r="Q351" s="11" t="n"/>
    </row>
    <row r="352">
      <c r="A352" s="8">
        <f>B352&amp;"_"&amp;C352</f>
        <v/>
      </c>
      <c r="B352" s="8" t="n"/>
      <c r="C352" s="8" t="n"/>
      <c r="D352" s="8" t="n"/>
      <c r="E352" s="11" t="n"/>
      <c r="F352" s="11" t="n"/>
      <c r="G352" s="8" t="n"/>
      <c r="H352" s="8" t="n"/>
      <c r="I352" s="8" t="n"/>
      <c r="J352" s="8" t="n"/>
      <c r="K352" s="12">
        <f>IF(OR(ISERROR(VLOOKUP(C352, Resultados_Reales!$A$4:$I$107, 5, FALSE)), ISERROR(VLOOKUP(C352, Resultados_Reales!$A$4:$I$107, 6, FALSE)), VLOOKUP(C352, Resultados_Reales!$A$4:$I$107, 5, FALSE)="", VLOOKUP(C352, Resultados_Reales!$A$4:$I$107, 6, FALSE)=""), 0, IF(AND(VLOOKUP(C352, Resultados_Reales!$A$4:$I$107, 5, FALSE)=G352, VLOOKUP(C352, Resultados_Reales!$A$4:$I$107, 6, FALSE)=H352), Configuracion!$B$5, IF(SIGN(VLOOKUP(C352, Resultados_Reales!$A$4:$I$107, 5, FALSE)-VLOOKUP(C352, Resultados_Reales!$A$4:$I$107, 6, FALSE)) = SIGN(G352-H352), Configuracion!$B$4, 0)))</f>
        <v/>
      </c>
      <c r="L352" s="11" t="n"/>
      <c r="M352" s="11" t="n"/>
      <c r="N352" s="11" t="n"/>
      <c r="O352" s="11" t="n"/>
      <c r="P352" s="11" t="n"/>
      <c r="Q352" s="11" t="n"/>
    </row>
    <row r="353">
      <c r="A353" s="8">
        <f>B353&amp;"_"&amp;C353</f>
        <v/>
      </c>
      <c r="B353" s="8" t="n"/>
      <c r="C353" s="8" t="n"/>
      <c r="D353" s="8" t="n"/>
      <c r="E353" s="11" t="n"/>
      <c r="F353" s="11" t="n"/>
      <c r="G353" s="8" t="n"/>
      <c r="H353" s="8" t="n"/>
      <c r="I353" s="8" t="n"/>
      <c r="J353" s="8" t="n"/>
      <c r="K353" s="12">
        <f>IF(OR(ISERROR(VLOOKUP(C353, Resultados_Reales!$A$4:$I$107, 5, FALSE)), ISERROR(VLOOKUP(C353, Resultados_Reales!$A$4:$I$107, 6, FALSE)), VLOOKUP(C353, Resultados_Reales!$A$4:$I$107, 5, FALSE)="", VLOOKUP(C353, Resultados_Reales!$A$4:$I$107, 6, FALSE)=""), 0, IF(AND(VLOOKUP(C353, Resultados_Reales!$A$4:$I$107, 5, FALSE)=G353, VLOOKUP(C353, Resultados_Reales!$A$4:$I$107, 6, FALSE)=H353), Configuracion!$B$5, IF(SIGN(VLOOKUP(C353, Resultados_Reales!$A$4:$I$107, 5, FALSE)-VLOOKUP(C353, Resultados_Reales!$A$4:$I$107, 6, FALSE)) = SIGN(G353-H353), Configuracion!$B$4, 0)))</f>
        <v/>
      </c>
      <c r="L353" s="11" t="n"/>
      <c r="M353" s="11" t="n"/>
      <c r="N353" s="11" t="n"/>
      <c r="O353" s="11" t="n"/>
      <c r="P353" s="11" t="n"/>
      <c r="Q353" s="11" t="n"/>
    </row>
    <row r="354">
      <c r="A354" s="8">
        <f>B354&amp;"_"&amp;C354</f>
        <v/>
      </c>
      <c r="B354" s="8" t="n"/>
      <c r="C354" s="8" t="n"/>
      <c r="D354" s="8" t="n"/>
      <c r="E354" s="11" t="n"/>
      <c r="F354" s="11" t="n"/>
      <c r="G354" s="8" t="n"/>
      <c r="H354" s="8" t="n"/>
      <c r="I354" s="8" t="n"/>
      <c r="J354" s="8" t="n"/>
      <c r="K354" s="12">
        <f>IF(OR(ISERROR(VLOOKUP(C354, Resultados_Reales!$A$4:$I$107, 5, FALSE)), ISERROR(VLOOKUP(C354, Resultados_Reales!$A$4:$I$107, 6, FALSE)), VLOOKUP(C354, Resultados_Reales!$A$4:$I$107, 5, FALSE)="", VLOOKUP(C354, Resultados_Reales!$A$4:$I$107, 6, FALSE)=""), 0, IF(AND(VLOOKUP(C354, Resultados_Reales!$A$4:$I$107, 5, FALSE)=G354, VLOOKUP(C354, Resultados_Reales!$A$4:$I$107, 6, FALSE)=H354), Configuracion!$B$5, IF(SIGN(VLOOKUP(C354, Resultados_Reales!$A$4:$I$107, 5, FALSE)-VLOOKUP(C354, Resultados_Reales!$A$4:$I$107, 6, FALSE)) = SIGN(G354-H354), Configuracion!$B$4, 0)))</f>
        <v/>
      </c>
      <c r="L354" s="11" t="n"/>
      <c r="M354" s="11" t="n"/>
      <c r="N354" s="11" t="n"/>
      <c r="O354" s="11" t="n"/>
      <c r="P354" s="11" t="n"/>
      <c r="Q354" s="11" t="n"/>
    </row>
    <row r="355">
      <c r="A355" s="8">
        <f>B355&amp;"_"&amp;C355</f>
        <v/>
      </c>
      <c r="B355" s="8" t="n"/>
      <c r="C355" s="8" t="n"/>
      <c r="D355" s="8" t="n"/>
      <c r="E355" s="11" t="n"/>
      <c r="F355" s="11" t="n"/>
      <c r="G355" s="8" t="n"/>
      <c r="H355" s="8" t="n"/>
      <c r="I355" s="8" t="n"/>
      <c r="J355" s="8" t="n"/>
      <c r="K355" s="12">
        <f>IF(OR(ISERROR(VLOOKUP(C355, Resultados_Reales!$A$4:$I$107, 5, FALSE)), ISERROR(VLOOKUP(C355, Resultados_Reales!$A$4:$I$107, 6, FALSE)), VLOOKUP(C355, Resultados_Reales!$A$4:$I$107, 5, FALSE)="", VLOOKUP(C355, Resultados_Reales!$A$4:$I$107, 6, FALSE)=""), 0, IF(AND(VLOOKUP(C355, Resultados_Reales!$A$4:$I$107, 5, FALSE)=G355, VLOOKUP(C355, Resultados_Reales!$A$4:$I$107, 6, FALSE)=H355), Configuracion!$B$5, IF(SIGN(VLOOKUP(C355, Resultados_Reales!$A$4:$I$107, 5, FALSE)-VLOOKUP(C355, Resultados_Reales!$A$4:$I$107, 6, FALSE)) = SIGN(G355-H355), Configuracion!$B$4, 0)))</f>
        <v/>
      </c>
      <c r="L355" s="11" t="n"/>
      <c r="M355" s="11" t="n"/>
      <c r="N355" s="11" t="n"/>
      <c r="O355" s="11" t="n"/>
      <c r="P355" s="11" t="n"/>
      <c r="Q355" s="11" t="n"/>
    </row>
    <row r="356">
      <c r="A356" s="8">
        <f>B356&amp;"_"&amp;C356</f>
        <v/>
      </c>
      <c r="B356" s="8" t="n"/>
      <c r="C356" s="8" t="n"/>
      <c r="D356" s="8" t="n"/>
      <c r="E356" s="11" t="n"/>
      <c r="F356" s="11" t="n"/>
      <c r="G356" s="8" t="n"/>
      <c r="H356" s="8" t="n"/>
      <c r="I356" s="8" t="n"/>
      <c r="J356" s="8" t="n"/>
      <c r="K356" s="12">
        <f>IF(OR(ISERROR(VLOOKUP(C356, Resultados_Reales!$A$4:$I$107, 5, FALSE)), ISERROR(VLOOKUP(C356, Resultados_Reales!$A$4:$I$107, 6, FALSE)), VLOOKUP(C356, Resultados_Reales!$A$4:$I$107, 5, FALSE)="", VLOOKUP(C356, Resultados_Reales!$A$4:$I$107, 6, FALSE)=""), 0, IF(AND(VLOOKUP(C356, Resultados_Reales!$A$4:$I$107, 5, FALSE)=G356, VLOOKUP(C356, Resultados_Reales!$A$4:$I$107, 6, FALSE)=H356), Configuracion!$B$5, IF(SIGN(VLOOKUP(C356, Resultados_Reales!$A$4:$I$107, 5, FALSE)-VLOOKUP(C356, Resultados_Reales!$A$4:$I$107, 6, FALSE)) = SIGN(G356-H356), Configuracion!$B$4, 0)))</f>
        <v/>
      </c>
      <c r="L356" s="11" t="n"/>
      <c r="M356" s="11" t="n"/>
      <c r="N356" s="11" t="n"/>
      <c r="O356" s="11" t="n"/>
      <c r="P356" s="11" t="n"/>
      <c r="Q356" s="11" t="n"/>
    </row>
    <row r="357">
      <c r="A357" s="8">
        <f>B357&amp;"_"&amp;C357</f>
        <v/>
      </c>
      <c r="B357" s="8" t="n"/>
      <c r="C357" s="8" t="n"/>
      <c r="D357" s="8" t="n"/>
      <c r="E357" s="11" t="n"/>
      <c r="F357" s="11" t="n"/>
      <c r="G357" s="8" t="n"/>
      <c r="H357" s="8" t="n"/>
      <c r="I357" s="8" t="n"/>
      <c r="J357" s="8" t="n"/>
      <c r="K357" s="12">
        <f>IF(OR(ISERROR(VLOOKUP(C357, Resultados_Reales!$A$4:$I$107, 5, FALSE)), ISERROR(VLOOKUP(C357, Resultados_Reales!$A$4:$I$107, 6, FALSE)), VLOOKUP(C357, Resultados_Reales!$A$4:$I$107, 5, FALSE)="", VLOOKUP(C357, Resultados_Reales!$A$4:$I$107, 6, FALSE)=""), 0, IF(AND(VLOOKUP(C357, Resultados_Reales!$A$4:$I$107, 5, FALSE)=G357, VLOOKUP(C357, Resultados_Reales!$A$4:$I$107, 6, FALSE)=H357), Configuracion!$B$5, IF(SIGN(VLOOKUP(C357, Resultados_Reales!$A$4:$I$107, 5, FALSE)-VLOOKUP(C357, Resultados_Reales!$A$4:$I$107, 6, FALSE)) = SIGN(G357-H357), Configuracion!$B$4, 0)))</f>
        <v/>
      </c>
      <c r="L357" s="11" t="n"/>
      <c r="M357" s="11" t="n"/>
      <c r="N357" s="11" t="n"/>
      <c r="O357" s="11" t="n"/>
      <c r="P357" s="11" t="n"/>
      <c r="Q357" s="11" t="n"/>
    </row>
    <row r="358">
      <c r="A358" s="8">
        <f>B358&amp;"_"&amp;C358</f>
        <v/>
      </c>
      <c r="B358" s="8" t="n"/>
      <c r="C358" s="8" t="n"/>
      <c r="D358" s="8" t="n"/>
      <c r="E358" s="11" t="n"/>
      <c r="F358" s="11" t="n"/>
      <c r="G358" s="8" t="n"/>
      <c r="H358" s="8" t="n"/>
      <c r="I358" s="8" t="n"/>
      <c r="J358" s="8" t="n"/>
      <c r="K358" s="12">
        <f>IF(OR(ISERROR(VLOOKUP(C358, Resultados_Reales!$A$4:$I$107, 5, FALSE)), ISERROR(VLOOKUP(C358, Resultados_Reales!$A$4:$I$107, 6, FALSE)), VLOOKUP(C358, Resultados_Reales!$A$4:$I$107, 5, FALSE)="", VLOOKUP(C358, Resultados_Reales!$A$4:$I$107, 6, FALSE)=""), 0, IF(AND(VLOOKUP(C358, Resultados_Reales!$A$4:$I$107, 5, FALSE)=G358, VLOOKUP(C358, Resultados_Reales!$A$4:$I$107, 6, FALSE)=H358), Configuracion!$B$5, IF(SIGN(VLOOKUP(C358, Resultados_Reales!$A$4:$I$107, 5, FALSE)-VLOOKUP(C358, Resultados_Reales!$A$4:$I$107, 6, FALSE)) = SIGN(G358-H358), Configuracion!$B$4, 0)))</f>
        <v/>
      </c>
      <c r="L358" s="11" t="n"/>
      <c r="M358" s="11" t="n"/>
      <c r="N358" s="11" t="n"/>
      <c r="O358" s="11" t="n"/>
      <c r="P358" s="11" t="n"/>
      <c r="Q358" s="11" t="n"/>
    </row>
    <row r="359">
      <c r="A359" s="8">
        <f>B359&amp;"_"&amp;C359</f>
        <v/>
      </c>
      <c r="B359" s="8" t="n"/>
      <c r="C359" s="8" t="n"/>
      <c r="D359" s="8" t="n"/>
      <c r="E359" s="11" t="n"/>
      <c r="F359" s="11" t="n"/>
      <c r="G359" s="8" t="n"/>
      <c r="H359" s="8" t="n"/>
      <c r="I359" s="8" t="n"/>
      <c r="J359" s="8" t="n"/>
      <c r="K359" s="12">
        <f>IF(OR(ISERROR(VLOOKUP(C359, Resultados_Reales!$A$4:$I$107, 5, FALSE)), ISERROR(VLOOKUP(C359, Resultados_Reales!$A$4:$I$107, 6, FALSE)), VLOOKUP(C359, Resultados_Reales!$A$4:$I$107, 5, FALSE)="", VLOOKUP(C359, Resultados_Reales!$A$4:$I$107, 6, FALSE)=""), 0, IF(AND(VLOOKUP(C359, Resultados_Reales!$A$4:$I$107, 5, FALSE)=G359, VLOOKUP(C359, Resultados_Reales!$A$4:$I$107, 6, FALSE)=H359), Configuracion!$B$5, IF(SIGN(VLOOKUP(C359, Resultados_Reales!$A$4:$I$107, 5, FALSE)-VLOOKUP(C359, Resultados_Reales!$A$4:$I$107, 6, FALSE)) = SIGN(G359-H359), Configuracion!$B$4, 0)))</f>
        <v/>
      </c>
      <c r="L359" s="11" t="n"/>
      <c r="M359" s="11" t="n"/>
      <c r="N359" s="11" t="n"/>
      <c r="O359" s="11" t="n"/>
      <c r="P359" s="11" t="n"/>
      <c r="Q359" s="11" t="n"/>
    </row>
    <row r="360">
      <c r="A360" s="8">
        <f>B360&amp;"_"&amp;C360</f>
        <v/>
      </c>
      <c r="B360" s="8" t="n"/>
      <c r="C360" s="8" t="n"/>
      <c r="D360" s="8" t="n"/>
      <c r="E360" s="11" t="n"/>
      <c r="F360" s="11" t="n"/>
      <c r="G360" s="8" t="n"/>
      <c r="H360" s="8" t="n"/>
      <c r="I360" s="8" t="n"/>
      <c r="J360" s="8" t="n"/>
      <c r="K360" s="12">
        <f>IF(OR(ISERROR(VLOOKUP(C360, Resultados_Reales!$A$4:$I$107, 5, FALSE)), ISERROR(VLOOKUP(C360, Resultados_Reales!$A$4:$I$107, 6, FALSE)), VLOOKUP(C360, Resultados_Reales!$A$4:$I$107, 5, FALSE)="", VLOOKUP(C360, Resultados_Reales!$A$4:$I$107, 6, FALSE)=""), 0, IF(AND(VLOOKUP(C360, Resultados_Reales!$A$4:$I$107, 5, FALSE)=G360, VLOOKUP(C360, Resultados_Reales!$A$4:$I$107, 6, FALSE)=H360), Configuracion!$B$5, IF(SIGN(VLOOKUP(C360, Resultados_Reales!$A$4:$I$107, 5, FALSE)-VLOOKUP(C360, Resultados_Reales!$A$4:$I$107, 6, FALSE)) = SIGN(G360-H360), Configuracion!$B$4, 0)))</f>
        <v/>
      </c>
      <c r="L360" s="11" t="n"/>
      <c r="M360" s="11" t="n"/>
      <c r="N360" s="11" t="n"/>
      <c r="O360" s="11" t="n"/>
      <c r="P360" s="11" t="n"/>
      <c r="Q360" s="11" t="n"/>
    </row>
    <row r="361">
      <c r="A361" s="8">
        <f>B361&amp;"_"&amp;C361</f>
        <v/>
      </c>
      <c r="B361" s="8" t="n"/>
      <c r="C361" s="8" t="n"/>
      <c r="D361" s="8" t="n"/>
      <c r="E361" s="11" t="n"/>
      <c r="F361" s="11" t="n"/>
      <c r="G361" s="8" t="n"/>
      <c r="H361" s="8" t="n"/>
      <c r="I361" s="8" t="n"/>
      <c r="J361" s="8" t="n"/>
      <c r="K361" s="12">
        <f>IF(OR(ISERROR(VLOOKUP(C361, Resultados_Reales!$A$4:$I$107, 5, FALSE)), ISERROR(VLOOKUP(C361, Resultados_Reales!$A$4:$I$107, 6, FALSE)), VLOOKUP(C361, Resultados_Reales!$A$4:$I$107, 5, FALSE)="", VLOOKUP(C361, Resultados_Reales!$A$4:$I$107, 6, FALSE)=""), 0, IF(AND(VLOOKUP(C361, Resultados_Reales!$A$4:$I$107, 5, FALSE)=G361, VLOOKUP(C361, Resultados_Reales!$A$4:$I$107, 6, FALSE)=H361), Configuracion!$B$5, IF(SIGN(VLOOKUP(C361, Resultados_Reales!$A$4:$I$107, 5, FALSE)-VLOOKUP(C361, Resultados_Reales!$A$4:$I$107, 6, FALSE)) = SIGN(G361-H361), Configuracion!$B$4, 0)))</f>
        <v/>
      </c>
      <c r="L361" s="11" t="n"/>
      <c r="M361" s="11" t="n"/>
      <c r="N361" s="11" t="n"/>
      <c r="O361" s="11" t="n"/>
      <c r="P361" s="11" t="n"/>
      <c r="Q361" s="11" t="n"/>
    </row>
    <row r="362">
      <c r="A362" s="8">
        <f>B362&amp;"_"&amp;C362</f>
        <v/>
      </c>
      <c r="B362" s="8" t="n"/>
      <c r="C362" s="8" t="n"/>
      <c r="D362" s="8" t="n"/>
      <c r="E362" s="11" t="n"/>
      <c r="F362" s="11" t="n"/>
      <c r="G362" s="8" t="n"/>
      <c r="H362" s="8" t="n"/>
      <c r="I362" s="8" t="n"/>
      <c r="J362" s="8" t="n"/>
      <c r="K362" s="12">
        <f>IF(OR(ISERROR(VLOOKUP(C362, Resultados_Reales!$A$4:$I$107, 5, FALSE)), ISERROR(VLOOKUP(C362, Resultados_Reales!$A$4:$I$107, 6, FALSE)), VLOOKUP(C362, Resultados_Reales!$A$4:$I$107, 5, FALSE)="", VLOOKUP(C362, Resultados_Reales!$A$4:$I$107, 6, FALSE)=""), 0, IF(AND(VLOOKUP(C362, Resultados_Reales!$A$4:$I$107, 5, FALSE)=G362, VLOOKUP(C362, Resultados_Reales!$A$4:$I$107, 6, FALSE)=H362), Configuracion!$B$5, IF(SIGN(VLOOKUP(C362, Resultados_Reales!$A$4:$I$107, 5, FALSE)-VLOOKUP(C362, Resultados_Reales!$A$4:$I$107, 6, FALSE)) = SIGN(G362-H362), Configuracion!$B$4, 0)))</f>
        <v/>
      </c>
      <c r="L362" s="11" t="n"/>
      <c r="M362" s="11" t="n"/>
      <c r="N362" s="11" t="n"/>
      <c r="O362" s="11" t="n"/>
      <c r="P362" s="11" t="n"/>
      <c r="Q362" s="11" t="n"/>
    </row>
    <row r="363">
      <c r="A363" s="8">
        <f>B363&amp;"_"&amp;C363</f>
        <v/>
      </c>
      <c r="B363" s="8" t="n"/>
      <c r="C363" s="8" t="n"/>
      <c r="D363" s="8" t="n"/>
      <c r="E363" s="11" t="n"/>
      <c r="F363" s="11" t="n"/>
      <c r="G363" s="8" t="n"/>
      <c r="H363" s="8" t="n"/>
      <c r="I363" s="8" t="n"/>
      <c r="J363" s="8" t="n"/>
      <c r="K363" s="12">
        <f>IF(OR(ISERROR(VLOOKUP(C363, Resultados_Reales!$A$4:$I$107, 5, FALSE)), ISERROR(VLOOKUP(C363, Resultados_Reales!$A$4:$I$107, 6, FALSE)), VLOOKUP(C363, Resultados_Reales!$A$4:$I$107, 5, FALSE)="", VLOOKUP(C363, Resultados_Reales!$A$4:$I$107, 6, FALSE)=""), 0, IF(AND(VLOOKUP(C363, Resultados_Reales!$A$4:$I$107, 5, FALSE)=G363, VLOOKUP(C363, Resultados_Reales!$A$4:$I$107, 6, FALSE)=H363), Configuracion!$B$5, IF(SIGN(VLOOKUP(C363, Resultados_Reales!$A$4:$I$107, 5, FALSE)-VLOOKUP(C363, Resultados_Reales!$A$4:$I$107, 6, FALSE)) = SIGN(G363-H363), Configuracion!$B$4, 0)))</f>
        <v/>
      </c>
      <c r="L363" s="11" t="n"/>
      <c r="M363" s="11" t="n"/>
      <c r="N363" s="11" t="n"/>
      <c r="O363" s="11" t="n"/>
      <c r="P363" s="11" t="n"/>
      <c r="Q363" s="11" t="n"/>
    </row>
    <row r="364">
      <c r="A364" s="8">
        <f>B364&amp;"_"&amp;C364</f>
        <v/>
      </c>
      <c r="B364" s="8" t="n"/>
      <c r="C364" s="8" t="n"/>
      <c r="D364" s="8" t="n"/>
      <c r="E364" s="11" t="n"/>
      <c r="F364" s="11" t="n"/>
      <c r="G364" s="8" t="n"/>
      <c r="H364" s="8" t="n"/>
      <c r="I364" s="8" t="n"/>
      <c r="J364" s="8" t="n"/>
      <c r="K364" s="12">
        <f>IF(OR(ISERROR(VLOOKUP(C364, Resultados_Reales!$A$4:$I$107, 5, FALSE)), ISERROR(VLOOKUP(C364, Resultados_Reales!$A$4:$I$107, 6, FALSE)), VLOOKUP(C364, Resultados_Reales!$A$4:$I$107, 5, FALSE)="", VLOOKUP(C364, Resultados_Reales!$A$4:$I$107, 6, FALSE)=""), 0, IF(AND(VLOOKUP(C364, Resultados_Reales!$A$4:$I$107, 5, FALSE)=G364, VLOOKUP(C364, Resultados_Reales!$A$4:$I$107, 6, FALSE)=H364), Configuracion!$B$5, IF(SIGN(VLOOKUP(C364, Resultados_Reales!$A$4:$I$107, 5, FALSE)-VLOOKUP(C364, Resultados_Reales!$A$4:$I$107, 6, FALSE)) = SIGN(G364-H364), Configuracion!$B$4, 0)))</f>
        <v/>
      </c>
      <c r="L364" s="11" t="n"/>
      <c r="M364" s="11" t="n"/>
      <c r="N364" s="11" t="n"/>
      <c r="O364" s="11" t="n"/>
      <c r="P364" s="11" t="n"/>
      <c r="Q364" s="11" t="n"/>
    </row>
    <row r="365">
      <c r="A365" s="8">
        <f>B365&amp;"_"&amp;C365</f>
        <v/>
      </c>
      <c r="B365" s="8" t="n"/>
      <c r="C365" s="8" t="n"/>
      <c r="D365" s="8" t="n"/>
      <c r="E365" s="11" t="n"/>
      <c r="F365" s="11" t="n"/>
      <c r="G365" s="8" t="n"/>
      <c r="H365" s="8" t="n"/>
      <c r="I365" s="8" t="n"/>
      <c r="J365" s="8" t="n"/>
      <c r="K365" s="12">
        <f>IF(OR(ISERROR(VLOOKUP(C365, Resultados_Reales!$A$4:$I$107, 5, FALSE)), ISERROR(VLOOKUP(C365, Resultados_Reales!$A$4:$I$107, 6, FALSE)), VLOOKUP(C365, Resultados_Reales!$A$4:$I$107, 5, FALSE)="", VLOOKUP(C365, Resultados_Reales!$A$4:$I$107, 6, FALSE)=""), 0, IF(AND(VLOOKUP(C365, Resultados_Reales!$A$4:$I$107, 5, FALSE)=G365, VLOOKUP(C365, Resultados_Reales!$A$4:$I$107, 6, FALSE)=H365), Configuracion!$B$5, IF(SIGN(VLOOKUP(C365, Resultados_Reales!$A$4:$I$107, 5, FALSE)-VLOOKUP(C365, Resultados_Reales!$A$4:$I$107, 6, FALSE)) = SIGN(G365-H365), Configuracion!$B$4, 0)))</f>
        <v/>
      </c>
      <c r="L365" s="11" t="n"/>
      <c r="M365" s="11" t="n"/>
      <c r="N365" s="11" t="n"/>
      <c r="O365" s="11" t="n"/>
      <c r="P365" s="11" t="n"/>
      <c r="Q365" s="11" t="n"/>
    </row>
    <row r="366">
      <c r="A366" s="8">
        <f>B366&amp;"_"&amp;C366</f>
        <v/>
      </c>
      <c r="B366" s="8" t="n"/>
      <c r="C366" s="8" t="n"/>
      <c r="D366" s="8" t="n"/>
      <c r="E366" s="11" t="n"/>
      <c r="F366" s="11" t="n"/>
      <c r="G366" s="8" t="n"/>
      <c r="H366" s="8" t="n"/>
      <c r="I366" s="8" t="n"/>
      <c r="J366" s="8" t="n"/>
      <c r="K366" s="12">
        <f>IF(OR(ISERROR(VLOOKUP(C366, Resultados_Reales!$A$4:$I$107, 5, FALSE)), ISERROR(VLOOKUP(C366, Resultados_Reales!$A$4:$I$107, 6, FALSE)), VLOOKUP(C366, Resultados_Reales!$A$4:$I$107, 5, FALSE)="", VLOOKUP(C366, Resultados_Reales!$A$4:$I$107, 6, FALSE)=""), 0, IF(AND(VLOOKUP(C366, Resultados_Reales!$A$4:$I$107, 5, FALSE)=G366, VLOOKUP(C366, Resultados_Reales!$A$4:$I$107, 6, FALSE)=H366), Configuracion!$B$5, IF(SIGN(VLOOKUP(C366, Resultados_Reales!$A$4:$I$107, 5, FALSE)-VLOOKUP(C366, Resultados_Reales!$A$4:$I$107, 6, FALSE)) = SIGN(G366-H366), Configuracion!$B$4, 0)))</f>
        <v/>
      </c>
      <c r="L366" s="11" t="n"/>
      <c r="M366" s="11" t="n"/>
      <c r="N366" s="11" t="n"/>
      <c r="O366" s="11" t="n"/>
      <c r="P366" s="11" t="n"/>
      <c r="Q366" s="11" t="n"/>
    </row>
    <row r="367">
      <c r="A367" s="8">
        <f>B367&amp;"_"&amp;C367</f>
        <v/>
      </c>
      <c r="B367" s="8" t="n"/>
      <c r="C367" s="8" t="n"/>
      <c r="D367" s="8" t="n"/>
      <c r="E367" s="11" t="n"/>
      <c r="F367" s="11" t="n"/>
      <c r="G367" s="8" t="n"/>
      <c r="H367" s="8" t="n"/>
      <c r="I367" s="8" t="n"/>
      <c r="J367" s="8" t="n"/>
      <c r="K367" s="12">
        <f>IF(OR(ISERROR(VLOOKUP(C367, Resultados_Reales!$A$4:$I$107, 5, FALSE)), ISERROR(VLOOKUP(C367, Resultados_Reales!$A$4:$I$107, 6, FALSE)), VLOOKUP(C367, Resultados_Reales!$A$4:$I$107, 5, FALSE)="", VLOOKUP(C367, Resultados_Reales!$A$4:$I$107, 6, FALSE)=""), 0, IF(AND(VLOOKUP(C367, Resultados_Reales!$A$4:$I$107, 5, FALSE)=G367, VLOOKUP(C367, Resultados_Reales!$A$4:$I$107, 6, FALSE)=H367), Configuracion!$B$5, IF(SIGN(VLOOKUP(C367, Resultados_Reales!$A$4:$I$107, 5, FALSE)-VLOOKUP(C367, Resultados_Reales!$A$4:$I$107, 6, FALSE)) = SIGN(G367-H367), Configuracion!$B$4, 0)))</f>
        <v/>
      </c>
      <c r="L367" s="11" t="n"/>
      <c r="M367" s="11" t="n"/>
      <c r="N367" s="11" t="n"/>
      <c r="O367" s="11" t="n"/>
      <c r="P367" s="11" t="n"/>
      <c r="Q367" s="11" t="n"/>
    </row>
    <row r="368">
      <c r="A368" s="8">
        <f>B368&amp;"_"&amp;C368</f>
        <v/>
      </c>
      <c r="B368" s="8" t="n"/>
      <c r="C368" s="8" t="n"/>
      <c r="D368" s="8" t="n"/>
      <c r="E368" s="11" t="n"/>
      <c r="F368" s="11" t="n"/>
      <c r="G368" s="8" t="n"/>
      <c r="H368" s="8" t="n"/>
      <c r="I368" s="8" t="n"/>
      <c r="J368" s="8" t="n"/>
      <c r="K368" s="12">
        <f>IF(OR(ISERROR(VLOOKUP(C368, Resultados_Reales!$A$4:$I$107, 5, FALSE)), ISERROR(VLOOKUP(C368, Resultados_Reales!$A$4:$I$107, 6, FALSE)), VLOOKUP(C368, Resultados_Reales!$A$4:$I$107, 5, FALSE)="", VLOOKUP(C368, Resultados_Reales!$A$4:$I$107, 6, FALSE)=""), 0, IF(AND(VLOOKUP(C368, Resultados_Reales!$A$4:$I$107, 5, FALSE)=G368, VLOOKUP(C368, Resultados_Reales!$A$4:$I$107, 6, FALSE)=H368), Configuracion!$B$5, IF(SIGN(VLOOKUP(C368, Resultados_Reales!$A$4:$I$107, 5, FALSE)-VLOOKUP(C368, Resultados_Reales!$A$4:$I$107, 6, FALSE)) = SIGN(G368-H368), Configuracion!$B$4, 0)))</f>
        <v/>
      </c>
      <c r="L368" s="11" t="n"/>
      <c r="M368" s="11" t="n"/>
      <c r="N368" s="11" t="n"/>
      <c r="O368" s="11" t="n"/>
      <c r="P368" s="11" t="n"/>
      <c r="Q368" s="11" t="n"/>
    </row>
    <row r="369">
      <c r="A369" s="8">
        <f>B369&amp;"_"&amp;C369</f>
        <v/>
      </c>
      <c r="B369" s="8" t="n"/>
      <c r="C369" s="8" t="n"/>
      <c r="D369" s="8" t="n"/>
      <c r="E369" s="11" t="n"/>
      <c r="F369" s="11" t="n"/>
      <c r="G369" s="8" t="n"/>
      <c r="H369" s="8" t="n"/>
      <c r="I369" s="8" t="n"/>
      <c r="J369" s="8" t="n"/>
      <c r="K369" s="12">
        <f>IF(OR(ISERROR(VLOOKUP(C369, Resultados_Reales!$A$4:$I$107, 5, FALSE)), ISERROR(VLOOKUP(C369, Resultados_Reales!$A$4:$I$107, 6, FALSE)), VLOOKUP(C369, Resultados_Reales!$A$4:$I$107, 5, FALSE)="", VLOOKUP(C369, Resultados_Reales!$A$4:$I$107, 6, FALSE)=""), 0, IF(AND(VLOOKUP(C369, Resultados_Reales!$A$4:$I$107, 5, FALSE)=G369, VLOOKUP(C369, Resultados_Reales!$A$4:$I$107, 6, FALSE)=H369), Configuracion!$B$5, IF(SIGN(VLOOKUP(C369, Resultados_Reales!$A$4:$I$107, 5, FALSE)-VLOOKUP(C369, Resultados_Reales!$A$4:$I$107, 6, FALSE)) = SIGN(G369-H369), Configuracion!$B$4, 0)))</f>
        <v/>
      </c>
      <c r="L369" s="11" t="n"/>
      <c r="M369" s="11" t="n"/>
      <c r="N369" s="11" t="n"/>
      <c r="O369" s="11" t="n"/>
      <c r="P369" s="11" t="n"/>
      <c r="Q369" s="11" t="n"/>
    </row>
    <row r="370">
      <c r="A370" s="8">
        <f>B370&amp;"_"&amp;C370</f>
        <v/>
      </c>
      <c r="B370" s="8" t="n"/>
      <c r="C370" s="8" t="n"/>
      <c r="D370" s="8" t="n"/>
      <c r="E370" s="11" t="n"/>
      <c r="F370" s="11" t="n"/>
      <c r="G370" s="8" t="n"/>
      <c r="H370" s="8" t="n"/>
      <c r="I370" s="8" t="n"/>
      <c r="J370" s="8" t="n"/>
      <c r="K370" s="12">
        <f>IF(OR(ISERROR(VLOOKUP(C370, Resultados_Reales!$A$4:$I$107, 5, FALSE)), ISERROR(VLOOKUP(C370, Resultados_Reales!$A$4:$I$107, 6, FALSE)), VLOOKUP(C370, Resultados_Reales!$A$4:$I$107, 5, FALSE)="", VLOOKUP(C370, Resultados_Reales!$A$4:$I$107, 6, FALSE)=""), 0, IF(AND(VLOOKUP(C370, Resultados_Reales!$A$4:$I$107, 5, FALSE)=G370, VLOOKUP(C370, Resultados_Reales!$A$4:$I$107, 6, FALSE)=H370), Configuracion!$B$5, IF(SIGN(VLOOKUP(C370, Resultados_Reales!$A$4:$I$107, 5, FALSE)-VLOOKUP(C370, Resultados_Reales!$A$4:$I$107, 6, FALSE)) = SIGN(G370-H370), Configuracion!$B$4, 0)))</f>
        <v/>
      </c>
      <c r="L370" s="11" t="n"/>
      <c r="M370" s="11" t="n"/>
      <c r="N370" s="11" t="n"/>
      <c r="O370" s="11" t="n"/>
      <c r="P370" s="11" t="n"/>
      <c r="Q370" s="11" t="n"/>
    </row>
    <row r="371">
      <c r="A371" s="8">
        <f>B371&amp;"_"&amp;C371</f>
        <v/>
      </c>
      <c r="B371" s="8" t="n"/>
      <c r="C371" s="8" t="n"/>
      <c r="D371" s="8" t="n"/>
      <c r="E371" s="11" t="n"/>
      <c r="F371" s="11" t="n"/>
      <c r="G371" s="8" t="n"/>
      <c r="H371" s="8" t="n"/>
      <c r="I371" s="8" t="n"/>
      <c r="J371" s="8" t="n"/>
      <c r="K371" s="12">
        <f>IF(OR(ISERROR(VLOOKUP(C371, Resultados_Reales!$A$4:$I$107, 5, FALSE)), ISERROR(VLOOKUP(C371, Resultados_Reales!$A$4:$I$107, 6, FALSE)), VLOOKUP(C371, Resultados_Reales!$A$4:$I$107, 5, FALSE)="", VLOOKUP(C371, Resultados_Reales!$A$4:$I$107, 6, FALSE)=""), 0, IF(AND(VLOOKUP(C371, Resultados_Reales!$A$4:$I$107, 5, FALSE)=G371, VLOOKUP(C371, Resultados_Reales!$A$4:$I$107, 6, FALSE)=H371), Configuracion!$B$5, IF(SIGN(VLOOKUP(C371, Resultados_Reales!$A$4:$I$107, 5, FALSE)-VLOOKUP(C371, Resultados_Reales!$A$4:$I$107, 6, FALSE)) = SIGN(G371-H371), Configuracion!$B$4, 0)))</f>
        <v/>
      </c>
      <c r="L371" s="11" t="n"/>
      <c r="M371" s="11" t="n"/>
      <c r="N371" s="11" t="n"/>
      <c r="O371" s="11" t="n"/>
      <c r="P371" s="11" t="n"/>
      <c r="Q371" s="11" t="n"/>
    </row>
    <row r="372">
      <c r="A372" s="8">
        <f>B372&amp;"_"&amp;C372</f>
        <v/>
      </c>
      <c r="B372" s="8" t="n"/>
      <c r="C372" s="8" t="n"/>
      <c r="D372" s="8" t="n"/>
      <c r="E372" s="11" t="n"/>
      <c r="F372" s="11" t="n"/>
      <c r="G372" s="8" t="n"/>
      <c r="H372" s="8" t="n"/>
      <c r="I372" s="8" t="n"/>
      <c r="J372" s="8" t="n"/>
      <c r="K372" s="12">
        <f>IF(OR(ISERROR(VLOOKUP(C372, Resultados_Reales!$A$4:$I$107, 5, FALSE)), ISERROR(VLOOKUP(C372, Resultados_Reales!$A$4:$I$107, 6, FALSE)), VLOOKUP(C372, Resultados_Reales!$A$4:$I$107, 5, FALSE)="", VLOOKUP(C372, Resultados_Reales!$A$4:$I$107, 6, FALSE)=""), 0, IF(AND(VLOOKUP(C372, Resultados_Reales!$A$4:$I$107, 5, FALSE)=G372, VLOOKUP(C372, Resultados_Reales!$A$4:$I$107, 6, FALSE)=H372), Configuracion!$B$5, IF(SIGN(VLOOKUP(C372, Resultados_Reales!$A$4:$I$107, 5, FALSE)-VLOOKUP(C372, Resultados_Reales!$A$4:$I$107, 6, FALSE)) = SIGN(G372-H372), Configuracion!$B$4, 0)))</f>
        <v/>
      </c>
      <c r="L372" s="11" t="n"/>
      <c r="M372" s="11" t="n"/>
      <c r="N372" s="11" t="n"/>
      <c r="O372" s="11" t="n"/>
      <c r="P372" s="11" t="n"/>
      <c r="Q372" s="11" t="n"/>
    </row>
    <row r="373">
      <c r="A373" s="8">
        <f>B373&amp;"_"&amp;C373</f>
        <v/>
      </c>
      <c r="B373" s="8" t="n"/>
      <c r="C373" s="8" t="n"/>
      <c r="D373" s="8" t="n"/>
      <c r="E373" s="11" t="n"/>
      <c r="F373" s="11" t="n"/>
      <c r="G373" s="8" t="n"/>
      <c r="H373" s="8" t="n"/>
      <c r="I373" s="8" t="n"/>
      <c r="J373" s="8" t="n"/>
      <c r="K373" s="12">
        <f>IF(OR(ISERROR(VLOOKUP(C373, Resultados_Reales!$A$4:$I$107, 5, FALSE)), ISERROR(VLOOKUP(C373, Resultados_Reales!$A$4:$I$107, 6, FALSE)), VLOOKUP(C373, Resultados_Reales!$A$4:$I$107, 5, FALSE)="", VLOOKUP(C373, Resultados_Reales!$A$4:$I$107, 6, FALSE)=""), 0, IF(AND(VLOOKUP(C373, Resultados_Reales!$A$4:$I$107, 5, FALSE)=G373, VLOOKUP(C373, Resultados_Reales!$A$4:$I$107, 6, FALSE)=H373), Configuracion!$B$5, IF(SIGN(VLOOKUP(C373, Resultados_Reales!$A$4:$I$107, 5, FALSE)-VLOOKUP(C373, Resultados_Reales!$A$4:$I$107, 6, FALSE)) = SIGN(G373-H373), Configuracion!$B$4, 0)))</f>
        <v/>
      </c>
      <c r="L373" s="11" t="n"/>
      <c r="M373" s="11" t="n"/>
      <c r="N373" s="11" t="n"/>
      <c r="O373" s="11" t="n"/>
      <c r="P373" s="11" t="n"/>
      <c r="Q373" s="11" t="n"/>
    </row>
    <row r="374">
      <c r="A374" s="8">
        <f>B374&amp;"_"&amp;C374</f>
        <v/>
      </c>
      <c r="B374" s="8" t="n"/>
      <c r="C374" s="8" t="n"/>
      <c r="D374" s="8" t="n"/>
      <c r="E374" s="11" t="n"/>
      <c r="F374" s="11" t="n"/>
      <c r="G374" s="8" t="n"/>
      <c r="H374" s="8" t="n"/>
      <c r="I374" s="8" t="n"/>
      <c r="J374" s="8" t="n"/>
      <c r="K374" s="12">
        <f>IF(OR(ISERROR(VLOOKUP(C374, Resultados_Reales!$A$4:$I$107, 5, FALSE)), ISERROR(VLOOKUP(C374, Resultados_Reales!$A$4:$I$107, 6, FALSE)), VLOOKUP(C374, Resultados_Reales!$A$4:$I$107, 5, FALSE)="", VLOOKUP(C374, Resultados_Reales!$A$4:$I$107, 6, FALSE)=""), 0, IF(AND(VLOOKUP(C374, Resultados_Reales!$A$4:$I$107, 5, FALSE)=G374, VLOOKUP(C374, Resultados_Reales!$A$4:$I$107, 6, FALSE)=H374), Configuracion!$B$5, IF(SIGN(VLOOKUP(C374, Resultados_Reales!$A$4:$I$107, 5, FALSE)-VLOOKUP(C374, Resultados_Reales!$A$4:$I$107, 6, FALSE)) = SIGN(G374-H374), Configuracion!$B$4, 0)))</f>
        <v/>
      </c>
      <c r="L374" s="11" t="n"/>
      <c r="M374" s="11" t="n"/>
      <c r="N374" s="11" t="n"/>
      <c r="O374" s="11" t="n"/>
      <c r="P374" s="11" t="n"/>
      <c r="Q374" s="11" t="n"/>
    </row>
    <row r="375">
      <c r="A375" s="8">
        <f>B375&amp;"_"&amp;C375</f>
        <v/>
      </c>
      <c r="B375" s="8" t="n"/>
      <c r="C375" s="8" t="n"/>
      <c r="D375" s="8" t="n"/>
      <c r="E375" s="11" t="n"/>
      <c r="F375" s="11" t="n"/>
      <c r="G375" s="8" t="n"/>
      <c r="H375" s="8" t="n"/>
      <c r="I375" s="8" t="n"/>
      <c r="J375" s="8" t="n"/>
      <c r="K375" s="12">
        <f>IF(OR(ISERROR(VLOOKUP(C375, Resultados_Reales!$A$4:$I$107, 5, FALSE)), ISERROR(VLOOKUP(C375, Resultados_Reales!$A$4:$I$107, 6, FALSE)), VLOOKUP(C375, Resultados_Reales!$A$4:$I$107, 5, FALSE)="", VLOOKUP(C375, Resultados_Reales!$A$4:$I$107, 6, FALSE)=""), 0, IF(AND(VLOOKUP(C375, Resultados_Reales!$A$4:$I$107, 5, FALSE)=G375, VLOOKUP(C375, Resultados_Reales!$A$4:$I$107, 6, FALSE)=H375), Configuracion!$B$5, IF(SIGN(VLOOKUP(C375, Resultados_Reales!$A$4:$I$107, 5, FALSE)-VLOOKUP(C375, Resultados_Reales!$A$4:$I$107, 6, FALSE)) = SIGN(G375-H375), Configuracion!$B$4, 0)))</f>
        <v/>
      </c>
      <c r="L375" s="11" t="n"/>
      <c r="M375" s="11" t="n"/>
      <c r="N375" s="11" t="n"/>
      <c r="O375" s="11" t="n"/>
      <c r="P375" s="11" t="n"/>
      <c r="Q375" s="11" t="n"/>
    </row>
    <row r="376">
      <c r="A376" s="8">
        <f>B376&amp;"_"&amp;C376</f>
        <v/>
      </c>
      <c r="B376" s="8" t="n"/>
      <c r="C376" s="8" t="n"/>
      <c r="D376" s="8" t="n"/>
      <c r="E376" s="11" t="n"/>
      <c r="F376" s="11" t="n"/>
      <c r="G376" s="8" t="n"/>
      <c r="H376" s="8" t="n"/>
      <c r="I376" s="8" t="n"/>
      <c r="J376" s="8" t="n"/>
      <c r="K376" s="12">
        <f>IF(OR(ISERROR(VLOOKUP(C376, Resultados_Reales!$A$4:$I$107, 5, FALSE)), ISERROR(VLOOKUP(C376, Resultados_Reales!$A$4:$I$107, 6, FALSE)), VLOOKUP(C376, Resultados_Reales!$A$4:$I$107, 5, FALSE)="", VLOOKUP(C376, Resultados_Reales!$A$4:$I$107, 6, FALSE)=""), 0, IF(AND(VLOOKUP(C376, Resultados_Reales!$A$4:$I$107, 5, FALSE)=G376, VLOOKUP(C376, Resultados_Reales!$A$4:$I$107, 6, FALSE)=H376), Configuracion!$B$5, IF(SIGN(VLOOKUP(C376, Resultados_Reales!$A$4:$I$107, 5, FALSE)-VLOOKUP(C376, Resultados_Reales!$A$4:$I$107, 6, FALSE)) = SIGN(G376-H376), Configuracion!$B$4, 0)))</f>
        <v/>
      </c>
      <c r="L376" s="11" t="n"/>
      <c r="M376" s="11" t="n"/>
      <c r="N376" s="11" t="n"/>
      <c r="O376" s="11" t="n"/>
      <c r="P376" s="11" t="n"/>
      <c r="Q376" s="11" t="n"/>
    </row>
    <row r="377">
      <c r="A377" s="8">
        <f>B377&amp;"_"&amp;C377</f>
        <v/>
      </c>
      <c r="B377" s="8" t="n"/>
      <c r="C377" s="8" t="n"/>
      <c r="D377" s="8" t="n"/>
      <c r="E377" s="11" t="n"/>
      <c r="F377" s="11" t="n"/>
      <c r="G377" s="8" t="n"/>
      <c r="H377" s="8" t="n"/>
      <c r="I377" s="8" t="n"/>
      <c r="J377" s="8" t="n"/>
      <c r="K377" s="12">
        <f>IF(OR(ISERROR(VLOOKUP(C377, Resultados_Reales!$A$4:$I$107, 5, FALSE)), ISERROR(VLOOKUP(C377, Resultados_Reales!$A$4:$I$107, 6, FALSE)), VLOOKUP(C377, Resultados_Reales!$A$4:$I$107, 5, FALSE)="", VLOOKUP(C377, Resultados_Reales!$A$4:$I$107, 6, FALSE)=""), 0, IF(AND(VLOOKUP(C377, Resultados_Reales!$A$4:$I$107, 5, FALSE)=G377, VLOOKUP(C377, Resultados_Reales!$A$4:$I$107, 6, FALSE)=H377), Configuracion!$B$5, IF(SIGN(VLOOKUP(C377, Resultados_Reales!$A$4:$I$107, 5, FALSE)-VLOOKUP(C377, Resultados_Reales!$A$4:$I$107, 6, FALSE)) = SIGN(G377-H377), Configuracion!$B$4, 0)))</f>
        <v/>
      </c>
      <c r="L377" s="11" t="n"/>
      <c r="M377" s="11" t="n"/>
      <c r="N377" s="11" t="n"/>
      <c r="O377" s="11" t="n"/>
      <c r="P377" s="11" t="n"/>
      <c r="Q377" s="11" t="n"/>
    </row>
    <row r="378">
      <c r="A378" s="8">
        <f>B378&amp;"_"&amp;C378</f>
        <v/>
      </c>
      <c r="B378" s="8" t="n"/>
      <c r="C378" s="8" t="n"/>
      <c r="D378" s="8" t="n"/>
      <c r="E378" s="11" t="n"/>
      <c r="F378" s="11" t="n"/>
      <c r="G378" s="8" t="n"/>
      <c r="H378" s="8" t="n"/>
      <c r="I378" s="8" t="n"/>
      <c r="J378" s="8" t="n"/>
      <c r="K378" s="12">
        <f>IF(OR(ISERROR(VLOOKUP(C378, Resultados_Reales!$A$4:$I$107, 5, FALSE)), ISERROR(VLOOKUP(C378, Resultados_Reales!$A$4:$I$107, 6, FALSE)), VLOOKUP(C378, Resultados_Reales!$A$4:$I$107, 5, FALSE)="", VLOOKUP(C378, Resultados_Reales!$A$4:$I$107, 6, FALSE)=""), 0, IF(AND(VLOOKUP(C378, Resultados_Reales!$A$4:$I$107, 5, FALSE)=G378, VLOOKUP(C378, Resultados_Reales!$A$4:$I$107, 6, FALSE)=H378), Configuracion!$B$5, IF(SIGN(VLOOKUP(C378, Resultados_Reales!$A$4:$I$107, 5, FALSE)-VLOOKUP(C378, Resultados_Reales!$A$4:$I$107, 6, FALSE)) = SIGN(G378-H378), Configuracion!$B$4, 0)))</f>
        <v/>
      </c>
      <c r="L378" s="11" t="n"/>
      <c r="M378" s="11" t="n"/>
      <c r="N378" s="11" t="n"/>
      <c r="O378" s="11" t="n"/>
      <c r="P378" s="11" t="n"/>
      <c r="Q378" s="11" t="n"/>
    </row>
    <row r="379">
      <c r="A379" s="8">
        <f>B379&amp;"_"&amp;C379</f>
        <v/>
      </c>
      <c r="B379" s="8" t="n"/>
      <c r="C379" s="8" t="n"/>
      <c r="D379" s="8" t="n"/>
      <c r="E379" s="11" t="n"/>
      <c r="F379" s="11" t="n"/>
      <c r="G379" s="8" t="n"/>
      <c r="H379" s="8" t="n"/>
      <c r="I379" s="8" t="n"/>
      <c r="J379" s="8" t="n"/>
      <c r="K379" s="12">
        <f>IF(OR(ISERROR(VLOOKUP(C379, Resultados_Reales!$A$4:$I$107, 5, FALSE)), ISERROR(VLOOKUP(C379, Resultados_Reales!$A$4:$I$107, 6, FALSE)), VLOOKUP(C379, Resultados_Reales!$A$4:$I$107, 5, FALSE)="", VLOOKUP(C379, Resultados_Reales!$A$4:$I$107, 6, FALSE)=""), 0, IF(AND(VLOOKUP(C379, Resultados_Reales!$A$4:$I$107, 5, FALSE)=G379, VLOOKUP(C379, Resultados_Reales!$A$4:$I$107, 6, FALSE)=H379), Configuracion!$B$5, IF(SIGN(VLOOKUP(C379, Resultados_Reales!$A$4:$I$107, 5, FALSE)-VLOOKUP(C379, Resultados_Reales!$A$4:$I$107, 6, FALSE)) = SIGN(G379-H379), Configuracion!$B$4, 0)))</f>
        <v/>
      </c>
      <c r="L379" s="11" t="n"/>
      <c r="M379" s="11" t="n"/>
      <c r="N379" s="11" t="n"/>
      <c r="O379" s="11" t="n"/>
      <c r="P379" s="11" t="n"/>
      <c r="Q379" s="11" t="n"/>
    </row>
    <row r="380">
      <c r="A380" s="8">
        <f>B380&amp;"_"&amp;C380</f>
        <v/>
      </c>
      <c r="B380" s="8" t="n"/>
      <c r="C380" s="8" t="n"/>
      <c r="D380" s="8" t="n"/>
      <c r="E380" s="11" t="n"/>
      <c r="F380" s="11" t="n"/>
      <c r="G380" s="8" t="n"/>
      <c r="H380" s="8" t="n"/>
      <c r="I380" s="8" t="n"/>
      <c r="J380" s="8" t="n"/>
      <c r="K380" s="12">
        <f>IF(OR(ISERROR(VLOOKUP(C380, Resultados_Reales!$A$4:$I$107, 5, FALSE)), ISERROR(VLOOKUP(C380, Resultados_Reales!$A$4:$I$107, 6, FALSE)), VLOOKUP(C380, Resultados_Reales!$A$4:$I$107, 5, FALSE)="", VLOOKUP(C380, Resultados_Reales!$A$4:$I$107, 6, FALSE)=""), 0, IF(AND(VLOOKUP(C380, Resultados_Reales!$A$4:$I$107, 5, FALSE)=G380, VLOOKUP(C380, Resultados_Reales!$A$4:$I$107, 6, FALSE)=H380), Configuracion!$B$5, IF(SIGN(VLOOKUP(C380, Resultados_Reales!$A$4:$I$107, 5, FALSE)-VLOOKUP(C380, Resultados_Reales!$A$4:$I$107, 6, FALSE)) = SIGN(G380-H380), Configuracion!$B$4, 0)))</f>
        <v/>
      </c>
      <c r="L380" s="11" t="n"/>
      <c r="M380" s="11" t="n"/>
      <c r="N380" s="11" t="n"/>
      <c r="O380" s="11" t="n"/>
      <c r="P380" s="11" t="n"/>
      <c r="Q380" s="11" t="n"/>
    </row>
    <row r="381">
      <c r="A381" s="8">
        <f>B381&amp;"_"&amp;C381</f>
        <v/>
      </c>
      <c r="B381" s="8" t="n"/>
      <c r="C381" s="8" t="n"/>
      <c r="D381" s="8" t="n"/>
      <c r="E381" s="11" t="n"/>
      <c r="F381" s="11" t="n"/>
      <c r="G381" s="8" t="n"/>
      <c r="H381" s="8" t="n"/>
      <c r="I381" s="8" t="n"/>
      <c r="J381" s="8" t="n"/>
      <c r="K381" s="12">
        <f>IF(OR(ISERROR(VLOOKUP(C381, Resultados_Reales!$A$4:$I$107, 5, FALSE)), ISERROR(VLOOKUP(C381, Resultados_Reales!$A$4:$I$107, 6, FALSE)), VLOOKUP(C381, Resultados_Reales!$A$4:$I$107, 5, FALSE)="", VLOOKUP(C381, Resultados_Reales!$A$4:$I$107, 6, FALSE)=""), 0, IF(AND(VLOOKUP(C381, Resultados_Reales!$A$4:$I$107, 5, FALSE)=G381, VLOOKUP(C381, Resultados_Reales!$A$4:$I$107, 6, FALSE)=H381), Configuracion!$B$5, IF(SIGN(VLOOKUP(C381, Resultados_Reales!$A$4:$I$107, 5, FALSE)-VLOOKUP(C381, Resultados_Reales!$A$4:$I$107, 6, FALSE)) = SIGN(G381-H381), Configuracion!$B$4, 0)))</f>
        <v/>
      </c>
      <c r="L381" s="11" t="n"/>
      <c r="M381" s="11" t="n"/>
      <c r="N381" s="11" t="n"/>
      <c r="O381" s="11" t="n"/>
      <c r="P381" s="11" t="n"/>
      <c r="Q381" s="11" t="n"/>
    </row>
    <row r="382">
      <c r="A382" s="8">
        <f>B382&amp;"_"&amp;C382</f>
        <v/>
      </c>
      <c r="B382" s="8" t="n"/>
      <c r="C382" s="8" t="n"/>
      <c r="D382" s="8" t="n"/>
      <c r="E382" s="11" t="n"/>
      <c r="F382" s="11" t="n"/>
      <c r="G382" s="8" t="n"/>
      <c r="H382" s="8" t="n"/>
      <c r="I382" s="8" t="n"/>
      <c r="J382" s="8" t="n"/>
      <c r="K382" s="12">
        <f>IF(OR(ISERROR(VLOOKUP(C382, Resultados_Reales!$A$4:$I$107, 5, FALSE)), ISERROR(VLOOKUP(C382, Resultados_Reales!$A$4:$I$107, 6, FALSE)), VLOOKUP(C382, Resultados_Reales!$A$4:$I$107, 5, FALSE)="", VLOOKUP(C382, Resultados_Reales!$A$4:$I$107, 6, FALSE)=""), 0, IF(AND(VLOOKUP(C382, Resultados_Reales!$A$4:$I$107, 5, FALSE)=G382, VLOOKUP(C382, Resultados_Reales!$A$4:$I$107, 6, FALSE)=H382), Configuracion!$B$5, IF(SIGN(VLOOKUP(C382, Resultados_Reales!$A$4:$I$107, 5, FALSE)-VLOOKUP(C382, Resultados_Reales!$A$4:$I$107, 6, FALSE)) = SIGN(G382-H382), Configuracion!$B$4, 0)))</f>
        <v/>
      </c>
      <c r="L382" s="11" t="n"/>
      <c r="M382" s="11" t="n"/>
      <c r="N382" s="11" t="n"/>
      <c r="O382" s="11" t="n"/>
      <c r="P382" s="11" t="n"/>
      <c r="Q382" s="11" t="n"/>
    </row>
    <row r="383">
      <c r="A383" s="8">
        <f>B383&amp;"_"&amp;C383</f>
        <v/>
      </c>
      <c r="B383" s="8" t="n"/>
      <c r="C383" s="8" t="n"/>
      <c r="D383" s="8" t="n"/>
      <c r="E383" s="11" t="n"/>
      <c r="F383" s="11" t="n"/>
      <c r="G383" s="8" t="n"/>
      <c r="H383" s="8" t="n"/>
      <c r="I383" s="8" t="n"/>
      <c r="J383" s="8" t="n"/>
      <c r="K383" s="12">
        <f>IF(OR(ISERROR(VLOOKUP(C383, Resultados_Reales!$A$4:$I$107, 5, FALSE)), ISERROR(VLOOKUP(C383, Resultados_Reales!$A$4:$I$107, 6, FALSE)), VLOOKUP(C383, Resultados_Reales!$A$4:$I$107, 5, FALSE)="", VLOOKUP(C383, Resultados_Reales!$A$4:$I$107, 6, FALSE)=""), 0, IF(AND(VLOOKUP(C383, Resultados_Reales!$A$4:$I$107, 5, FALSE)=G383, VLOOKUP(C383, Resultados_Reales!$A$4:$I$107, 6, FALSE)=H383), Configuracion!$B$5, IF(SIGN(VLOOKUP(C383, Resultados_Reales!$A$4:$I$107, 5, FALSE)-VLOOKUP(C383, Resultados_Reales!$A$4:$I$107, 6, FALSE)) = SIGN(G383-H383), Configuracion!$B$4, 0)))</f>
        <v/>
      </c>
      <c r="L383" s="11" t="n"/>
      <c r="M383" s="11" t="n"/>
      <c r="N383" s="11" t="n"/>
      <c r="O383" s="11" t="n"/>
      <c r="P383" s="11" t="n"/>
      <c r="Q383" s="11" t="n"/>
    </row>
    <row r="384">
      <c r="A384" s="8">
        <f>B384&amp;"_"&amp;C384</f>
        <v/>
      </c>
      <c r="B384" s="8" t="n"/>
      <c r="C384" s="8" t="n"/>
      <c r="D384" s="8" t="n"/>
      <c r="E384" s="11" t="n"/>
      <c r="F384" s="11" t="n"/>
      <c r="G384" s="8" t="n"/>
      <c r="H384" s="8" t="n"/>
      <c r="I384" s="8" t="n"/>
      <c r="J384" s="8" t="n"/>
      <c r="K384" s="12">
        <f>IF(OR(ISERROR(VLOOKUP(C384, Resultados_Reales!$A$4:$I$107, 5, FALSE)), ISERROR(VLOOKUP(C384, Resultados_Reales!$A$4:$I$107, 6, FALSE)), VLOOKUP(C384, Resultados_Reales!$A$4:$I$107, 5, FALSE)="", VLOOKUP(C384, Resultados_Reales!$A$4:$I$107, 6, FALSE)=""), 0, IF(AND(VLOOKUP(C384, Resultados_Reales!$A$4:$I$107, 5, FALSE)=G384, VLOOKUP(C384, Resultados_Reales!$A$4:$I$107, 6, FALSE)=H384), Configuracion!$B$5, IF(SIGN(VLOOKUP(C384, Resultados_Reales!$A$4:$I$107, 5, FALSE)-VLOOKUP(C384, Resultados_Reales!$A$4:$I$107, 6, FALSE)) = SIGN(G384-H384), Configuracion!$B$4, 0)))</f>
        <v/>
      </c>
      <c r="L384" s="11" t="n"/>
      <c r="M384" s="11" t="n"/>
      <c r="N384" s="11" t="n"/>
      <c r="O384" s="11" t="n"/>
      <c r="P384" s="11" t="n"/>
      <c r="Q384" s="11" t="n"/>
    </row>
    <row r="385">
      <c r="A385" s="8">
        <f>B385&amp;"_"&amp;C385</f>
        <v/>
      </c>
      <c r="B385" s="8" t="n"/>
      <c r="C385" s="8" t="n"/>
      <c r="D385" s="8" t="n"/>
      <c r="E385" s="11" t="n"/>
      <c r="F385" s="11" t="n"/>
      <c r="G385" s="8" t="n"/>
      <c r="H385" s="8" t="n"/>
      <c r="I385" s="8" t="n"/>
      <c r="J385" s="8" t="n"/>
      <c r="K385" s="12">
        <f>IF(OR(ISERROR(VLOOKUP(C385, Resultados_Reales!$A$4:$I$107, 5, FALSE)), ISERROR(VLOOKUP(C385, Resultados_Reales!$A$4:$I$107, 6, FALSE)), VLOOKUP(C385, Resultados_Reales!$A$4:$I$107, 5, FALSE)="", VLOOKUP(C385, Resultados_Reales!$A$4:$I$107, 6, FALSE)=""), 0, IF(AND(VLOOKUP(C385, Resultados_Reales!$A$4:$I$107, 5, FALSE)=G385, VLOOKUP(C385, Resultados_Reales!$A$4:$I$107, 6, FALSE)=H385), Configuracion!$B$5, IF(SIGN(VLOOKUP(C385, Resultados_Reales!$A$4:$I$107, 5, FALSE)-VLOOKUP(C385, Resultados_Reales!$A$4:$I$107, 6, FALSE)) = SIGN(G385-H385), Configuracion!$B$4, 0)))</f>
        <v/>
      </c>
      <c r="L385" s="11" t="n"/>
      <c r="M385" s="11" t="n"/>
      <c r="N385" s="11" t="n"/>
      <c r="O385" s="11" t="n"/>
      <c r="P385" s="11" t="n"/>
      <c r="Q385" s="11" t="n"/>
    </row>
    <row r="386">
      <c r="A386" s="8">
        <f>B386&amp;"_"&amp;C386</f>
        <v/>
      </c>
      <c r="B386" s="8" t="n"/>
      <c r="C386" s="8" t="n"/>
      <c r="D386" s="8" t="n"/>
      <c r="E386" s="11" t="n"/>
      <c r="F386" s="11" t="n"/>
      <c r="G386" s="8" t="n"/>
      <c r="H386" s="8" t="n"/>
      <c r="I386" s="8" t="n"/>
      <c r="J386" s="8" t="n"/>
      <c r="K386" s="12">
        <f>IF(OR(ISERROR(VLOOKUP(C386, Resultados_Reales!$A$4:$I$107, 5, FALSE)), ISERROR(VLOOKUP(C386, Resultados_Reales!$A$4:$I$107, 6, FALSE)), VLOOKUP(C386, Resultados_Reales!$A$4:$I$107, 5, FALSE)="", VLOOKUP(C386, Resultados_Reales!$A$4:$I$107, 6, FALSE)=""), 0, IF(AND(VLOOKUP(C386, Resultados_Reales!$A$4:$I$107, 5, FALSE)=G386, VLOOKUP(C386, Resultados_Reales!$A$4:$I$107, 6, FALSE)=H386), Configuracion!$B$5, IF(SIGN(VLOOKUP(C386, Resultados_Reales!$A$4:$I$107, 5, FALSE)-VLOOKUP(C386, Resultados_Reales!$A$4:$I$107, 6, FALSE)) = SIGN(G386-H386), Configuracion!$B$4, 0)))</f>
        <v/>
      </c>
      <c r="L386" s="11" t="n"/>
      <c r="M386" s="11" t="n"/>
      <c r="N386" s="11" t="n"/>
      <c r="O386" s="11" t="n"/>
      <c r="P386" s="11" t="n"/>
      <c r="Q386" s="11" t="n"/>
    </row>
    <row r="387">
      <c r="A387" s="8">
        <f>B387&amp;"_"&amp;C387</f>
        <v/>
      </c>
      <c r="B387" s="8" t="n"/>
      <c r="C387" s="8" t="n"/>
      <c r="D387" s="8" t="n"/>
      <c r="E387" s="11" t="n"/>
      <c r="F387" s="11" t="n"/>
      <c r="G387" s="8" t="n"/>
      <c r="H387" s="8" t="n"/>
      <c r="I387" s="8" t="n"/>
      <c r="J387" s="8" t="n"/>
      <c r="K387" s="12">
        <f>IF(OR(ISERROR(VLOOKUP(C387, Resultados_Reales!$A$4:$I$107, 5, FALSE)), ISERROR(VLOOKUP(C387, Resultados_Reales!$A$4:$I$107, 6, FALSE)), VLOOKUP(C387, Resultados_Reales!$A$4:$I$107, 5, FALSE)="", VLOOKUP(C387, Resultados_Reales!$A$4:$I$107, 6, FALSE)=""), 0, IF(AND(VLOOKUP(C387, Resultados_Reales!$A$4:$I$107, 5, FALSE)=G387, VLOOKUP(C387, Resultados_Reales!$A$4:$I$107, 6, FALSE)=H387), Configuracion!$B$5, IF(SIGN(VLOOKUP(C387, Resultados_Reales!$A$4:$I$107, 5, FALSE)-VLOOKUP(C387, Resultados_Reales!$A$4:$I$107, 6, FALSE)) = SIGN(G387-H387), Configuracion!$B$4, 0)))</f>
        <v/>
      </c>
      <c r="L387" s="11" t="n"/>
      <c r="M387" s="11" t="n"/>
      <c r="N387" s="11" t="n"/>
      <c r="O387" s="11" t="n"/>
      <c r="P387" s="11" t="n"/>
      <c r="Q387" s="11" t="n"/>
    </row>
    <row r="388">
      <c r="A388" s="8">
        <f>B388&amp;"_"&amp;C388</f>
        <v/>
      </c>
      <c r="B388" s="8" t="n"/>
      <c r="C388" s="8" t="n"/>
      <c r="D388" s="8" t="n"/>
      <c r="E388" s="11" t="n"/>
      <c r="F388" s="11" t="n"/>
      <c r="G388" s="8" t="n"/>
      <c r="H388" s="8" t="n"/>
      <c r="I388" s="8" t="n"/>
      <c r="J388" s="8" t="n"/>
      <c r="K388" s="12">
        <f>IF(OR(ISERROR(VLOOKUP(C388, Resultados_Reales!$A$4:$I$107, 5, FALSE)), ISERROR(VLOOKUP(C388, Resultados_Reales!$A$4:$I$107, 6, FALSE)), VLOOKUP(C388, Resultados_Reales!$A$4:$I$107, 5, FALSE)="", VLOOKUP(C388, Resultados_Reales!$A$4:$I$107, 6, FALSE)=""), 0, IF(AND(VLOOKUP(C388, Resultados_Reales!$A$4:$I$107, 5, FALSE)=G388, VLOOKUP(C388, Resultados_Reales!$A$4:$I$107, 6, FALSE)=H388), Configuracion!$B$5, IF(SIGN(VLOOKUP(C388, Resultados_Reales!$A$4:$I$107, 5, FALSE)-VLOOKUP(C388, Resultados_Reales!$A$4:$I$107, 6, FALSE)) = SIGN(G388-H388), Configuracion!$B$4, 0)))</f>
        <v/>
      </c>
      <c r="L388" s="11" t="n"/>
      <c r="M388" s="11" t="n"/>
      <c r="N388" s="11" t="n"/>
      <c r="O388" s="11" t="n"/>
      <c r="P388" s="11" t="n"/>
      <c r="Q388" s="11" t="n"/>
    </row>
    <row r="389">
      <c r="A389" s="8">
        <f>B389&amp;"_"&amp;C389</f>
        <v/>
      </c>
      <c r="B389" s="8" t="n"/>
      <c r="C389" s="8" t="n"/>
      <c r="D389" s="8" t="n"/>
      <c r="E389" s="11" t="n"/>
      <c r="F389" s="11" t="n"/>
      <c r="G389" s="8" t="n"/>
      <c r="H389" s="8" t="n"/>
      <c r="I389" s="8" t="n"/>
      <c r="J389" s="8" t="n"/>
      <c r="K389" s="12">
        <f>IF(OR(ISERROR(VLOOKUP(C389, Resultados_Reales!$A$4:$I$107, 5, FALSE)), ISERROR(VLOOKUP(C389, Resultados_Reales!$A$4:$I$107, 6, FALSE)), VLOOKUP(C389, Resultados_Reales!$A$4:$I$107, 5, FALSE)="", VLOOKUP(C389, Resultados_Reales!$A$4:$I$107, 6, FALSE)=""), 0, IF(AND(VLOOKUP(C389, Resultados_Reales!$A$4:$I$107, 5, FALSE)=G389, VLOOKUP(C389, Resultados_Reales!$A$4:$I$107, 6, FALSE)=H389), Configuracion!$B$5, IF(SIGN(VLOOKUP(C389, Resultados_Reales!$A$4:$I$107, 5, FALSE)-VLOOKUP(C389, Resultados_Reales!$A$4:$I$107, 6, FALSE)) = SIGN(G389-H389), Configuracion!$B$4, 0)))</f>
        <v/>
      </c>
      <c r="L389" s="11" t="n"/>
      <c r="M389" s="11" t="n"/>
      <c r="N389" s="11" t="n"/>
      <c r="O389" s="11" t="n"/>
      <c r="P389" s="11" t="n"/>
      <c r="Q389" s="11" t="n"/>
    </row>
    <row r="390">
      <c r="A390" s="8">
        <f>B390&amp;"_"&amp;C390</f>
        <v/>
      </c>
      <c r="B390" s="8" t="n"/>
      <c r="C390" s="8" t="n"/>
      <c r="D390" s="8" t="n"/>
      <c r="E390" s="11" t="n"/>
      <c r="F390" s="11" t="n"/>
      <c r="G390" s="8" t="n"/>
      <c r="H390" s="8" t="n"/>
      <c r="I390" s="8" t="n"/>
      <c r="J390" s="8" t="n"/>
      <c r="K390" s="12">
        <f>IF(OR(ISERROR(VLOOKUP(C390, Resultados_Reales!$A$4:$I$107, 5, FALSE)), ISERROR(VLOOKUP(C390, Resultados_Reales!$A$4:$I$107, 6, FALSE)), VLOOKUP(C390, Resultados_Reales!$A$4:$I$107, 5, FALSE)="", VLOOKUP(C390, Resultados_Reales!$A$4:$I$107, 6, FALSE)=""), 0, IF(AND(VLOOKUP(C390, Resultados_Reales!$A$4:$I$107, 5, FALSE)=G390, VLOOKUP(C390, Resultados_Reales!$A$4:$I$107, 6, FALSE)=H390), Configuracion!$B$5, IF(SIGN(VLOOKUP(C390, Resultados_Reales!$A$4:$I$107, 5, FALSE)-VLOOKUP(C390, Resultados_Reales!$A$4:$I$107, 6, FALSE)) = SIGN(G390-H390), Configuracion!$B$4, 0)))</f>
        <v/>
      </c>
      <c r="L390" s="11" t="n"/>
      <c r="M390" s="11" t="n"/>
      <c r="N390" s="11" t="n"/>
      <c r="O390" s="11" t="n"/>
      <c r="P390" s="11" t="n"/>
      <c r="Q390" s="11" t="n"/>
    </row>
    <row r="391">
      <c r="A391" s="8">
        <f>B391&amp;"_"&amp;C391</f>
        <v/>
      </c>
      <c r="B391" s="8" t="n"/>
      <c r="C391" s="8" t="n"/>
      <c r="D391" s="8" t="n"/>
      <c r="E391" s="11" t="n"/>
      <c r="F391" s="11" t="n"/>
      <c r="G391" s="8" t="n"/>
      <c r="H391" s="8" t="n"/>
      <c r="I391" s="8" t="n"/>
      <c r="J391" s="8" t="n"/>
      <c r="K391" s="12">
        <f>IF(OR(ISERROR(VLOOKUP(C391, Resultados_Reales!$A$4:$I$107, 5, FALSE)), ISERROR(VLOOKUP(C391, Resultados_Reales!$A$4:$I$107, 6, FALSE)), VLOOKUP(C391, Resultados_Reales!$A$4:$I$107, 5, FALSE)="", VLOOKUP(C391, Resultados_Reales!$A$4:$I$107, 6, FALSE)=""), 0, IF(AND(VLOOKUP(C391, Resultados_Reales!$A$4:$I$107, 5, FALSE)=G391, VLOOKUP(C391, Resultados_Reales!$A$4:$I$107, 6, FALSE)=H391), Configuracion!$B$5, IF(SIGN(VLOOKUP(C391, Resultados_Reales!$A$4:$I$107, 5, FALSE)-VLOOKUP(C391, Resultados_Reales!$A$4:$I$107, 6, FALSE)) = SIGN(G391-H391), Configuracion!$B$4, 0)))</f>
        <v/>
      </c>
      <c r="L391" s="11" t="n"/>
      <c r="M391" s="11" t="n"/>
      <c r="N391" s="11" t="n"/>
      <c r="O391" s="11" t="n"/>
      <c r="P391" s="11" t="n"/>
      <c r="Q391" s="11" t="n"/>
    </row>
    <row r="392">
      <c r="A392" s="8">
        <f>B392&amp;"_"&amp;C392</f>
        <v/>
      </c>
      <c r="B392" s="8" t="n"/>
      <c r="C392" s="8" t="n"/>
      <c r="D392" s="8" t="n"/>
      <c r="E392" s="11" t="n"/>
      <c r="F392" s="11" t="n"/>
      <c r="G392" s="8" t="n"/>
      <c r="H392" s="8" t="n"/>
      <c r="I392" s="8" t="n"/>
      <c r="J392" s="8" t="n"/>
      <c r="K392" s="12">
        <f>IF(OR(ISERROR(VLOOKUP(C392, Resultados_Reales!$A$4:$I$107, 5, FALSE)), ISERROR(VLOOKUP(C392, Resultados_Reales!$A$4:$I$107, 6, FALSE)), VLOOKUP(C392, Resultados_Reales!$A$4:$I$107, 5, FALSE)="", VLOOKUP(C392, Resultados_Reales!$A$4:$I$107, 6, FALSE)=""), 0, IF(AND(VLOOKUP(C392, Resultados_Reales!$A$4:$I$107, 5, FALSE)=G392, VLOOKUP(C392, Resultados_Reales!$A$4:$I$107, 6, FALSE)=H392), Configuracion!$B$5, IF(SIGN(VLOOKUP(C392, Resultados_Reales!$A$4:$I$107, 5, FALSE)-VLOOKUP(C392, Resultados_Reales!$A$4:$I$107, 6, FALSE)) = SIGN(G392-H392), Configuracion!$B$4, 0)))</f>
        <v/>
      </c>
      <c r="L392" s="11" t="n"/>
      <c r="M392" s="11" t="n"/>
      <c r="N392" s="11" t="n"/>
      <c r="O392" s="11" t="n"/>
      <c r="P392" s="11" t="n"/>
      <c r="Q392" s="11" t="n"/>
    </row>
    <row r="393">
      <c r="A393" s="8">
        <f>B393&amp;"_"&amp;C393</f>
        <v/>
      </c>
      <c r="B393" s="8" t="n"/>
      <c r="C393" s="8" t="n"/>
      <c r="D393" s="8" t="n"/>
      <c r="E393" s="11" t="n"/>
      <c r="F393" s="11" t="n"/>
      <c r="G393" s="8" t="n"/>
      <c r="H393" s="8" t="n"/>
      <c r="I393" s="8" t="n"/>
      <c r="J393" s="8" t="n"/>
      <c r="K393" s="12">
        <f>IF(OR(ISERROR(VLOOKUP(C393, Resultados_Reales!$A$4:$I$107, 5, FALSE)), ISERROR(VLOOKUP(C393, Resultados_Reales!$A$4:$I$107, 6, FALSE)), VLOOKUP(C393, Resultados_Reales!$A$4:$I$107, 5, FALSE)="", VLOOKUP(C393, Resultados_Reales!$A$4:$I$107, 6, FALSE)=""), 0, IF(AND(VLOOKUP(C393, Resultados_Reales!$A$4:$I$107, 5, FALSE)=G393, VLOOKUP(C393, Resultados_Reales!$A$4:$I$107, 6, FALSE)=H393), Configuracion!$B$5, IF(SIGN(VLOOKUP(C393, Resultados_Reales!$A$4:$I$107, 5, FALSE)-VLOOKUP(C393, Resultados_Reales!$A$4:$I$107, 6, FALSE)) = SIGN(G393-H393), Configuracion!$B$4, 0)))</f>
        <v/>
      </c>
      <c r="L393" s="11" t="n"/>
      <c r="M393" s="11" t="n"/>
      <c r="N393" s="11" t="n"/>
      <c r="O393" s="11" t="n"/>
      <c r="P393" s="11" t="n"/>
      <c r="Q393" s="11" t="n"/>
    </row>
    <row r="394">
      <c r="A394" s="8">
        <f>B394&amp;"_"&amp;C394</f>
        <v/>
      </c>
      <c r="B394" s="8" t="n"/>
      <c r="C394" s="8" t="n"/>
      <c r="D394" s="8" t="n"/>
      <c r="E394" s="11" t="n"/>
      <c r="F394" s="11" t="n"/>
      <c r="G394" s="8" t="n"/>
      <c r="H394" s="8" t="n"/>
      <c r="I394" s="8" t="n"/>
      <c r="J394" s="8" t="n"/>
      <c r="K394" s="12">
        <f>IF(OR(ISERROR(VLOOKUP(C394, Resultados_Reales!$A$4:$I$107, 5, FALSE)), ISERROR(VLOOKUP(C394, Resultados_Reales!$A$4:$I$107, 6, FALSE)), VLOOKUP(C394, Resultados_Reales!$A$4:$I$107, 5, FALSE)="", VLOOKUP(C394, Resultados_Reales!$A$4:$I$107, 6, FALSE)=""), 0, IF(AND(VLOOKUP(C394, Resultados_Reales!$A$4:$I$107, 5, FALSE)=G394, VLOOKUP(C394, Resultados_Reales!$A$4:$I$107, 6, FALSE)=H394), Configuracion!$B$5, IF(SIGN(VLOOKUP(C394, Resultados_Reales!$A$4:$I$107, 5, FALSE)-VLOOKUP(C394, Resultados_Reales!$A$4:$I$107, 6, FALSE)) = SIGN(G394-H394), Configuracion!$B$4, 0)))</f>
        <v/>
      </c>
      <c r="L394" s="11" t="n"/>
      <c r="M394" s="11" t="n"/>
      <c r="N394" s="11" t="n"/>
      <c r="O394" s="11" t="n"/>
      <c r="P394" s="11" t="n"/>
      <c r="Q394" s="11" t="n"/>
    </row>
    <row r="395">
      <c r="A395" s="8">
        <f>B395&amp;"_"&amp;C395</f>
        <v/>
      </c>
      <c r="B395" s="8" t="n"/>
      <c r="C395" s="8" t="n"/>
      <c r="D395" s="8" t="n"/>
      <c r="E395" s="11" t="n"/>
      <c r="F395" s="11" t="n"/>
      <c r="G395" s="8" t="n"/>
      <c r="H395" s="8" t="n"/>
      <c r="I395" s="8" t="n"/>
      <c r="J395" s="8" t="n"/>
      <c r="K395" s="12">
        <f>IF(OR(ISERROR(VLOOKUP(C395, Resultados_Reales!$A$4:$I$107, 5, FALSE)), ISERROR(VLOOKUP(C395, Resultados_Reales!$A$4:$I$107, 6, FALSE)), VLOOKUP(C395, Resultados_Reales!$A$4:$I$107, 5, FALSE)="", VLOOKUP(C395, Resultados_Reales!$A$4:$I$107, 6, FALSE)=""), 0, IF(AND(VLOOKUP(C395, Resultados_Reales!$A$4:$I$107, 5, FALSE)=G395, VLOOKUP(C395, Resultados_Reales!$A$4:$I$107, 6, FALSE)=H395), Configuracion!$B$5, IF(SIGN(VLOOKUP(C395, Resultados_Reales!$A$4:$I$107, 5, FALSE)-VLOOKUP(C395, Resultados_Reales!$A$4:$I$107, 6, FALSE)) = SIGN(G395-H395), Configuracion!$B$4, 0)))</f>
        <v/>
      </c>
      <c r="L395" s="11" t="n"/>
      <c r="M395" s="11" t="n"/>
      <c r="N395" s="11" t="n"/>
      <c r="O395" s="11" t="n"/>
      <c r="P395" s="11" t="n"/>
      <c r="Q395" s="11" t="n"/>
    </row>
    <row r="396">
      <c r="A396" s="8">
        <f>B396&amp;"_"&amp;C396</f>
        <v/>
      </c>
      <c r="B396" s="8" t="n"/>
      <c r="C396" s="8" t="n"/>
      <c r="D396" s="8" t="n"/>
      <c r="E396" s="11" t="n"/>
      <c r="F396" s="11" t="n"/>
      <c r="G396" s="8" t="n"/>
      <c r="H396" s="8" t="n"/>
      <c r="I396" s="8" t="n"/>
      <c r="J396" s="8" t="n"/>
      <c r="K396" s="12">
        <f>IF(OR(ISERROR(VLOOKUP(C396, Resultados_Reales!$A$4:$I$107, 5, FALSE)), ISERROR(VLOOKUP(C396, Resultados_Reales!$A$4:$I$107, 6, FALSE)), VLOOKUP(C396, Resultados_Reales!$A$4:$I$107, 5, FALSE)="", VLOOKUP(C396, Resultados_Reales!$A$4:$I$107, 6, FALSE)=""), 0, IF(AND(VLOOKUP(C396, Resultados_Reales!$A$4:$I$107, 5, FALSE)=G396, VLOOKUP(C396, Resultados_Reales!$A$4:$I$107, 6, FALSE)=H396), Configuracion!$B$5, IF(SIGN(VLOOKUP(C396, Resultados_Reales!$A$4:$I$107, 5, FALSE)-VLOOKUP(C396, Resultados_Reales!$A$4:$I$107, 6, FALSE)) = SIGN(G396-H396), Configuracion!$B$4, 0)))</f>
        <v/>
      </c>
      <c r="L396" s="11" t="n"/>
      <c r="M396" s="11" t="n"/>
      <c r="N396" s="11" t="n"/>
      <c r="O396" s="11" t="n"/>
      <c r="P396" s="11" t="n"/>
      <c r="Q396" s="11" t="n"/>
    </row>
    <row r="397">
      <c r="A397" s="8">
        <f>B397&amp;"_"&amp;C397</f>
        <v/>
      </c>
      <c r="B397" s="8" t="n"/>
      <c r="C397" s="8" t="n"/>
      <c r="D397" s="8" t="n"/>
      <c r="E397" s="11" t="n"/>
      <c r="F397" s="11" t="n"/>
      <c r="G397" s="8" t="n"/>
      <c r="H397" s="8" t="n"/>
      <c r="I397" s="8" t="n"/>
      <c r="J397" s="8" t="n"/>
      <c r="K397" s="12">
        <f>IF(OR(ISERROR(VLOOKUP(C397, Resultados_Reales!$A$4:$I$107, 5, FALSE)), ISERROR(VLOOKUP(C397, Resultados_Reales!$A$4:$I$107, 6, FALSE)), VLOOKUP(C397, Resultados_Reales!$A$4:$I$107, 5, FALSE)="", VLOOKUP(C397, Resultados_Reales!$A$4:$I$107, 6, FALSE)=""), 0, IF(AND(VLOOKUP(C397, Resultados_Reales!$A$4:$I$107, 5, FALSE)=G397, VLOOKUP(C397, Resultados_Reales!$A$4:$I$107, 6, FALSE)=H397), Configuracion!$B$5, IF(SIGN(VLOOKUP(C397, Resultados_Reales!$A$4:$I$107, 5, FALSE)-VLOOKUP(C397, Resultados_Reales!$A$4:$I$107, 6, FALSE)) = SIGN(G397-H397), Configuracion!$B$4, 0)))</f>
        <v/>
      </c>
      <c r="L397" s="11" t="n"/>
      <c r="M397" s="11" t="n"/>
      <c r="N397" s="11" t="n"/>
      <c r="O397" s="11" t="n"/>
      <c r="P397" s="11" t="n"/>
      <c r="Q397" s="11" t="n"/>
    </row>
    <row r="398">
      <c r="A398" s="8">
        <f>B398&amp;"_"&amp;C398</f>
        <v/>
      </c>
      <c r="B398" s="8" t="n"/>
      <c r="C398" s="8" t="n"/>
      <c r="D398" s="8" t="n"/>
      <c r="E398" s="11" t="n"/>
      <c r="F398" s="11" t="n"/>
      <c r="G398" s="8" t="n"/>
      <c r="H398" s="8" t="n"/>
      <c r="I398" s="8" t="n"/>
      <c r="J398" s="8" t="n"/>
      <c r="K398" s="12">
        <f>IF(OR(ISERROR(VLOOKUP(C398, Resultados_Reales!$A$4:$I$107, 5, FALSE)), ISERROR(VLOOKUP(C398, Resultados_Reales!$A$4:$I$107, 6, FALSE)), VLOOKUP(C398, Resultados_Reales!$A$4:$I$107, 5, FALSE)="", VLOOKUP(C398, Resultados_Reales!$A$4:$I$107, 6, FALSE)=""), 0, IF(AND(VLOOKUP(C398, Resultados_Reales!$A$4:$I$107, 5, FALSE)=G398, VLOOKUP(C398, Resultados_Reales!$A$4:$I$107, 6, FALSE)=H398), Configuracion!$B$5, IF(SIGN(VLOOKUP(C398, Resultados_Reales!$A$4:$I$107, 5, FALSE)-VLOOKUP(C398, Resultados_Reales!$A$4:$I$107, 6, FALSE)) = SIGN(G398-H398), Configuracion!$B$4, 0)))</f>
        <v/>
      </c>
      <c r="L398" s="11" t="n"/>
      <c r="M398" s="11" t="n"/>
      <c r="N398" s="11" t="n"/>
      <c r="O398" s="11" t="n"/>
      <c r="P398" s="11" t="n"/>
      <c r="Q398" s="11" t="n"/>
    </row>
    <row r="399">
      <c r="A399" s="8">
        <f>B399&amp;"_"&amp;C399</f>
        <v/>
      </c>
      <c r="B399" s="8" t="n"/>
      <c r="C399" s="8" t="n"/>
      <c r="D399" s="8" t="n"/>
      <c r="E399" s="11" t="n"/>
      <c r="F399" s="11" t="n"/>
      <c r="G399" s="8" t="n"/>
      <c r="H399" s="8" t="n"/>
      <c r="I399" s="8" t="n"/>
      <c r="J399" s="8" t="n"/>
      <c r="K399" s="12">
        <f>IF(OR(ISERROR(VLOOKUP(C399, Resultados_Reales!$A$4:$I$107, 5, FALSE)), ISERROR(VLOOKUP(C399, Resultados_Reales!$A$4:$I$107, 6, FALSE)), VLOOKUP(C399, Resultados_Reales!$A$4:$I$107, 5, FALSE)="", VLOOKUP(C399, Resultados_Reales!$A$4:$I$107, 6, FALSE)=""), 0, IF(AND(VLOOKUP(C399, Resultados_Reales!$A$4:$I$107, 5, FALSE)=G399, VLOOKUP(C399, Resultados_Reales!$A$4:$I$107, 6, FALSE)=H399), Configuracion!$B$5, IF(SIGN(VLOOKUP(C399, Resultados_Reales!$A$4:$I$107, 5, FALSE)-VLOOKUP(C399, Resultados_Reales!$A$4:$I$107, 6, FALSE)) = SIGN(G399-H399), Configuracion!$B$4, 0)))</f>
        <v/>
      </c>
      <c r="L399" s="11" t="n"/>
      <c r="M399" s="11" t="n"/>
      <c r="N399" s="11" t="n"/>
      <c r="O399" s="11" t="n"/>
      <c r="P399" s="11" t="n"/>
      <c r="Q399" s="11" t="n"/>
    </row>
    <row r="400">
      <c r="A400" s="8">
        <f>B400&amp;"_"&amp;C400</f>
        <v/>
      </c>
      <c r="B400" s="8" t="n"/>
      <c r="C400" s="8" t="n"/>
      <c r="D400" s="8" t="n"/>
      <c r="E400" s="11" t="n"/>
      <c r="F400" s="11" t="n"/>
      <c r="G400" s="8" t="n"/>
      <c r="H400" s="8" t="n"/>
      <c r="I400" s="8" t="n"/>
      <c r="J400" s="8" t="n"/>
      <c r="K400" s="12">
        <f>IF(OR(ISERROR(VLOOKUP(C400, Resultados_Reales!$A$4:$I$107, 5, FALSE)), ISERROR(VLOOKUP(C400, Resultados_Reales!$A$4:$I$107, 6, FALSE)), VLOOKUP(C400, Resultados_Reales!$A$4:$I$107, 5, FALSE)="", VLOOKUP(C400, Resultados_Reales!$A$4:$I$107, 6, FALSE)=""), 0, IF(AND(VLOOKUP(C400, Resultados_Reales!$A$4:$I$107, 5, FALSE)=G400, VLOOKUP(C400, Resultados_Reales!$A$4:$I$107, 6, FALSE)=H400), Configuracion!$B$5, IF(SIGN(VLOOKUP(C400, Resultados_Reales!$A$4:$I$107, 5, FALSE)-VLOOKUP(C400, Resultados_Reales!$A$4:$I$107, 6, FALSE)) = SIGN(G400-H400), Configuracion!$B$4, 0)))</f>
        <v/>
      </c>
      <c r="L400" s="11" t="n"/>
      <c r="M400" s="11" t="n"/>
      <c r="N400" s="11" t="n"/>
      <c r="O400" s="11" t="n"/>
      <c r="P400" s="11" t="n"/>
      <c r="Q400" s="11" t="n"/>
    </row>
    <row r="401">
      <c r="A401" s="8">
        <f>B401&amp;"_"&amp;C401</f>
        <v/>
      </c>
      <c r="B401" s="8" t="n"/>
      <c r="C401" s="8" t="n"/>
      <c r="D401" s="8" t="n"/>
      <c r="E401" s="11" t="n"/>
      <c r="F401" s="11" t="n"/>
      <c r="G401" s="8" t="n"/>
      <c r="H401" s="8" t="n"/>
      <c r="I401" s="8" t="n"/>
      <c r="J401" s="8" t="n"/>
      <c r="K401" s="12">
        <f>IF(OR(ISERROR(VLOOKUP(C401, Resultados_Reales!$A$4:$I$107, 5, FALSE)), ISERROR(VLOOKUP(C401, Resultados_Reales!$A$4:$I$107, 6, FALSE)), VLOOKUP(C401, Resultados_Reales!$A$4:$I$107, 5, FALSE)="", VLOOKUP(C401, Resultados_Reales!$A$4:$I$107, 6, FALSE)=""), 0, IF(AND(VLOOKUP(C401, Resultados_Reales!$A$4:$I$107, 5, FALSE)=G401, VLOOKUP(C401, Resultados_Reales!$A$4:$I$107, 6, FALSE)=H401), Configuracion!$B$5, IF(SIGN(VLOOKUP(C401, Resultados_Reales!$A$4:$I$107, 5, FALSE)-VLOOKUP(C401, Resultados_Reales!$A$4:$I$107, 6, FALSE)) = SIGN(G401-H401), Configuracion!$B$4, 0)))</f>
        <v/>
      </c>
      <c r="L401" s="11" t="n"/>
      <c r="M401" s="11" t="n"/>
      <c r="N401" s="11" t="n"/>
      <c r="O401" s="11" t="n"/>
      <c r="P401" s="11" t="n"/>
      <c r="Q401" s="11" t="n"/>
    </row>
    <row r="402">
      <c r="A402" s="8">
        <f>B402&amp;"_"&amp;C402</f>
        <v/>
      </c>
      <c r="B402" s="8" t="n"/>
      <c r="C402" s="8" t="n"/>
      <c r="D402" s="8" t="n"/>
      <c r="E402" s="11" t="n"/>
      <c r="F402" s="11" t="n"/>
      <c r="G402" s="8" t="n"/>
      <c r="H402" s="8" t="n"/>
      <c r="I402" s="8" t="n"/>
      <c r="J402" s="8" t="n"/>
      <c r="K402" s="12">
        <f>IF(OR(ISERROR(VLOOKUP(C402, Resultados_Reales!$A$4:$I$107, 5, FALSE)), ISERROR(VLOOKUP(C402, Resultados_Reales!$A$4:$I$107, 6, FALSE)), VLOOKUP(C402, Resultados_Reales!$A$4:$I$107, 5, FALSE)="", VLOOKUP(C402, Resultados_Reales!$A$4:$I$107, 6, FALSE)=""), 0, IF(AND(VLOOKUP(C402, Resultados_Reales!$A$4:$I$107, 5, FALSE)=G402, VLOOKUP(C402, Resultados_Reales!$A$4:$I$107, 6, FALSE)=H402), Configuracion!$B$5, IF(SIGN(VLOOKUP(C402, Resultados_Reales!$A$4:$I$107, 5, FALSE)-VLOOKUP(C402, Resultados_Reales!$A$4:$I$107, 6, FALSE)) = SIGN(G402-H402), Configuracion!$B$4, 0)))</f>
        <v/>
      </c>
      <c r="L402" s="11" t="n"/>
      <c r="M402" s="11" t="n"/>
      <c r="N402" s="11" t="n"/>
      <c r="O402" s="11" t="n"/>
      <c r="P402" s="11" t="n"/>
      <c r="Q402" s="11" t="n"/>
    </row>
    <row r="403">
      <c r="A403" s="8">
        <f>B403&amp;"_"&amp;C403</f>
        <v/>
      </c>
      <c r="B403" s="8" t="n"/>
      <c r="C403" s="8" t="n"/>
      <c r="D403" s="8" t="n"/>
      <c r="E403" s="11" t="n"/>
      <c r="F403" s="11" t="n"/>
      <c r="G403" s="8" t="n"/>
      <c r="H403" s="8" t="n"/>
      <c r="I403" s="8" t="n"/>
      <c r="J403" s="8" t="n"/>
      <c r="K403" s="12">
        <f>IF(OR(ISERROR(VLOOKUP(C403, Resultados_Reales!$A$4:$I$107, 5, FALSE)), ISERROR(VLOOKUP(C403, Resultados_Reales!$A$4:$I$107, 6, FALSE)), VLOOKUP(C403, Resultados_Reales!$A$4:$I$107, 5, FALSE)="", VLOOKUP(C403, Resultados_Reales!$A$4:$I$107, 6, FALSE)=""), 0, IF(AND(VLOOKUP(C403, Resultados_Reales!$A$4:$I$107, 5, FALSE)=G403, VLOOKUP(C403, Resultados_Reales!$A$4:$I$107, 6, FALSE)=H403), Configuracion!$B$5, IF(SIGN(VLOOKUP(C403, Resultados_Reales!$A$4:$I$107, 5, FALSE)-VLOOKUP(C403, Resultados_Reales!$A$4:$I$107, 6, FALSE)) = SIGN(G403-H403), Configuracion!$B$4, 0)))</f>
        <v/>
      </c>
      <c r="L403" s="11" t="n"/>
      <c r="M403" s="11" t="n"/>
      <c r="N403" s="11" t="n"/>
      <c r="O403" s="11" t="n"/>
      <c r="P403" s="11" t="n"/>
      <c r="Q403" s="11" t="n"/>
    </row>
    <row r="404">
      <c r="A404" s="8">
        <f>B404&amp;"_"&amp;C404</f>
        <v/>
      </c>
      <c r="B404" s="8" t="n"/>
      <c r="C404" s="8" t="n"/>
      <c r="D404" s="8" t="n"/>
      <c r="E404" s="11" t="n"/>
      <c r="F404" s="11" t="n"/>
      <c r="G404" s="8" t="n"/>
      <c r="H404" s="8" t="n"/>
      <c r="I404" s="8" t="n"/>
      <c r="J404" s="8" t="n"/>
      <c r="K404" s="12">
        <f>IF(OR(ISERROR(VLOOKUP(C404, Resultados_Reales!$A$4:$I$107, 5, FALSE)), ISERROR(VLOOKUP(C404, Resultados_Reales!$A$4:$I$107, 6, FALSE)), VLOOKUP(C404, Resultados_Reales!$A$4:$I$107, 5, FALSE)="", VLOOKUP(C404, Resultados_Reales!$A$4:$I$107, 6, FALSE)=""), 0, IF(AND(VLOOKUP(C404, Resultados_Reales!$A$4:$I$107, 5, FALSE)=G404, VLOOKUP(C404, Resultados_Reales!$A$4:$I$107, 6, FALSE)=H404), Configuracion!$B$5, IF(SIGN(VLOOKUP(C404, Resultados_Reales!$A$4:$I$107, 5, FALSE)-VLOOKUP(C404, Resultados_Reales!$A$4:$I$107, 6, FALSE)) = SIGN(G404-H404), Configuracion!$B$4, 0)))</f>
        <v/>
      </c>
      <c r="L404" s="11" t="n"/>
      <c r="M404" s="11" t="n"/>
      <c r="N404" s="11" t="n"/>
      <c r="O404" s="11" t="n"/>
      <c r="P404" s="11" t="n"/>
      <c r="Q404" s="11" t="n"/>
    </row>
    <row r="405">
      <c r="A405" s="8">
        <f>B405&amp;"_"&amp;C405</f>
        <v/>
      </c>
      <c r="B405" s="8" t="n"/>
      <c r="C405" s="8" t="n"/>
      <c r="D405" s="8" t="n"/>
      <c r="E405" s="11" t="n"/>
      <c r="F405" s="11" t="n"/>
      <c r="G405" s="8" t="n"/>
      <c r="H405" s="8" t="n"/>
      <c r="I405" s="8" t="n"/>
      <c r="J405" s="8" t="n"/>
      <c r="K405" s="12">
        <f>IF(OR(ISERROR(VLOOKUP(C405, Resultados_Reales!$A$4:$I$107, 5, FALSE)), ISERROR(VLOOKUP(C405, Resultados_Reales!$A$4:$I$107, 6, FALSE)), VLOOKUP(C405, Resultados_Reales!$A$4:$I$107, 5, FALSE)="", VLOOKUP(C405, Resultados_Reales!$A$4:$I$107, 6, FALSE)=""), 0, IF(AND(VLOOKUP(C405, Resultados_Reales!$A$4:$I$107, 5, FALSE)=G405, VLOOKUP(C405, Resultados_Reales!$A$4:$I$107, 6, FALSE)=H405), Configuracion!$B$5, IF(SIGN(VLOOKUP(C405, Resultados_Reales!$A$4:$I$107, 5, FALSE)-VLOOKUP(C405, Resultados_Reales!$A$4:$I$107, 6, FALSE)) = SIGN(G405-H405), Configuracion!$B$4, 0)))</f>
        <v/>
      </c>
      <c r="L405" s="11" t="n"/>
      <c r="M405" s="11" t="n"/>
      <c r="N405" s="11" t="n"/>
      <c r="O405" s="11" t="n"/>
      <c r="P405" s="11" t="n"/>
      <c r="Q405" s="11" t="n"/>
    </row>
    <row r="406">
      <c r="A406" s="8">
        <f>B406&amp;"_"&amp;C406</f>
        <v/>
      </c>
      <c r="B406" s="8" t="n"/>
      <c r="C406" s="8" t="n"/>
      <c r="D406" s="8" t="n"/>
      <c r="E406" s="11" t="n"/>
      <c r="F406" s="11" t="n"/>
      <c r="G406" s="8" t="n"/>
      <c r="H406" s="8" t="n"/>
      <c r="I406" s="8" t="n"/>
      <c r="J406" s="8" t="n"/>
      <c r="K406" s="12">
        <f>IF(OR(ISERROR(VLOOKUP(C406, Resultados_Reales!$A$4:$I$107, 5, FALSE)), ISERROR(VLOOKUP(C406, Resultados_Reales!$A$4:$I$107, 6, FALSE)), VLOOKUP(C406, Resultados_Reales!$A$4:$I$107, 5, FALSE)="", VLOOKUP(C406, Resultados_Reales!$A$4:$I$107, 6, FALSE)=""), 0, IF(AND(VLOOKUP(C406, Resultados_Reales!$A$4:$I$107, 5, FALSE)=G406, VLOOKUP(C406, Resultados_Reales!$A$4:$I$107, 6, FALSE)=H406), Configuracion!$B$5, IF(SIGN(VLOOKUP(C406, Resultados_Reales!$A$4:$I$107, 5, FALSE)-VLOOKUP(C406, Resultados_Reales!$A$4:$I$107, 6, FALSE)) = SIGN(G406-H406), Configuracion!$B$4, 0)))</f>
        <v/>
      </c>
      <c r="L406" s="11" t="n"/>
      <c r="M406" s="11" t="n"/>
      <c r="N406" s="11" t="n"/>
      <c r="O406" s="11" t="n"/>
      <c r="P406" s="11" t="n"/>
      <c r="Q406" s="11" t="n"/>
    </row>
    <row r="407">
      <c r="A407" s="8">
        <f>B407&amp;"_"&amp;C407</f>
        <v/>
      </c>
      <c r="B407" s="8" t="n"/>
      <c r="C407" s="8" t="n"/>
      <c r="D407" s="8" t="n"/>
      <c r="E407" s="11" t="n"/>
      <c r="F407" s="11" t="n"/>
      <c r="G407" s="8" t="n"/>
      <c r="H407" s="8" t="n"/>
      <c r="I407" s="8" t="n"/>
      <c r="J407" s="8" t="n"/>
      <c r="K407" s="12">
        <f>IF(OR(ISERROR(VLOOKUP(C407, Resultados_Reales!$A$4:$I$107, 5, FALSE)), ISERROR(VLOOKUP(C407, Resultados_Reales!$A$4:$I$107, 6, FALSE)), VLOOKUP(C407, Resultados_Reales!$A$4:$I$107, 5, FALSE)="", VLOOKUP(C407, Resultados_Reales!$A$4:$I$107, 6, FALSE)=""), 0, IF(AND(VLOOKUP(C407, Resultados_Reales!$A$4:$I$107, 5, FALSE)=G407, VLOOKUP(C407, Resultados_Reales!$A$4:$I$107, 6, FALSE)=H407), Configuracion!$B$5, IF(SIGN(VLOOKUP(C407, Resultados_Reales!$A$4:$I$107, 5, FALSE)-VLOOKUP(C407, Resultados_Reales!$A$4:$I$107, 6, FALSE)) = SIGN(G407-H407), Configuracion!$B$4, 0)))</f>
        <v/>
      </c>
      <c r="L407" s="11" t="n"/>
      <c r="M407" s="11" t="n"/>
      <c r="N407" s="11" t="n"/>
      <c r="O407" s="11" t="n"/>
      <c r="P407" s="11" t="n"/>
      <c r="Q407" s="11" t="n"/>
    </row>
    <row r="408">
      <c r="A408" s="8">
        <f>B408&amp;"_"&amp;C408</f>
        <v/>
      </c>
      <c r="B408" s="8" t="n"/>
      <c r="C408" s="8" t="n"/>
      <c r="D408" s="8" t="n"/>
      <c r="E408" s="11" t="n"/>
      <c r="F408" s="11" t="n"/>
      <c r="G408" s="8" t="n"/>
      <c r="H408" s="8" t="n"/>
      <c r="I408" s="8" t="n"/>
      <c r="J408" s="8" t="n"/>
      <c r="K408" s="12">
        <f>IF(OR(ISERROR(VLOOKUP(C408, Resultados_Reales!$A$4:$I$107, 5, FALSE)), ISERROR(VLOOKUP(C408, Resultados_Reales!$A$4:$I$107, 6, FALSE)), VLOOKUP(C408, Resultados_Reales!$A$4:$I$107, 5, FALSE)="", VLOOKUP(C408, Resultados_Reales!$A$4:$I$107, 6, FALSE)=""), 0, IF(AND(VLOOKUP(C408, Resultados_Reales!$A$4:$I$107, 5, FALSE)=G408, VLOOKUP(C408, Resultados_Reales!$A$4:$I$107, 6, FALSE)=H408), Configuracion!$B$5, IF(SIGN(VLOOKUP(C408, Resultados_Reales!$A$4:$I$107, 5, FALSE)-VLOOKUP(C408, Resultados_Reales!$A$4:$I$107, 6, FALSE)) = SIGN(G408-H408), Configuracion!$B$4, 0)))</f>
        <v/>
      </c>
      <c r="L408" s="11" t="n"/>
      <c r="M408" s="11" t="n"/>
      <c r="N408" s="11" t="n"/>
      <c r="O408" s="11" t="n"/>
      <c r="P408" s="11" t="n"/>
      <c r="Q408" s="11" t="n"/>
    </row>
    <row r="409">
      <c r="A409" s="8">
        <f>B409&amp;"_"&amp;C409</f>
        <v/>
      </c>
      <c r="B409" s="8" t="n"/>
      <c r="C409" s="8" t="n"/>
      <c r="D409" s="8" t="n"/>
      <c r="E409" s="11" t="n"/>
      <c r="F409" s="11" t="n"/>
      <c r="G409" s="8" t="n"/>
      <c r="H409" s="8" t="n"/>
      <c r="I409" s="8" t="n"/>
      <c r="J409" s="8" t="n"/>
      <c r="K409" s="12">
        <f>IF(OR(ISERROR(VLOOKUP(C409, Resultados_Reales!$A$4:$I$107, 5, FALSE)), ISERROR(VLOOKUP(C409, Resultados_Reales!$A$4:$I$107, 6, FALSE)), VLOOKUP(C409, Resultados_Reales!$A$4:$I$107, 5, FALSE)="", VLOOKUP(C409, Resultados_Reales!$A$4:$I$107, 6, FALSE)=""), 0, IF(AND(VLOOKUP(C409, Resultados_Reales!$A$4:$I$107, 5, FALSE)=G409, VLOOKUP(C409, Resultados_Reales!$A$4:$I$107, 6, FALSE)=H409), Configuracion!$B$5, IF(SIGN(VLOOKUP(C409, Resultados_Reales!$A$4:$I$107, 5, FALSE)-VLOOKUP(C409, Resultados_Reales!$A$4:$I$107, 6, FALSE)) = SIGN(G409-H409), Configuracion!$B$4, 0)))</f>
        <v/>
      </c>
      <c r="L409" s="11" t="n"/>
      <c r="M409" s="11" t="n"/>
      <c r="N409" s="11" t="n"/>
      <c r="O409" s="11" t="n"/>
      <c r="P409" s="11" t="n"/>
      <c r="Q409" s="11" t="n"/>
    </row>
    <row r="410">
      <c r="A410" s="8">
        <f>B410&amp;"_"&amp;C410</f>
        <v/>
      </c>
      <c r="B410" s="8" t="n"/>
      <c r="C410" s="8" t="n"/>
      <c r="D410" s="8" t="n"/>
      <c r="E410" s="11" t="n"/>
      <c r="F410" s="11" t="n"/>
      <c r="G410" s="8" t="n"/>
      <c r="H410" s="8" t="n"/>
      <c r="I410" s="8" t="n"/>
      <c r="J410" s="8" t="n"/>
      <c r="K410" s="12">
        <f>IF(OR(ISERROR(VLOOKUP(C410, Resultados_Reales!$A$4:$I$107, 5, FALSE)), ISERROR(VLOOKUP(C410, Resultados_Reales!$A$4:$I$107, 6, FALSE)), VLOOKUP(C410, Resultados_Reales!$A$4:$I$107, 5, FALSE)="", VLOOKUP(C410, Resultados_Reales!$A$4:$I$107, 6, FALSE)=""), 0, IF(AND(VLOOKUP(C410, Resultados_Reales!$A$4:$I$107, 5, FALSE)=G410, VLOOKUP(C410, Resultados_Reales!$A$4:$I$107, 6, FALSE)=H410), Configuracion!$B$5, IF(SIGN(VLOOKUP(C410, Resultados_Reales!$A$4:$I$107, 5, FALSE)-VLOOKUP(C410, Resultados_Reales!$A$4:$I$107, 6, FALSE)) = SIGN(G410-H410), Configuracion!$B$4, 0)))</f>
        <v/>
      </c>
      <c r="L410" s="11" t="n"/>
      <c r="M410" s="11" t="n"/>
      <c r="N410" s="11" t="n"/>
      <c r="O410" s="11" t="n"/>
      <c r="P410" s="11" t="n"/>
      <c r="Q410" s="11" t="n"/>
    </row>
    <row r="411">
      <c r="A411" s="8">
        <f>B411&amp;"_"&amp;C411</f>
        <v/>
      </c>
      <c r="B411" s="8" t="n"/>
      <c r="C411" s="8" t="n"/>
      <c r="D411" s="8" t="n"/>
      <c r="E411" s="11" t="n"/>
      <c r="F411" s="11" t="n"/>
      <c r="G411" s="8" t="n"/>
      <c r="H411" s="8" t="n"/>
      <c r="I411" s="8" t="n"/>
      <c r="J411" s="8" t="n"/>
      <c r="K411" s="12">
        <f>IF(OR(ISERROR(VLOOKUP(C411, Resultados_Reales!$A$4:$I$107, 5, FALSE)), ISERROR(VLOOKUP(C411, Resultados_Reales!$A$4:$I$107, 6, FALSE)), VLOOKUP(C411, Resultados_Reales!$A$4:$I$107, 5, FALSE)="", VLOOKUP(C411, Resultados_Reales!$A$4:$I$107, 6, FALSE)=""), 0, IF(AND(VLOOKUP(C411, Resultados_Reales!$A$4:$I$107, 5, FALSE)=G411, VLOOKUP(C411, Resultados_Reales!$A$4:$I$107, 6, FALSE)=H411), Configuracion!$B$5, IF(SIGN(VLOOKUP(C411, Resultados_Reales!$A$4:$I$107, 5, FALSE)-VLOOKUP(C411, Resultados_Reales!$A$4:$I$107, 6, FALSE)) = SIGN(G411-H411), Configuracion!$B$4, 0)))</f>
        <v/>
      </c>
      <c r="L411" s="11" t="n"/>
      <c r="M411" s="11" t="n"/>
      <c r="N411" s="11" t="n"/>
      <c r="O411" s="11" t="n"/>
      <c r="P411" s="11" t="n"/>
      <c r="Q411" s="11" t="n"/>
    </row>
    <row r="412">
      <c r="A412" s="8">
        <f>B412&amp;"_"&amp;C412</f>
        <v/>
      </c>
      <c r="B412" s="8" t="n"/>
      <c r="C412" s="8" t="n"/>
      <c r="D412" s="8" t="n"/>
      <c r="E412" s="11" t="n"/>
      <c r="F412" s="11" t="n"/>
      <c r="G412" s="8" t="n"/>
      <c r="H412" s="8" t="n"/>
      <c r="I412" s="8" t="n"/>
      <c r="J412" s="8" t="n"/>
      <c r="K412" s="12">
        <f>IF(OR(ISERROR(VLOOKUP(C412, Resultados_Reales!$A$4:$I$107, 5, FALSE)), ISERROR(VLOOKUP(C412, Resultados_Reales!$A$4:$I$107, 6, FALSE)), VLOOKUP(C412, Resultados_Reales!$A$4:$I$107, 5, FALSE)="", VLOOKUP(C412, Resultados_Reales!$A$4:$I$107, 6, FALSE)=""), 0, IF(AND(VLOOKUP(C412, Resultados_Reales!$A$4:$I$107, 5, FALSE)=G412, VLOOKUP(C412, Resultados_Reales!$A$4:$I$107, 6, FALSE)=H412), Configuracion!$B$5, IF(SIGN(VLOOKUP(C412, Resultados_Reales!$A$4:$I$107, 5, FALSE)-VLOOKUP(C412, Resultados_Reales!$A$4:$I$107, 6, FALSE)) = SIGN(G412-H412), Configuracion!$B$4, 0)))</f>
        <v/>
      </c>
      <c r="L412" s="11" t="n"/>
      <c r="M412" s="11" t="n"/>
      <c r="N412" s="11" t="n"/>
      <c r="O412" s="11" t="n"/>
      <c r="P412" s="11" t="n"/>
      <c r="Q412" s="11" t="n"/>
    </row>
    <row r="413">
      <c r="A413" s="8">
        <f>B413&amp;"_"&amp;C413</f>
        <v/>
      </c>
      <c r="B413" s="8" t="n"/>
      <c r="C413" s="8" t="n"/>
      <c r="D413" s="8" t="n"/>
      <c r="E413" s="11" t="n"/>
      <c r="F413" s="11" t="n"/>
      <c r="G413" s="8" t="n"/>
      <c r="H413" s="8" t="n"/>
      <c r="I413" s="8" t="n"/>
      <c r="J413" s="8" t="n"/>
      <c r="K413" s="12">
        <f>IF(OR(ISERROR(VLOOKUP(C413, Resultados_Reales!$A$4:$I$107, 5, FALSE)), ISERROR(VLOOKUP(C413, Resultados_Reales!$A$4:$I$107, 6, FALSE)), VLOOKUP(C413, Resultados_Reales!$A$4:$I$107, 5, FALSE)="", VLOOKUP(C413, Resultados_Reales!$A$4:$I$107, 6, FALSE)=""), 0, IF(AND(VLOOKUP(C413, Resultados_Reales!$A$4:$I$107, 5, FALSE)=G413, VLOOKUP(C413, Resultados_Reales!$A$4:$I$107, 6, FALSE)=H413), Configuracion!$B$5, IF(SIGN(VLOOKUP(C413, Resultados_Reales!$A$4:$I$107, 5, FALSE)-VLOOKUP(C413, Resultados_Reales!$A$4:$I$107, 6, FALSE)) = SIGN(G413-H413), Configuracion!$B$4, 0)))</f>
        <v/>
      </c>
      <c r="L413" s="11" t="n"/>
      <c r="M413" s="11" t="n"/>
      <c r="N413" s="11" t="n"/>
      <c r="O413" s="11" t="n"/>
      <c r="P413" s="11" t="n"/>
      <c r="Q413" s="11" t="n"/>
    </row>
    <row r="414">
      <c r="A414" s="8">
        <f>B414&amp;"_"&amp;C414</f>
        <v/>
      </c>
      <c r="B414" s="8" t="n"/>
      <c r="C414" s="8" t="n"/>
      <c r="D414" s="8" t="n"/>
      <c r="E414" s="11" t="n"/>
      <c r="F414" s="11" t="n"/>
      <c r="G414" s="8" t="n"/>
      <c r="H414" s="8" t="n"/>
      <c r="I414" s="8" t="n"/>
      <c r="J414" s="8" t="n"/>
      <c r="K414" s="12">
        <f>IF(OR(ISERROR(VLOOKUP(C414, Resultados_Reales!$A$4:$I$107, 5, FALSE)), ISERROR(VLOOKUP(C414, Resultados_Reales!$A$4:$I$107, 6, FALSE)), VLOOKUP(C414, Resultados_Reales!$A$4:$I$107, 5, FALSE)="", VLOOKUP(C414, Resultados_Reales!$A$4:$I$107, 6, FALSE)=""), 0, IF(AND(VLOOKUP(C414, Resultados_Reales!$A$4:$I$107, 5, FALSE)=G414, VLOOKUP(C414, Resultados_Reales!$A$4:$I$107, 6, FALSE)=H414), Configuracion!$B$5, IF(SIGN(VLOOKUP(C414, Resultados_Reales!$A$4:$I$107, 5, FALSE)-VLOOKUP(C414, Resultados_Reales!$A$4:$I$107, 6, FALSE)) = SIGN(G414-H414), Configuracion!$B$4, 0)))</f>
        <v/>
      </c>
      <c r="L414" s="11" t="n"/>
      <c r="M414" s="11" t="n"/>
      <c r="N414" s="11" t="n"/>
      <c r="O414" s="11" t="n"/>
      <c r="P414" s="11" t="n"/>
      <c r="Q414" s="11" t="n"/>
    </row>
    <row r="415">
      <c r="A415" s="8">
        <f>B415&amp;"_"&amp;C415</f>
        <v/>
      </c>
      <c r="B415" s="8" t="n"/>
      <c r="C415" s="8" t="n"/>
      <c r="D415" s="8" t="n"/>
      <c r="E415" s="11" t="n"/>
      <c r="F415" s="11" t="n"/>
      <c r="G415" s="8" t="n"/>
      <c r="H415" s="8" t="n"/>
      <c r="I415" s="8" t="n"/>
      <c r="J415" s="8" t="n"/>
      <c r="K415" s="12">
        <f>IF(OR(ISERROR(VLOOKUP(C415, Resultados_Reales!$A$4:$I$107, 5, FALSE)), ISERROR(VLOOKUP(C415, Resultados_Reales!$A$4:$I$107, 6, FALSE)), VLOOKUP(C415, Resultados_Reales!$A$4:$I$107, 5, FALSE)="", VLOOKUP(C415, Resultados_Reales!$A$4:$I$107, 6, FALSE)=""), 0, IF(AND(VLOOKUP(C415, Resultados_Reales!$A$4:$I$107, 5, FALSE)=G415, VLOOKUP(C415, Resultados_Reales!$A$4:$I$107, 6, FALSE)=H415), Configuracion!$B$5, IF(SIGN(VLOOKUP(C415, Resultados_Reales!$A$4:$I$107, 5, FALSE)-VLOOKUP(C415, Resultados_Reales!$A$4:$I$107, 6, FALSE)) = SIGN(G415-H415), Configuracion!$B$4, 0)))</f>
        <v/>
      </c>
      <c r="L415" s="11" t="n"/>
      <c r="M415" s="11" t="n"/>
      <c r="N415" s="11" t="n"/>
      <c r="O415" s="11" t="n"/>
      <c r="P415" s="11" t="n"/>
      <c r="Q415" s="11" t="n"/>
    </row>
    <row r="416">
      <c r="A416" s="8">
        <f>B416&amp;"_"&amp;C416</f>
        <v/>
      </c>
      <c r="B416" s="8" t="n"/>
      <c r="C416" s="8" t="n"/>
      <c r="D416" s="8" t="n"/>
      <c r="E416" s="11" t="n"/>
      <c r="F416" s="11" t="n"/>
      <c r="G416" s="8" t="n"/>
      <c r="H416" s="8" t="n"/>
      <c r="I416" s="8" t="n"/>
      <c r="J416" s="8" t="n"/>
      <c r="K416" s="12">
        <f>IF(OR(ISERROR(VLOOKUP(C416, Resultados_Reales!$A$4:$I$107, 5, FALSE)), ISERROR(VLOOKUP(C416, Resultados_Reales!$A$4:$I$107, 6, FALSE)), VLOOKUP(C416, Resultados_Reales!$A$4:$I$107, 5, FALSE)="", VLOOKUP(C416, Resultados_Reales!$A$4:$I$107, 6, FALSE)=""), 0, IF(AND(VLOOKUP(C416, Resultados_Reales!$A$4:$I$107, 5, FALSE)=G416, VLOOKUP(C416, Resultados_Reales!$A$4:$I$107, 6, FALSE)=H416), Configuracion!$B$5, IF(SIGN(VLOOKUP(C416, Resultados_Reales!$A$4:$I$107, 5, FALSE)-VLOOKUP(C416, Resultados_Reales!$A$4:$I$107, 6, FALSE)) = SIGN(G416-H416), Configuracion!$B$4, 0)))</f>
        <v/>
      </c>
      <c r="L416" s="11" t="n"/>
      <c r="M416" s="11" t="n"/>
      <c r="N416" s="11" t="n"/>
      <c r="O416" s="11" t="n"/>
      <c r="P416" s="11" t="n"/>
      <c r="Q416" s="11" t="n"/>
    </row>
    <row r="417">
      <c r="A417" s="8">
        <f>B417&amp;"_"&amp;C417</f>
        <v/>
      </c>
      <c r="B417" s="8" t="n"/>
      <c r="C417" s="8" t="n"/>
      <c r="D417" s="8" t="n"/>
      <c r="E417" s="11" t="n"/>
      <c r="F417" s="11" t="n"/>
      <c r="G417" s="8" t="n"/>
      <c r="H417" s="8" t="n"/>
      <c r="I417" s="8" t="n"/>
      <c r="J417" s="8" t="n"/>
      <c r="K417" s="12">
        <f>IF(OR(ISERROR(VLOOKUP(C417, Resultados_Reales!$A$4:$I$107, 5, FALSE)), ISERROR(VLOOKUP(C417, Resultados_Reales!$A$4:$I$107, 6, FALSE)), VLOOKUP(C417, Resultados_Reales!$A$4:$I$107, 5, FALSE)="", VLOOKUP(C417, Resultados_Reales!$A$4:$I$107, 6, FALSE)=""), 0, IF(AND(VLOOKUP(C417, Resultados_Reales!$A$4:$I$107, 5, FALSE)=G417, VLOOKUP(C417, Resultados_Reales!$A$4:$I$107, 6, FALSE)=H417), Configuracion!$B$5, IF(SIGN(VLOOKUP(C417, Resultados_Reales!$A$4:$I$107, 5, FALSE)-VLOOKUP(C417, Resultados_Reales!$A$4:$I$107, 6, FALSE)) = SIGN(G417-H417), Configuracion!$B$4, 0)))</f>
        <v/>
      </c>
      <c r="L417" s="11" t="n"/>
      <c r="M417" s="11" t="n"/>
      <c r="N417" s="11" t="n"/>
      <c r="O417" s="11" t="n"/>
      <c r="P417" s="11" t="n"/>
      <c r="Q417" s="11" t="n"/>
    </row>
    <row r="418">
      <c r="A418" s="8">
        <f>B418&amp;"_"&amp;C418</f>
        <v/>
      </c>
      <c r="B418" s="8" t="n"/>
      <c r="C418" s="8" t="n"/>
      <c r="D418" s="8" t="n"/>
      <c r="E418" s="11" t="n"/>
      <c r="F418" s="11" t="n"/>
      <c r="G418" s="8" t="n"/>
      <c r="H418" s="8" t="n"/>
      <c r="I418" s="8" t="n"/>
      <c r="J418" s="8" t="n"/>
      <c r="K418" s="12">
        <f>IF(OR(ISERROR(VLOOKUP(C418, Resultados_Reales!$A$4:$I$107, 5, FALSE)), ISERROR(VLOOKUP(C418, Resultados_Reales!$A$4:$I$107, 6, FALSE)), VLOOKUP(C418, Resultados_Reales!$A$4:$I$107, 5, FALSE)="", VLOOKUP(C418, Resultados_Reales!$A$4:$I$107, 6, FALSE)=""), 0, IF(AND(VLOOKUP(C418, Resultados_Reales!$A$4:$I$107, 5, FALSE)=G418, VLOOKUP(C418, Resultados_Reales!$A$4:$I$107, 6, FALSE)=H418), Configuracion!$B$5, IF(SIGN(VLOOKUP(C418, Resultados_Reales!$A$4:$I$107, 5, FALSE)-VLOOKUP(C418, Resultados_Reales!$A$4:$I$107, 6, FALSE)) = SIGN(G418-H418), Configuracion!$B$4, 0)))</f>
        <v/>
      </c>
      <c r="L418" s="11" t="n"/>
      <c r="M418" s="11" t="n"/>
      <c r="N418" s="11" t="n"/>
      <c r="O418" s="11" t="n"/>
      <c r="P418" s="11" t="n"/>
      <c r="Q418" s="11" t="n"/>
    </row>
    <row r="419">
      <c r="A419" s="8">
        <f>B419&amp;"_"&amp;C419</f>
        <v/>
      </c>
      <c r="B419" s="8" t="n"/>
      <c r="C419" s="8" t="n"/>
      <c r="D419" s="8" t="n"/>
      <c r="E419" s="11" t="n"/>
      <c r="F419" s="11" t="n"/>
      <c r="G419" s="8" t="n"/>
      <c r="H419" s="8" t="n"/>
      <c r="I419" s="8" t="n"/>
      <c r="J419" s="8" t="n"/>
      <c r="K419" s="12">
        <f>IF(OR(ISERROR(VLOOKUP(C419, Resultados_Reales!$A$4:$I$107, 5, FALSE)), ISERROR(VLOOKUP(C419, Resultados_Reales!$A$4:$I$107, 6, FALSE)), VLOOKUP(C419, Resultados_Reales!$A$4:$I$107, 5, FALSE)="", VLOOKUP(C419, Resultados_Reales!$A$4:$I$107, 6, FALSE)=""), 0, IF(AND(VLOOKUP(C419, Resultados_Reales!$A$4:$I$107, 5, FALSE)=G419, VLOOKUP(C419, Resultados_Reales!$A$4:$I$107, 6, FALSE)=H419), Configuracion!$B$5, IF(SIGN(VLOOKUP(C419, Resultados_Reales!$A$4:$I$107, 5, FALSE)-VLOOKUP(C419, Resultados_Reales!$A$4:$I$107, 6, FALSE)) = SIGN(G419-H419), Configuracion!$B$4, 0)))</f>
        <v/>
      </c>
      <c r="L419" s="11" t="n"/>
      <c r="M419" s="11" t="n"/>
      <c r="N419" s="11" t="n"/>
      <c r="O419" s="11" t="n"/>
      <c r="P419" s="11" t="n"/>
      <c r="Q419" s="11" t="n"/>
    </row>
    <row r="420">
      <c r="A420" s="8">
        <f>B420&amp;"_"&amp;C420</f>
        <v/>
      </c>
      <c r="B420" s="8" t="n"/>
      <c r="C420" s="8" t="n"/>
      <c r="D420" s="8" t="n"/>
      <c r="E420" s="11" t="n"/>
      <c r="F420" s="11" t="n"/>
      <c r="G420" s="8" t="n"/>
      <c r="H420" s="8" t="n"/>
      <c r="I420" s="8" t="n"/>
      <c r="J420" s="8" t="n"/>
      <c r="K420" s="12">
        <f>IF(OR(ISERROR(VLOOKUP(C420, Resultados_Reales!$A$4:$I$107, 5, FALSE)), ISERROR(VLOOKUP(C420, Resultados_Reales!$A$4:$I$107, 6, FALSE)), VLOOKUP(C420, Resultados_Reales!$A$4:$I$107, 5, FALSE)="", VLOOKUP(C420, Resultados_Reales!$A$4:$I$107, 6, FALSE)=""), 0, IF(AND(VLOOKUP(C420, Resultados_Reales!$A$4:$I$107, 5, FALSE)=G420, VLOOKUP(C420, Resultados_Reales!$A$4:$I$107, 6, FALSE)=H420), Configuracion!$B$5, IF(SIGN(VLOOKUP(C420, Resultados_Reales!$A$4:$I$107, 5, FALSE)-VLOOKUP(C420, Resultados_Reales!$A$4:$I$107, 6, FALSE)) = SIGN(G420-H420), Configuracion!$B$4, 0)))</f>
        <v/>
      </c>
      <c r="L420" s="11" t="n"/>
      <c r="M420" s="11" t="n"/>
      <c r="N420" s="11" t="n"/>
      <c r="O420" s="11" t="n"/>
      <c r="P420" s="11" t="n"/>
      <c r="Q420" s="11" t="n"/>
    </row>
    <row r="421">
      <c r="A421" s="8">
        <f>B421&amp;"_"&amp;C421</f>
        <v/>
      </c>
      <c r="B421" s="8" t="n"/>
      <c r="C421" s="8" t="n"/>
      <c r="D421" s="8" t="n"/>
      <c r="E421" s="11" t="n"/>
      <c r="F421" s="11" t="n"/>
      <c r="G421" s="8" t="n"/>
      <c r="H421" s="8" t="n"/>
      <c r="I421" s="8" t="n"/>
      <c r="J421" s="8" t="n"/>
      <c r="K421" s="12">
        <f>IF(OR(ISERROR(VLOOKUP(C421, Resultados_Reales!$A$4:$I$107, 5, FALSE)), ISERROR(VLOOKUP(C421, Resultados_Reales!$A$4:$I$107, 6, FALSE)), VLOOKUP(C421, Resultados_Reales!$A$4:$I$107, 5, FALSE)="", VLOOKUP(C421, Resultados_Reales!$A$4:$I$107, 6, FALSE)=""), 0, IF(AND(VLOOKUP(C421, Resultados_Reales!$A$4:$I$107, 5, FALSE)=G421, VLOOKUP(C421, Resultados_Reales!$A$4:$I$107, 6, FALSE)=H421), Configuracion!$B$5, IF(SIGN(VLOOKUP(C421, Resultados_Reales!$A$4:$I$107, 5, FALSE)-VLOOKUP(C421, Resultados_Reales!$A$4:$I$107, 6, FALSE)) = SIGN(G421-H421), Configuracion!$B$4, 0)))</f>
        <v/>
      </c>
      <c r="L421" s="11" t="n"/>
      <c r="M421" s="11" t="n"/>
      <c r="N421" s="11" t="n"/>
      <c r="O421" s="11" t="n"/>
      <c r="P421" s="11" t="n"/>
      <c r="Q421" s="11" t="n"/>
    </row>
    <row r="422">
      <c r="A422" s="8">
        <f>B422&amp;"_"&amp;C422</f>
        <v/>
      </c>
      <c r="B422" s="8" t="n"/>
      <c r="C422" s="8" t="n"/>
      <c r="D422" s="8" t="n"/>
      <c r="E422" s="11" t="n"/>
      <c r="F422" s="11" t="n"/>
      <c r="G422" s="8" t="n"/>
      <c r="H422" s="8" t="n"/>
      <c r="I422" s="8" t="n"/>
      <c r="J422" s="8" t="n"/>
      <c r="K422" s="12">
        <f>IF(OR(ISERROR(VLOOKUP(C422, Resultados_Reales!$A$4:$I$107, 5, FALSE)), ISERROR(VLOOKUP(C422, Resultados_Reales!$A$4:$I$107, 6, FALSE)), VLOOKUP(C422, Resultados_Reales!$A$4:$I$107, 5, FALSE)="", VLOOKUP(C422, Resultados_Reales!$A$4:$I$107, 6, FALSE)=""), 0, IF(AND(VLOOKUP(C422, Resultados_Reales!$A$4:$I$107, 5, FALSE)=G422, VLOOKUP(C422, Resultados_Reales!$A$4:$I$107, 6, FALSE)=H422), Configuracion!$B$5, IF(SIGN(VLOOKUP(C422, Resultados_Reales!$A$4:$I$107, 5, FALSE)-VLOOKUP(C422, Resultados_Reales!$A$4:$I$107, 6, FALSE)) = SIGN(G422-H422), Configuracion!$B$4, 0)))</f>
        <v/>
      </c>
      <c r="L422" s="11" t="n"/>
      <c r="M422" s="11" t="n"/>
      <c r="N422" s="11" t="n"/>
      <c r="O422" s="11" t="n"/>
      <c r="P422" s="11" t="n"/>
      <c r="Q422" s="11" t="n"/>
    </row>
    <row r="423">
      <c r="A423" s="8">
        <f>B423&amp;"_"&amp;C423</f>
        <v/>
      </c>
      <c r="B423" s="8" t="n"/>
      <c r="C423" s="8" t="n"/>
      <c r="D423" s="8" t="n"/>
      <c r="E423" s="11" t="n"/>
      <c r="F423" s="11" t="n"/>
      <c r="G423" s="8" t="n"/>
      <c r="H423" s="8" t="n"/>
      <c r="I423" s="8" t="n"/>
      <c r="J423" s="8" t="n"/>
      <c r="K423" s="12">
        <f>IF(OR(ISERROR(VLOOKUP(C423, Resultados_Reales!$A$4:$I$107, 5, FALSE)), ISERROR(VLOOKUP(C423, Resultados_Reales!$A$4:$I$107, 6, FALSE)), VLOOKUP(C423, Resultados_Reales!$A$4:$I$107, 5, FALSE)="", VLOOKUP(C423, Resultados_Reales!$A$4:$I$107, 6, FALSE)=""), 0, IF(AND(VLOOKUP(C423, Resultados_Reales!$A$4:$I$107, 5, FALSE)=G423, VLOOKUP(C423, Resultados_Reales!$A$4:$I$107, 6, FALSE)=H423), Configuracion!$B$5, IF(SIGN(VLOOKUP(C423, Resultados_Reales!$A$4:$I$107, 5, FALSE)-VLOOKUP(C423, Resultados_Reales!$A$4:$I$107, 6, FALSE)) = SIGN(G423-H423), Configuracion!$B$4, 0)))</f>
        <v/>
      </c>
      <c r="L423" s="11" t="n"/>
      <c r="M423" s="11" t="n"/>
      <c r="N423" s="11" t="n"/>
      <c r="O423" s="11" t="n"/>
      <c r="P423" s="11" t="n"/>
      <c r="Q423" s="11" t="n"/>
    </row>
    <row r="424">
      <c r="A424" s="8">
        <f>B424&amp;"_"&amp;C424</f>
        <v/>
      </c>
      <c r="B424" s="8" t="n"/>
      <c r="C424" s="8" t="n"/>
      <c r="D424" s="8" t="n"/>
      <c r="E424" s="11" t="n"/>
      <c r="F424" s="11" t="n"/>
      <c r="G424" s="8" t="n"/>
      <c r="H424" s="8" t="n"/>
      <c r="I424" s="8" t="n"/>
      <c r="J424" s="8" t="n"/>
      <c r="K424" s="12">
        <f>IF(OR(ISERROR(VLOOKUP(C424, Resultados_Reales!$A$4:$I$107, 5, FALSE)), ISERROR(VLOOKUP(C424, Resultados_Reales!$A$4:$I$107, 6, FALSE)), VLOOKUP(C424, Resultados_Reales!$A$4:$I$107, 5, FALSE)="", VLOOKUP(C424, Resultados_Reales!$A$4:$I$107, 6, FALSE)=""), 0, IF(AND(VLOOKUP(C424, Resultados_Reales!$A$4:$I$107, 5, FALSE)=G424, VLOOKUP(C424, Resultados_Reales!$A$4:$I$107, 6, FALSE)=H424), Configuracion!$B$5, IF(SIGN(VLOOKUP(C424, Resultados_Reales!$A$4:$I$107, 5, FALSE)-VLOOKUP(C424, Resultados_Reales!$A$4:$I$107, 6, FALSE)) = SIGN(G424-H424), Configuracion!$B$4, 0)))</f>
        <v/>
      </c>
      <c r="L424" s="11" t="n"/>
      <c r="M424" s="11" t="n"/>
      <c r="N424" s="11" t="n"/>
      <c r="O424" s="11" t="n"/>
      <c r="P424" s="11" t="n"/>
      <c r="Q424" s="11" t="n"/>
    </row>
    <row r="425">
      <c r="A425" s="8">
        <f>B425&amp;"_"&amp;C425</f>
        <v/>
      </c>
      <c r="B425" s="8" t="n"/>
      <c r="C425" s="8" t="n"/>
      <c r="D425" s="8" t="n"/>
      <c r="E425" s="11" t="n"/>
      <c r="F425" s="11" t="n"/>
      <c r="G425" s="8" t="n"/>
      <c r="H425" s="8" t="n"/>
      <c r="I425" s="8" t="n"/>
      <c r="J425" s="8" t="n"/>
      <c r="K425" s="12">
        <f>IF(OR(ISERROR(VLOOKUP(C425, Resultados_Reales!$A$4:$I$107, 5, FALSE)), ISERROR(VLOOKUP(C425, Resultados_Reales!$A$4:$I$107, 6, FALSE)), VLOOKUP(C425, Resultados_Reales!$A$4:$I$107, 5, FALSE)="", VLOOKUP(C425, Resultados_Reales!$A$4:$I$107, 6, FALSE)=""), 0, IF(AND(VLOOKUP(C425, Resultados_Reales!$A$4:$I$107, 5, FALSE)=G425, VLOOKUP(C425, Resultados_Reales!$A$4:$I$107, 6, FALSE)=H425), Configuracion!$B$5, IF(SIGN(VLOOKUP(C425, Resultados_Reales!$A$4:$I$107, 5, FALSE)-VLOOKUP(C425, Resultados_Reales!$A$4:$I$107, 6, FALSE)) = SIGN(G425-H425), Configuracion!$B$4, 0)))</f>
        <v/>
      </c>
      <c r="L425" s="11" t="n"/>
      <c r="M425" s="11" t="n"/>
      <c r="N425" s="11" t="n"/>
      <c r="O425" s="11" t="n"/>
      <c r="P425" s="11" t="n"/>
      <c r="Q425" s="11" t="n"/>
    </row>
    <row r="426">
      <c r="A426" s="8">
        <f>B426&amp;"_"&amp;C426</f>
        <v/>
      </c>
      <c r="B426" s="8" t="n"/>
      <c r="C426" s="8" t="n"/>
      <c r="D426" s="8" t="n"/>
      <c r="E426" s="11" t="n"/>
      <c r="F426" s="11" t="n"/>
      <c r="G426" s="8" t="n"/>
      <c r="H426" s="8" t="n"/>
      <c r="I426" s="8" t="n"/>
      <c r="J426" s="8" t="n"/>
      <c r="K426" s="12">
        <f>IF(OR(ISERROR(VLOOKUP(C426, Resultados_Reales!$A$4:$I$107, 5, FALSE)), ISERROR(VLOOKUP(C426, Resultados_Reales!$A$4:$I$107, 6, FALSE)), VLOOKUP(C426, Resultados_Reales!$A$4:$I$107, 5, FALSE)="", VLOOKUP(C426, Resultados_Reales!$A$4:$I$107, 6, FALSE)=""), 0, IF(AND(VLOOKUP(C426, Resultados_Reales!$A$4:$I$107, 5, FALSE)=G426, VLOOKUP(C426, Resultados_Reales!$A$4:$I$107, 6, FALSE)=H426), Configuracion!$B$5, IF(SIGN(VLOOKUP(C426, Resultados_Reales!$A$4:$I$107, 5, FALSE)-VLOOKUP(C426, Resultados_Reales!$A$4:$I$107, 6, FALSE)) = SIGN(G426-H426), Configuracion!$B$4, 0)))</f>
        <v/>
      </c>
      <c r="L426" s="11" t="n"/>
      <c r="M426" s="11" t="n"/>
      <c r="N426" s="11" t="n"/>
      <c r="O426" s="11" t="n"/>
      <c r="P426" s="11" t="n"/>
      <c r="Q426" s="11" t="n"/>
    </row>
    <row r="427">
      <c r="A427" s="8">
        <f>B427&amp;"_"&amp;C427</f>
        <v/>
      </c>
      <c r="B427" s="8" t="n"/>
      <c r="C427" s="8" t="n"/>
      <c r="D427" s="8" t="n"/>
      <c r="E427" s="11" t="n"/>
      <c r="F427" s="11" t="n"/>
      <c r="G427" s="8" t="n"/>
      <c r="H427" s="8" t="n"/>
      <c r="I427" s="8" t="n"/>
      <c r="J427" s="8" t="n"/>
      <c r="K427" s="12">
        <f>IF(OR(ISERROR(VLOOKUP(C427, Resultados_Reales!$A$4:$I$107, 5, FALSE)), ISERROR(VLOOKUP(C427, Resultados_Reales!$A$4:$I$107, 6, FALSE)), VLOOKUP(C427, Resultados_Reales!$A$4:$I$107, 5, FALSE)="", VLOOKUP(C427, Resultados_Reales!$A$4:$I$107, 6, FALSE)=""), 0, IF(AND(VLOOKUP(C427, Resultados_Reales!$A$4:$I$107, 5, FALSE)=G427, VLOOKUP(C427, Resultados_Reales!$A$4:$I$107, 6, FALSE)=H427), Configuracion!$B$5, IF(SIGN(VLOOKUP(C427, Resultados_Reales!$A$4:$I$107, 5, FALSE)-VLOOKUP(C427, Resultados_Reales!$A$4:$I$107, 6, FALSE)) = SIGN(G427-H427), Configuracion!$B$4, 0)))</f>
        <v/>
      </c>
      <c r="L427" s="11" t="n"/>
      <c r="M427" s="11" t="n"/>
      <c r="N427" s="11" t="n"/>
      <c r="O427" s="11" t="n"/>
      <c r="P427" s="11" t="n"/>
      <c r="Q427" s="11" t="n"/>
    </row>
    <row r="428">
      <c r="A428" s="8">
        <f>B428&amp;"_"&amp;C428</f>
        <v/>
      </c>
      <c r="B428" s="8" t="n"/>
      <c r="C428" s="8" t="n"/>
      <c r="D428" s="8" t="n"/>
      <c r="E428" s="11" t="n"/>
      <c r="F428" s="11" t="n"/>
      <c r="G428" s="8" t="n"/>
      <c r="H428" s="8" t="n"/>
      <c r="I428" s="8" t="n"/>
      <c r="J428" s="8" t="n"/>
      <c r="K428" s="12">
        <f>IF(OR(ISERROR(VLOOKUP(C428, Resultados_Reales!$A$4:$I$107, 5, FALSE)), ISERROR(VLOOKUP(C428, Resultados_Reales!$A$4:$I$107, 6, FALSE)), VLOOKUP(C428, Resultados_Reales!$A$4:$I$107, 5, FALSE)="", VLOOKUP(C428, Resultados_Reales!$A$4:$I$107, 6, FALSE)=""), 0, IF(AND(VLOOKUP(C428, Resultados_Reales!$A$4:$I$107, 5, FALSE)=G428, VLOOKUP(C428, Resultados_Reales!$A$4:$I$107, 6, FALSE)=H428), Configuracion!$B$5, IF(SIGN(VLOOKUP(C428, Resultados_Reales!$A$4:$I$107, 5, FALSE)-VLOOKUP(C428, Resultados_Reales!$A$4:$I$107, 6, FALSE)) = SIGN(G428-H428), Configuracion!$B$4, 0)))</f>
        <v/>
      </c>
      <c r="L428" s="11" t="n"/>
      <c r="M428" s="11" t="n"/>
      <c r="N428" s="11" t="n"/>
      <c r="O428" s="11" t="n"/>
      <c r="P428" s="11" t="n"/>
      <c r="Q428" s="11" t="n"/>
    </row>
    <row r="429">
      <c r="A429" s="8">
        <f>B429&amp;"_"&amp;C429</f>
        <v/>
      </c>
      <c r="B429" s="8" t="n"/>
      <c r="C429" s="8" t="n"/>
      <c r="D429" s="8" t="n"/>
      <c r="E429" s="11" t="n"/>
      <c r="F429" s="11" t="n"/>
      <c r="G429" s="8" t="n"/>
      <c r="H429" s="8" t="n"/>
      <c r="I429" s="8" t="n"/>
      <c r="J429" s="8" t="n"/>
      <c r="K429" s="12">
        <f>IF(OR(ISERROR(VLOOKUP(C429, Resultados_Reales!$A$4:$I$107, 5, FALSE)), ISERROR(VLOOKUP(C429, Resultados_Reales!$A$4:$I$107, 6, FALSE)), VLOOKUP(C429, Resultados_Reales!$A$4:$I$107, 5, FALSE)="", VLOOKUP(C429, Resultados_Reales!$A$4:$I$107, 6, FALSE)=""), 0, IF(AND(VLOOKUP(C429, Resultados_Reales!$A$4:$I$107, 5, FALSE)=G429, VLOOKUP(C429, Resultados_Reales!$A$4:$I$107, 6, FALSE)=H429), Configuracion!$B$5, IF(SIGN(VLOOKUP(C429, Resultados_Reales!$A$4:$I$107, 5, FALSE)-VLOOKUP(C429, Resultados_Reales!$A$4:$I$107, 6, FALSE)) = SIGN(G429-H429), Configuracion!$B$4, 0)))</f>
        <v/>
      </c>
      <c r="L429" s="11" t="n"/>
      <c r="M429" s="11" t="n"/>
      <c r="N429" s="11" t="n"/>
      <c r="O429" s="11" t="n"/>
      <c r="P429" s="11" t="n"/>
      <c r="Q429" s="11" t="n"/>
    </row>
    <row r="430">
      <c r="A430" s="8">
        <f>B430&amp;"_"&amp;C430</f>
        <v/>
      </c>
      <c r="B430" s="8" t="n"/>
      <c r="C430" s="8" t="n"/>
      <c r="D430" s="8" t="n"/>
      <c r="E430" s="11" t="n"/>
      <c r="F430" s="11" t="n"/>
      <c r="G430" s="8" t="n"/>
      <c r="H430" s="8" t="n"/>
      <c r="I430" s="8" t="n"/>
      <c r="J430" s="8" t="n"/>
      <c r="K430" s="12">
        <f>IF(OR(ISERROR(VLOOKUP(C430, Resultados_Reales!$A$4:$I$107, 5, FALSE)), ISERROR(VLOOKUP(C430, Resultados_Reales!$A$4:$I$107, 6, FALSE)), VLOOKUP(C430, Resultados_Reales!$A$4:$I$107, 5, FALSE)="", VLOOKUP(C430, Resultados_Reales!$A$4:$I$107, 6, FALSE)=""), 0, IF(AND(VLOOKUP(C430, Resultados_Reales!$A$4:$I$107, 5, FALSE)=G430, VLOOKUP(C430, Resultados_Reales!$A$4:$I$107, 6, FALSE)=H430), Configuracion!$B$5, IF(SIGN(VLOOKUP(C430, Resultados_Reales!$A$4:$I$107, 5, FALSE)-VLOOKUP(C430, Resultados_Reales!$A$4:$I$107, 6, FALSE)) = SIGN(G430-H430), Configuracion!$B$4, 0)))</f>
        <v/>
      </c>
      <c r="L430" s="11" t="n"/>
      <c r="M430" s="11" t="n"/>
      <c r="N430" s="11" t="n"/>
      <c r="O430" s="11" t="n"/>
      <c r="P430" s="11" t="n"/>
      <c r="Q430" s="11" t="n"/>
    </row>
    <row r="431">
      <c r="A431" s="8">
        <f>B431&amp;"_"&amp;C431</f>
        <v/>
      </c>
      <c r="B431" s="8" t="n"/>
      <c r="C431" s="8" t="n"/>
      <c r="D431" s="8" t="n"/>
      <c r="E431" s="11" t="n"/>
      <c r="F431" s="11" t="n"/>
      <c r="G431" s="8" t="n"/>
      <c r="H431" s="8" t="n"/>
      <c r="I431" s="8" t="n"/>
      <c r="J431" s="8" t="n"/>
      <c r="K431" s="12">
        <f>IF(OR(ISERROR(VLOOKUP(C431, Resultados_Reales!$A$4:$I$107, 5, FALSE)), ISERROR(VLOOKUP(C431, Resultados_Reales!$A$4:$I$107, 6, FALSE)), VLOOKUP(C431, Resultados_Reales!$A$4:$I$107, 5, FALSE)="", VLOOKUP(C431, Resultados_Reales!$A$4:$I$107, 6, FALSE)=""), 0, IF(AND(VLOOKUP(C431, Resultados_Reales!$A$4:$I$107, 5, FALSE)=G431, VLOOKUP(C431, Resultados_Reales!$A$4:$I$107, 6, FALSE)=H431), Configuracion!$B$5, IF(SIGN(VLOOKUP(C431, Resultados_Reales!$A$4:$I$107, 5, FALSE)-VLOOKUP(C431, Resultados_Reales!$A$4:$I$107, 6, FALSE)) = SIGN(G431-H431), Configuracion!$B$4, 0)))</f>
        <v/>
      </c>
      <c r="L431" s="11" t="n"/>
      <c r="M431" s="11" t="n"/>
      <c r="N431" s="11" t="n"/>
      <c r="O431" s="11" t="n"/>
      <c r="P431" s="11" t="n"/>
      <c r="Q431" s="11" t="n"/>
    </row>
    <row r="432">
      <c r="A432" s="8">
        <f>B432&amp;"_"&amp;C432</f>
        <v/>
      </c>
      <c r="B432" s="8" t="n"/>
      <c r="C432" s="8" t="n"/>
      <c r="D432" s="8" t="n"/>
      <c r="E432" s="11" t="n"/>
      <c r="F432" s="11" t="n"/>
      <c r="G432" s="8" t="n"/>
      <c r="H432" s="8" t="n"/>
      <c r="I432" s="8" t="n"/>
      <c r="J432" s="8" t="n"/>
      <c r="K432" s="12">
        <f>IF(OR(ISERROR(VLOOKUP(C432, Resultados_Reales!$A$4:$I$107, 5, FALSE)), ISERROR(VLOOKUP(C432, Resultados_Reales!$A$4:$I$107, 6, FALSE)), VLOOKUP(C432, Resultados_Reales!$A$4:$I$107, 5, FALSE)="", VLOOKUP(C432, Resultados_Reales!$A$4:$I$107, 6, FALSE)=""), 0, IF(AND(VLOOKUP(C432, Resultados_Reales!$A$4:$I$107, 5, FALSE)=G432, VLOOKUP(C432, Resultados_Reales!$A$4:$I$107, 6, FALSE)=H432), Configuracion!$B$5, IF(SIGN(VLOOKUP(C432, Resultados_Reales!$A$4:$I$107, 5, FALSE)-VLOOKUP(C432, Resultados_Reales!$A$4:$I$107, 6, FALSE)) = SIGN(G432-H432), Configuracion!$B$4, 0)))</f>
        <v/>
      </c>
      <c r="L432" s="11" t="n"/>
      <c r="M432" s="11" t="n"/>
      <c r="N432" s="11" t="n"/>
      <c r="O432" s="11" t="n"/>
      <c r="P432" s="11" t="n"/>
      <c r="Q432" s="11" t="n"/>
    </row>
    <row r="433">
      <c r="A433" s="8">
        <f>B433&amp;"_"&amp;C433</f>
        <v/>
      </c>
      <c r="B433" s="8" t="n"/>
      <c r="C433" s="8" t="n"/>
      <c r="D433" s="8" t="n"/>
      <c r="E433" s="11" t="n"/>
      <c r="F433" s="11" t="n"/>
      <c r="G433" s="8" t="n"/>
      <c r="H433" s="8" t="n"/>
      <c r="I433" s="8" t="n"/>
      <c r="J433" s="8" t="n"/>
      <c r="K433" s="12">
        <f>IF(OR(ISERROR(VLOOKUP(C433, Resultados_Reales!$A$4:$I$107, 5, FALSE)), ISERROR(VLOOKUP(C433, Resultados_Reales!$A$4:$I$107, 6, FALSE)), VLOOKUP(C433, Resultados_Reales!$A$4:$I$107, 5, FALSE)="", VLOOKUP(C433, Resultados_Reales!$A$4:$I$107, 6, FALSE)=""), 0, IF(AND(VLOOKUP(C433, Resultados_Reales!$A$4:$I$107, 5, FALSE)=G433, VLOOKUP(C433, Resultados_Reales!$A$4:$I$107, 6, FALSE)=H433), Configuracion!$B$5, IF(SIGN(VLOOKUP(C433, Resultados_Reales!$A$4:$I$107, 5, FALSE)-VLOOKUP(C433, Resultados_Reales!$A$4:$I$107, 6, FALSE)) = SIGN(G433-H433), Configuracion!$B$4, 0)))</f>
        <v/>
      </c>
      <c r="L433" s="11" t="n"/>
      <c r="M433" s="11" t="n"/>
      <c r="N433" s="11" t="n"/>
      <c r="O433" s="11" t="n"/>
      <c r="P433" s="11" t="n"/>
      <c r="Q433" s="11" t="n"/>
    </row>
    <row r="434">
      <c r="A434" s="8">
        <f>B434&amp;"_"&amp;C434</f>
        <v/>
      </c>
      <c r="B434" s="8" t="n"/>
      <c r="C434" s="8" t="n"/>
      <c r="D434" s="8" t="n"/>
      <c r="E434" s="11" t="n"/>
      <c r="F434" s="11" t="n"/>
      <c r="G434" s="8" t="n"/>
      <c r="H434" s="8" t="n"/>
      <c r="I434" s="8" t="n"/>
      <c r="J434" s="8" t="n"/>
      <c r="K434" s="12">
        <f>IF(OR(ISERROR(VLOOKUP(C434, Resultados_Reales!$A$4:$I$107, 5, FALSE)), ISERROR(VLOOKUP(C434, Resultados_Reales!$A$4:$I$107, 6, FALSE)), VLOOKUP(C434, Resultados_Reales!$A$4:$I$107, 5, FALSE)="", VLOOKUP(C434, Resultados_Reales!$A$4:$I$107, 6, FALSE)=""), 0, IF(AND(VLOOKUP(C434, Resultados_Reales!$A$4:$I$107, 5, FALSE)=G434, VLOOKUP(C434, Resultados_Reales!$A$4:$I$107, 6, FALSE)=H434), Configuracion!$B$5, IF(SIGN(VLOOKUP(C434, Resultados_Reales!$A$4:$I$107, 5, FALSE)-VLOOKUP(C434, Resultados_Reales!$A$4:$I$107, 6, FALSE)) = SIGN(G434-H434), Configuracion!$B$4, 0)))</f>
        <v/>
      </c>
      <c r="L434" s="11" t="n"/>
      <c r="M434" s="11" t="n"/>
      <c r="N434" s="11" t="n"/>
      <c r="O434" s="11" t="n"/>
      <c r="P434" s="11" t="n"/>
      <c r="Q434" s="11" t="n"/>
    </row>
    <row r="435">
      <c r="A435" s="8">
        <f>B435&amp;"_"&amp;C435</f>
        <v/>
      </c>
      <c r="B435" s="8" t="n"/>
      <c r="C435" s="8" t="n"/>
      <c r="D435" s="8" t="n"/>
      <c r="E435" s="11" t="n"/>
      <c r="F435" s="11" t="n"/>
      <c r="G435" s="8" t="n"/>
      <c r="H435" s="8" t="n"/>
      <c r="I435" s="8" t="n"/>
      <c r="J435" s="8" t="n"/>
      <c r="K435" s="12">
        <f>IF(OR(ISERROR(VLOOKUP(C435, Resultados_Reales!$A$4:$I$107, 5, FALSE)), ISERROR(VLOOKUP(C435, Resultados_Reales!$A$4:$I$107, 6, FALSE)), VLOOKUP(C435, Resultados_Reales!$A$4:$I$107, 5, FALSE)="", VLOOKUP(C435, Resultados_Reales!$A$4:$I$107, 6, FALSE)=""), 0, IF(AND(VLOOKUP(C435, Resultados_Reales!$A$4:$I$107, 5, FALSE)=G435, VLOOKUP(C435, Resultados_Reales!$A$4:$I$107, 6, FALSE)=H435), Configuracion!$B$5, IF(SIGN(VLOOKUP(C435, Resultados_Reales!$A$4:$I$107, 5, FALSE)-VLOOKUP(C435, Resultados_Reales!$A$4:$I$107, 6, FALSE)) = SIGN(G435-H435), Configuracion!$B$4, 0)))</f>
        <v/>
      </c>
      <c r="L435" s="11" t="n"/>
      <c r="M435" s="11" t="n"/>
      <c r="N435" s="11" t="n"/>
      <c r="O435" s="11" t="n"/>
      <c r="P435" s="11" t="n"/>
      <c r="Q435" s="11" t="n"/>
    </row>
    <row r="436">
      <c r="A436" s="8">
        <f>B436&amp;"_"&amp;C436</f>
        <v/>
      </c>
      <c r="B436" s="8" t="n"/>
      <c r="C436" s="8" t="n"/>
      <c r="D436" s="8" t="n"/>
      <c r="E436" s="11" t="n"/>
      <c r="F436" s="11" t="n"/>
      <c r="G436" s="8" t="n"/>
      <c r="H436" s="8" t="n"/>
      <c r="I436" s="8" t="n"/>
      <c r="J436" s="8" t="n"/>
      <c r="K436" s="12">
        <f>IF(OR(ISERROR(VLOOKUP(C436, Resultados_Reales!$A$4:$I$107, 5, FALSE)), ISERROR(VLOOKUP(C436, Resultados_Reales!$A$4:$I$107, 6, FALSE)), VLOOKUP(C436, Resultados_Reales!$A$4:$I$107, 5, FALSE)="", VLOOKUP(C436, Resultados_Reales!$A$4:$I$107, 6, FALSE)=""), 0, IF(AND(VLOOKUP(C436, Resultados_Reales!$A$4:$I$107, 5, FALSE)=G436, VLOOKUP(C436, Resultados_Reales!$A$4:$I$107, 6, FALSE)=H436), Configuracion!$B$5, IF(SIGN(VLOOKUP(C436, Resultados_Reales!$A$4:$I$107, 5, FALSE)-VLOOKUP(C436, Resultados_Reales!$A$4:$I$107, 6, FALSE)) = SIGN(G436-H436), Configuracion!$B$4, 0)))</f>
        <v/>
      </c>
      <c r="L436" s="11" t="n"/>
      <c r="M436" s="11" t="n"/>
      <c r="N436" s="11" t="n"/>
      <c r="O436" s="11" t="n"/>
      <c r="P436" s="11" t="n"/>
      <c r="Q436" s="11" t="n"/>
    </row>
    <row r="437">
      <c r="A437" s="8">
        <f>B437&amp;"_"&amp;C437</f>
        <v/>
      </c>
      <c r="B437" s="8" t="n"/>
      <c r="C437" s="8" t="n"/>
      <c r="D437" s="8" t="n"/>
      <c r="E437" s="11" t="n"/>
      <c r="F437" s="11" t="n"/>
      <c r="G437" s="8" t="n"/>
      <c r="H437" s="8" t="n"/>
      <c r="I437" s="8" t="n"/>
      <c r="J437" s="8" t="n"/>
      <c r="K437" s="12">
        <f>IF(OR(ISERROR(VLOOKUP(C437, Resultados_Reales!$A$4:$I$107, 5, FALSE)), ISERROR(VLOOKUP(C437, Resultados_Reales!$A$4:$I$107, 6, FALSE)), VLOOKUP(C437, Resultados_Reales!$A$4:$I$107, 5, FALSE)="", VLOOKUP(C437, Resultados_Reales!$A$4:$I$107, 6, FALSE)=""), 0, IF(AND(VLOOKUP(C437, Resultados_Reales!$A$4:$I$107, 5, FALSE)=G437, VLOOKUP(C437, Resultados_Reales!$A$4:$I$107, 6, FALSE)=H437), Configuracion!$B$5, IF(SIGN(VLOOKUP(C437, Resultados_Reales!$A$4:$I$107, 5, FALSE)-VLOOKUP(C437, Resultados_Reales!$A$4:$I$107, 6, FALSE)) = SIGN(G437-H437), Configuracion!$B$4, 0)))</f>
        <v/>
      </c>
      <c r="L437" s="11" t="n"/>
      <c r="M437" s="11" t="n"/>
      <c r="N437" s="11" t="n"/>
      <c r="O437" s="11" t="n"/>
      <c r="P437" s="11" t="n"/>
      <c r="Q437" s="11" t="n"/>
    </row>
    <row r="438">
      <c r="A438" s="8">
        <f>B438&amp;"_"&amp;C438</f>
        <v/>
      </c>
      <c r="B438" s="8" t="n"/>
      <c r="C438" s="8" t="n"/>
      <c r="D438" s="8" t="n"/>
      <c r="E438" s="11" t="n"/>
      <c r="F438" s="11" t="n"/>
      <c r="G438" s="8" t="n"/>
      <c r="H438" s="8" t="n"/>
      <c r="I438" s="8" t="n"/>
      <c r="J438" s="8" t="n"/>
      <c r="K438" s="12">
        <f>IF(OR(ISERROR(VLOOKUP(C438, Resultados_Reales!$A$4:$I$107, 5, FALSE)), ISERROR(VLOOKUP(C438, Resultados_Reales!$A$4:$I$107, 6, FALSE)), VLOOKUP(C438, Resultados_Reales!$A$4:$I$107, 5, FALSE)="", VLOOKUP(C438, Resultados_Reales!$A$4:$I$107, 6, FALSE)=""), 0, IF(AND(VLOOKUP(C438, Resultados_Reales!$A$4:$I$107, 5, FALSE)=G438, VLOOKUP(C438, Resultados_Reales!$A$4:$I$107, 6, FALSE)=H438), Configuracion!$B$5, IF(SIGN(VLOOKUP(C438, Resultados_Reales!$A$4:$I$107, 5, FALSE)-VLOOKUP(C438, Resultados_Reales!$A$4:$I$107, 6, FALSE)) = SIGN(G438-H438), Configuracion!$B$4, 0)))</f>
        <v/>
      </c>
      <c r="L438" s="11" t="n"/>
      <c r="M438" s="11" t="n"/>
      <c r="N438" s="11" t="n"/>
      <c r="O438" s="11" t="n"/>
      <c r="P438" s="11" t="n"/>
      <c r="Q438" s="11" t="n"/>
    </row>
    <row r="439">
      <c r="A439" s="8">
        <f>B439&amp;"_"&amp;C439</f>
        <v/>
      </c>
      <c r="B439" s="8" t="n"/>
      <c r="C439" s="8" t="n"/>
      <c r="D439" s="8" t="n"/>
      <c r="E439" s="11" t="n"/>
      <c r="F439" s="11" t="n"/>
      <c r="G439" s="8" t="n"/>
      <c r="H439" s="8" t="n"/>
      <c r="I439" s="8" t="n"/>
      <c r="J439" s="8" t="n"/>
      <c r="K439" s="12">
        <f>IF(OR(ISERROR(VLOOKUP(C439, Resultados_Reales!$A$4:$I$107, 5, FALSE)), ISERROR(VLOOKUP(C439, Resultados_Reales!$A$4:$I$107, 6, FALSE)), VLOOKUP(C439, Resultados_Reales!$A$4:$I$107, 5, FALSE)="", VLOOKUP(C439, Resultados_Reales!$A$4:$I$107, 6, FALSE)=""), 0, IF(AND(VLOOKUP(C439, Resultados_Reales!$A$4:$I$107, 5, FALSE)=G439, VLOOKUP(C439, Resultados_Reales!$A$4:$I$107, 6, FALSE)=H439), Configuracion!$B$5, IF(SIGN(VLOOKUP(C439, Resultados_Reales!$A$4:$I$107, 5, FALSE)-VLOOKUP(C439, Resultados_Reales!$A$4:$I$107, 6, FALSE)) = SIGN(G439-H439), Configuracion!$B$4, 0)))</f>
        <v/>
      </c>
      <c r="L439" s="11" t="n"/>
      <c r="M439" s="11" t="n"/>
      <c r="N439" s="11" t="n"/>
      <c r="O439" s="11" t="n"/>
      <c r="P439" s="11" t="n"/>
      <c r="Q439" s="11" t="n"/>
    </row>
    <row r="440">
      <c r="A440" s="8">
        <f>B440&amp;"_"&amp;C440</f>
        <v/>
      </c>
      <c r="B440" s="8" t="n"/>
      <c r="C440" s="8" t="n"/>
      <c r="D440" s="8" t="n"/>
      <c r="E440" s="11" t="n"/>
      <c r="F440" s="11" t="n"/>
      <c r="G440" s="8" t="n"/>
      <c r="H440" s="8" t="n"/>
      <c r="I440" s="8" t="n"/>
      <c r="J440" s="8" t="n"/>
      <c r="K440" s="12">
        <f>IF(OR(ISERROR(VLOOKUP(C440, Resultados_Reales!$A$4:$I$107, 5, FALSE)), ISERROR(VLOOKUP(C440, Resultados_Reales!$A$4:$I$107, 6, FALSE)), VLOOKUP(C440, Resultados_Reales!$A$4:$I$107, 5, FALSE)="", VLOOKUP(C440, Resultados_Reales!$A$4:$I$107, 6, FALSE)=""), 0, IF(AND(VLOOKUP(C440, Resultados_Reales!$A$4:$I$107, 5, FALSE)=G440, VLOOKUP(C440, Resultados_Reales!$A$4:$I$107, 6, FALSE)=H440), Configuracion!$B$5, IF(SIGN(VLOOKUP(C440, Resultados_Reales!$A$4:$I$107, 5, FALSE)-VLOOKUP(C440, Resultados_Reales!$A$4:$I$107, 6, FALSE)) = SIGN(G440-H440), Configuracion!$B$4, 0)))</f>
        <v/>
      </c>
      <c r="L440" s="11" t="n"/>
      <c r="M440" s="11" t="n"/>
      <c r="N440" s="11" t="n"/>
      <c r="O440" s="11" t="n"/>
      <c r="P440" s="11" t="n"/>
      <c r="Q440" s="11" t="n"/>
    </row>
    <row r="441">
      <c r="A441" s="8">
        <f>B441&amp;"_"&amp;C441</f>
        <v/>
      </c>
      <c r="B441" s="8" t="n"/>
      <c r="C441" s="8" t="n"/>
      <c r="D441" s="8" t="n"/>
      <c r="E441" s="11" t="n"/>
      <c r="F441" s="11" t="n"/>
      <c r="G441" s="8" t="n"/>
      <c r="H441" s="8" t="n"/>
      <c r="I441" s="8" t="n"/>
      <c r="J441" s="8" t="n"/>
      <c r="K441" s="12">
        <f>IF(OR(ISERROR(VLOOKUP(C441, Resultados_Reales!$A$4:$I$107, 5, FALSE)), ISERROR(VLOOKUP(C441, Resultados_Reales!$A$4:$I$107, 6, FALSE)), VLOOKUP(C441, Resultados_Reales!$A$4:$I$107, 5, FALSE)="", VLOOKUP(C441, Resultados_Reales!$A$4:$I$107, 6, FALSE)=""), 0, IF(AND(VLOOKUP(C441, Resultados_Reales!$A$4:$I$107, 5, FALSE)=G441, VLOOKUP(C441, Resultados_Reales!$A$4:$I$107, 6, FALSE)=H441), Configuracion!$B$5, IF(SIGN(VLOOKUP(C441, Resultados_Reales!$A$4:$I$107, 5, FALSE)-VLOOKUP(C441, Resultados_Reales!$A$4:$I$107, 6, FALSE)) = SIGN(G441-H441), Configuracion!$B$4, 0)))</f>
        <v/>
      </c>
      <c r="L441" s="11" t="n"/>
      <c r="M441" s="11" t="n"/>
      <c r="N441" s="11" t="n"/>
      <c r="O441" s="11" t="n"/>
      <c r="P441" s="11" t="n"/>
      <c r="Q441" s="11" t="n"/>
    </row>
    <row r="442">
      <c r="A442" s="8">
        <f>B442&amp;"_"&amp;C442</f>
        <v/>
      </c>
      <c r="B442" s="8" t="n"/>
      <c r="C442" s="8" t="n"/>
      <c r="D442" s="8" t="n"/>
      <c r="E442" s="11" t="n"/>
      <c r="F442" s="11" t="n"/>
      <c r="G442" s="8" t="n"/>
      <c r="H442" s="8" t="n"/>
      <c r="I442" s="8" t="n"/>
      <c r="J442" s="8" t="n"/>
      <c r="K442" s="12">
        <f>IF(OR(ISERROR(VLOOKUP(C442, Resultados_Reales!$A$4:$I$107, 5, FALSE)), ISERROR(VLOOKUP(C442, Resultados_Reales!$A$4:$I$107, 6, FALSE)), VLOOKUP(C442, Resultados_Reales!$A$4:$I$107, 5, FALSE)="", VLOOKUP(C442, Resultados_Reales!$A$4:$I$107, 6, FALSE)=""), 0, IF(AND(VLOOKUP(C442, Resultados_Reales!$A$4:$I$107, 5, FALSE)=G442, VLOOKUP(C442, Resultados_Reales!$A$4:$I$107, 6, FALSE)=H442), Configuracion!$B$5, IF(SIGN(VLOOKUP(C442, Resultados_Reales!$A$4:$I$107, 5, FALSE)-VLOOKUP(C442, Resultados_Reales!$A$4:$I$107, 6, FALSE)) = SIGN(G442-H442), Configuracion!$B$4, 0)))</f>
        <v/>
      </c>
      <c r="L442" s="11" t="n"/>
      <c r="M442" s="11" t="n"/>
      <c r="N442" s="11" t="n"/>
      <c r="O442" s="11" t="n"/>
      <c r="P442" s="11" t="n"/>
      <c r="Q442" s="11" t="n"/>
    </row>
    <row r="443">
      <c r="A443" s="8">
        <f>B443&amp;"_"&amp;C443</f>
        <v/>
      </c>
      <c r="B443" s="8" t="n"/>
      <c r="C443" s="8" t="n"/>
      <c r="D443" s="8" t="n"/>
      <c r="E443" s="11" t="n"/>
      <c r="F443" s="11" t="n"/>
      <c r="G443" s="8" t="n"/>
      <c r="H443" s="8" t="n"/>
      <c r="I443" s="8" t="n"/>
      <c r="J443" s="8" t="n"/>
      <c r="K443" s="12">
        <f>IF(OR(ISERROR(VLOOKUP(C443, Resultados_Reales!$A$4:$I$107, 5, FALSE)), ISERROR(VLOOKUP(C443, Resultados_Reales!$A$4:$I$107, 6, FALSE)), VLOOKUP(C443, Resultados_Reales!$A$4:$I$107, 5, FALSE)="", VLOOKUP(C443, Resultados_Reales!$A$4:$I$107, 6, FALSE)=""), 0, IF(AND(VLOOKUP(C443, Resultados_Reales!$A$4:$I$107, 5, FALSE)=G443, VLOOKUP(C443, Resultados_Reales!$A$4:$I$107, 6, FALSE)=H443), Configuracion!$B$5, IF(SIGN(VLOOKUP(C443, Resultados_Reales!$A$4:$I$107, 5, FALSE)-VLOOKUP(C443, Resultados_Reales!$A$4:$I$107, 6, FALSE)) = SIGN(G443-H443), Configuracion!$B$4, 0)))</f>
        <v/>
      </c>
      <c r="L443" s="11" t="n"/>
      <c r="M443" s="11" t="n"/>
      <c r="N443" s="11" t="n"/>
      <c r="O443" s="11" t="n"/>
      <c r="P443" s="11" t="n"/>
      <c r="Q443" s="11" t="n"/>
    </row>
    <row r="444">
      <c r="A444" s="8">
        <f>B444&amp;"_"&amp;C444</f>
        <v/>
      </c>
      <c r="B444" s="8" t="n"/>
      <c r="C444" s="8" t="n"/>
      <c r="D444" s="8" t="n"/>
      <c r="E444" s="11" t="n"/>
      <c r="F444" s="11" t="n"/>
      <c r="G444" s="8" t="n"/>
      <c r="H444" s="8" t="n"/>
      <c r="I444" s="8" t="n"/>
      <c r="J444" s="8" t="n"/>
      <c r="K444" s="12">
        <f>IF(OR(ISERROR(VLOOKUP(C444, Resultados_Reales!$A$4:$I$107, 5, FALSE)), ISERROR(VLOOKUP(C444, Resultados_Reales!$A$4:$I$107, 6, FALSE)), VLOOKUP(C444, Resultados_Reales!$A$4:$I$107, 5, FALSE)="", VLOOKUP(C444, Resultados_Reales!$A$4:$I$107, 6, FALSE)=""), 0, IF(AND(VLOOKUP(C444, Resultados_Reales!$A$4:$I$107, 5, FALSE)=G444, VLOOKUP(C444, Resultados_Reales!$A$4:$I$107, 6, FALSE)=H444), Configuracion!$B$5, IF(SIGN(VLOOKUP(C444, Resultados_Reales!$A$4:$I$107, 5, FALSE)-VLOOKUP(C444, Resultados_Reales!$A$4:$I$107, 6, FALSE)) = SIGN(G444-H444), Configuracion!$B$4, 0)))</f>
        <v/>
      </c>
      <c r="L444" s="11" t="n"/>
      <c r="M444" s="11" t="n"/>
      <c r="N444" s="11" t="n"/>
      <c r="O444" s="11" t="n"/>
      <c r="P444" s="11" t="n"/>
      <c r="Q444" s="11" t="n"/>
    </row>
    <row r="445">
      <c r="A445" s="8">
        <f>B445&amp;"_"&amp;C445</f>
        <v/>
      </c>
      <c r="B445" s="8" t="n"/>
      <c r="C445" s="8" t="n"/>
      <c r="D445" s="8" t="n"/>
      <c r="E445" s="11" t="n"/>
      <c r="F445" s="11" t="n"/>
      <c r="G445" s="8" t="n"/>
      <c r="H445" s="8" t="n"/>
      <c r="I445" s="8" t="n"/>
      <c r="J445" s="8" t="n"/>
      <c r="K445" s="12">
        <f>IF(OR(ISERROR(VLOOKUP(C445, Resultados_Reales!$A$4:$I$107, 5, FALSE)), ISERROR(VLOOKUP(C445, Resultados_Reales!$A$4:$I$107, 6, FALSE)), VLOOKUP(C445, Resultados_Reales!$A$4:$I$107, 5, FALSE)="", VLOOKUP(C445, Resultados_Reales!$A$4:$I$107, 6, FALSE)=""), 0, IF(AND(VLOOKUP(C445, Resultados_Reales!$A$4:$I$107, 5, FALSE)=G445, VLOOKUP(C445, Resultados_Reales!$A$4:$I$107, 6, FALSE)=H445), Configuracion!$B$5, IF(SIGN(VLOOKUP(C445, Resultados_Reales!$A$4:$I$107, 5, FALSE)-VLOOKUP(C445, Resultados_Reales!$A$4:$I$107, 6, FALSE)) = SIGN(G445-H445), Configuracion!$B$4, 0)))</f>
        <v/>
      </c>
      <c r="L445" s="11" t="n"/>
      <c r="M445" s="11" t="n"/>
      <c r="N445" s="11" t="n"/>
      <c r="O445" s="11" t="n"/>
      <c r="P445" s="11" t="n"/>
      <c r="Q445" s="11" t="n"/>
    </row>
    <row r="446">
      <c r="A446" s="8">
        <f>B446&amp;"_"&amp;C446</f>
        <v/>
      </c>
      <c r="B446" s="8" t="n"/>
      <c r="C446" s="8" t="n"/>
      <c r="D446" s="8" t="n"/>
      <c r="E446" s="11" t="n"/>
      <c r="F446" s="11" t="n"/>
      <c r="G446" s="8" t="n"/>
      <c r="H446" s="8" t="n"/>
      <c r="I446" s="8" t="n"/>
      <c r="J446" s="8" t="n"/>
      <c r="K446" s="12">
        <f>IF(OR(ISERROR(VLOOKUP(C446, Resultados_Reales!$A$4:$I$107, 5, FALSE)), ISERROR(VLOOKUP(C446, Resultados_Reales!$A$4:$I$107, 6, FALSE)), VLOOKUP(C446, Resultados_Reales!$A$4:$I$107, 5, FALSE)="", VLOOKUP(C446, Resultados_Reales!$A$4:$I$107, 6, FALSE)=""), 0, IF(AND(VLOOKUP(C446, Resultados_Reales!$A$4:$I$107, 5, FALSE)=G446, VLOOKUP(C446, Resultados_Reales!$A$4:$I$107, 6, FALSE)=H446), Configuracion!$B$5, IF(SIGN(VLOOKUP(C446, Resultados_Reales!$A$4:$I$107, 5, FALSE)-VLOOKUP(C446, Resultados_Reales!$A$4:$I$107, 6, FALSE)) = SIGN(G446-H446), Configuracion!$B$4, 0)))</f>
        <v/>
      </c>
      <c r="L446" s="11" t="n"/>
      <c r="M446" s="11" t="n"/>
      <c r="N446" s="11" t="n"/>
      <c r="O446" s="11" t="n"/>
      <c r="P446" s="11" t="n"/>
      <c r="Q446" s="11" t="n"/>
    </row>
    <row r="447">
      <c r="A447" s="8">
        <f>B447&amp;"_"&amp;C447</f>
        <v/>
      </c>
      <c r="B447" s="8" t="n"/>
      <c r="C447" s="8" t="n"/>
      <c r="D447" s="8" t="n"/>
      <c r="E447" s="11" t="n"/>
      <c r="F447" s="11" t="n"/>
      <c r="G447" s="8" t="n"/>
      <c r="H447" s="8" t="n"/>
      <c r="I447" s="8" t="n"/>
      <c r="J447" s="8" t="n"/>
      <c r="K447" s="12">
        <f>IF(OR(ISERROR(VLOOKUP(C447, Resultados_Reales!$A$4:$I$107, 5, FALSE)), ISERROR(VLOOKUP(C447, Resultados_Reales!$A$4:$I$107, 6, FALSE)), VLOOKUP(C447, Resultados_Reales!$A$4:$I$107, 5, FALSE)="", VLOOKUP(C447, Resultados_Reales!$A$4:$I$107, 6, FALSE)=""), 0, IF(AND(VLOOKUP(C447, Resultados_Reales!$A$4:$I$107, 5, FALSE)=G447, VLOOKUP(C447, Resultados_Reales!$A$4:$I$107, 6, FALSE)=H447), Configuracion!$B$5, IF(SIGN(VLOOKUP(C447, Resultados_Reales!$A$4:$I$107, 5, FALSE)-VLOOKUP(C447, Resultados_Reales!$A$4:$I$107, 6, FALSE)) = SIGN(G447-H447), Configuracion!$B$4, 0)))</f>
        <v/>
      </c>
      <c r="L447" s="11" t="n"/>
      <c r="M447" s="11" t="n"/>
      <c r="N447" s="11" t="n"/>
      <c r="O447" s="11" t="n"/>
      <c r="P447" s="11" t="n"/>
      <c r="Q447" s="11" t="n"/>
    </row>
    <row r="448">
      <c r="A448" s="8">
        <f>B448&amp;"_"&amp;C448</f>
        <v/>
      </c>
      <c r="B448" s="8" t="n"/>
      <c r="C448" s="8" t="n"/>
      <c r="D448" s="8" t="n"/>
      <c r="E448" s="11" t="n"/>
      <c r="F448" s="11" t="n"/>
      <c r="G448" s="8" t="n"/>
      <c r="H448" s="8" t="n"/>
      <c r="I448" s="8" t="n"/>
      <c r="J448" s="8" t="n"/>
      <c r="K448" s="12">
        <f>IF(OR(ISERROR(VLOOKUP(C448, Resultados_Reales!$A$4:$I$107, 5, FALSE)), ISERROR(VLOOKUP(C448, Resultados_Reales!$A$4:$I$107, 6, FALSE)), VLOOKUP(C448, Resultados_Reales!$A$4:$I$107, 5, FALSE)="", VLOOKUP(C448, Resultados_Reales!$A$4:$I$107, 6, FALSE)=""), 0, IF(AND(VLOOKUP(C448, Resultados_Reales!$A$4:$I$107, 5, FALSE)=G448, VLOOKUP(C448, Resultados_Reales!$A$4:$I$107, 6, FALSE)=H448), Configuracion!$B$5, IF(SIGN(VLOOKUP(C448, Resultados_Reales!$A$4:$I$107, 5, FALSE)-VLOOKUP(C448, Resultados_Reales!$A$4:$I$107, 6, FALSE)) = SIGN(G448-H448), Configuracion!$B$4, 0)))</f>
        <v/>
      </c>
      <c r="L448" s="11" t="n"/>
      <c r="M448" s="11" t="n"/>
      <c r="N448" s="11" t="n"/>
      <c r="O448" s="11" t="n"/>
      <c r="P448" s="11" t="n"/>
      <c r="Q448" s="11" t="n"/>
    </row>
    <row r="449">
      <c r="A449" s="8">
        <f>B449&amp;"_"&amp;C449</f>
        <v/>
      </c>
      <c r="B449" s="8" t="n"/>
      <c r="C449" s="8" t="n"/>
      <c r="D449" s="8" t="n"/>
      <c r="E449" s="11" t="n"/>
      <c r="F449" s="11" t="n"/>
      <c r="G449" s="8" t="n"/>
      <c r="H449" s="8" t="n"/>
      <c r="I449" s="8" t="n"/>
      <c r="J449" s="8" t="n"/>
      <c r="K449" s="12">
        <f>IF(OR(ISERROR(VLOOKUP(C449, Resultados_Reales!$A$4:$I$107, 5, FALSE)), ISERROR(VLOOKUP(C449, Resultados_Reales!$A$4:$I$107, 6, FALSE)), VLOOKUP(C449, Resultados_Reales!$A$4:$I$107, 5, FALSE)="", VLOOKUP(C449, Resultados_Reales!$A$4:$I$107, 6, FALSE)=""), 0, IF(AND(VLOOKUP(C449, Resultados_Reales!$A$4:$I$107, 5, FALSE)=G449, VLOOKUP(C449, Resultados_Reales!$A$4:$I$107, 6, FALSE)=H449), Configuracion!$B$5, IF(SIGN(VLOOKUP(C449, Resultados_Reales!$A$4:$I$107, 5, FALSE)-VLOOKUP(C449, Resultados_Reales!$A$4:$I$107, 6, FALSE)) = SIGN(G449-H449), Configuracion!$B$4, 0)))</f>
        <v/>
      </c>
      <c r="L449" s="11" t="n"/>
      <c r="M449" s="11" t="n"/>
      <c r="N449" s="11" t="n"/>
      <c r="O449" s="11" t="n"/>
      <c r="P449" s="11" t="n"/>
      <c r="Q449" s="11" t="n"/>
    </row>
    <row r="450">
      <c r="A450" s="8">
        <f>B450&amp;"_"&amp;C450</f>
        <v/>
      </c>
      <c r="B450" s="8" t="n"/>
      <c r="C450" s="8" t="n"/>
      <c r="D450" s="8" t="n"/>
      <c r="E450" s="11" t="n"/>
      <c r="F450" s="11" t="n"/>
      <c r="G450" s="8" t="n"/>
      <c r="H450" s="8" t="n"/>
      <c r="I450" s="8" t="n"/>
      <c r="J450" s="8" t="n"/>
      <c r="K450" s="12">
        <f>IF(OR(ISERROR(VLOOKUP(C450, Resultados_Reales!$A$4:$I$107, 5, FALSE)), ISERROR(VLOOKUP(C450, Resultados_Reales!$A$4:$I$107, 6, FALSE)), VLOOKUP(C450, Resultados_Reales!$A$4:$I$107, 5, FALSE)="", VLOOKUP(C450, Resultados_Reales!$A$4:$I$107, 6, FALSE)=""), 0, IF(AND(VLOOKUP(C450, Resultados_Reales!$A$4:$I$107, 5, FALSE)=G450, VLOOKUP(C450, Resultados_Reales!$A$4:$I$107, 6, FALSE)=H450), Configuracion!$B$5, IF(SIGN(VLOOKUP(C450, Resultados_Reales!$A$4:$I$107, 5, FALSE)-VLOOKUP(C450, Resultados_Reales!$A$4:$I$107, 6, FALSE)) = SIGN(G450-H450), Configuracion!$B$4, 0)))</f>
        <v/>
      </c>
      <c r="L450" s="11" t="n"/>
      <c r="M450" s="11" t="n"/>
      <c r="N450" s="11" t="n"/>
      <c r="O450" s="11" t="n"/>
      <c r="P450" s="11" t="n"/>
      <c r="Q450" s="11" t="n"/>
    </row>
    <row r="451">
      <c r="A451" s="8">
        <f>B451&amp;"_"&amp;C451</f>
        <v/>
      </c>
      <c r="B451" s="8" t="n"/>
      <c r="C451" s="8" t="n"/>
      <c r="D451" s="8" t="n"/>
      <c r="E451" s="11" t="n"/>
      <c r="F451" s="11" t="n"/>
      <c r="G451" s="8" t="n"/>
      <c r="H451" s="8" t="n"/>
      <c r="I451" s="8" t="n"/>
      <c r="J451" s="8" t="n"/>
      <c r="K451" s="12">
        <f>IF(OR(ISERROR(VLOOKUP(C451, Resultados_Reales!$A$4:$I$107, 5, FALSE)), ISERROR(VLOOKUP(C451, Resultados_Reales!$A$4:$I$107, 6, FALSE)), VLOOKUP(C451, Resultados_Reales!$A$4:$I$107, 5, FALSE)="", VLOOKUP(C451, Resultados_Reales!$A$4:$I$107, 6, FALSE)=""), 0, IF(AND(VLOOKUP(C451, Resultados_Reales!$A$4:$I$107, 5, FALSE)=G451, VLOOKUP(C451, Resultados_Reales!$A$4:$I$107, 6, FALSE)=H451), Configuracion!$B$5, IF(SIGN(VLOOKUP(C451, Resultados_Reales!$A$4:$I$107, 5, FALSE)-VLOOKUP(C451, Resultados_Reales!$A$4:$I$107, 6, FALSE)) = SIGN(G451-H451), Configuracion!$B$4, 0)))</f>
        <v/>
      </c>
      <c r="L451" s="11" t="n"/>
      <c r="M451" s="11" t="n"/>
      <c r="N451" s="11" t="n"/>
      <c r="O451" s="11" t="n"/>
      <c r="P451" s="11" t="n"/>
      <c r="Q451" s="11" t="n"/>
    </row>
    <row r="452">
      <c r="A452" s="8">
        <f>B452&amp;"_"&amp;C452</f>
        <v/>
      </c>
      <c r="B452" s="8" t="n"/>
      <c r="C452" s="8" t="n"/>
      <c r="D452" s="8" t="n"/>
      <c r="E452" s="11" t="n"/>
      <c r="F452" s="11" t="n"/>
      <c r="G452" s="8" t="n"/>
      <c r="H452" s="8" t="n"/>
      <c r="I452" s="8" t="n"/>
      <c r="J452" s="8" t="n"/>
      <c r="K452" s="12">
        <f>IF(OR(ISERROR(VLOOKUP(C452, Resultados_Reales!$A$4:$I$107, 5, FALSE)), ISERROR(VLOOKUP(C452, Resultados_Reales!$A$4:$I$107, 6, FALSE)), VLOOKUP(C452, Resultados_Reales!$A$4:$I$107, 5, FALSE)="", VLOOKUP(C452, Resultados_Reales!$A$4:$I$107, 6, FALSE)=""), 0, IF(AND(VLOOKUP(C452, Resultados_Reales!$A$4:$I$107, 5, FALSE)=G452, VLOOKUP(C452, Resultados_Reales!$A$4:$I$107, 6, FALSE)=H452), Configuracion!$B$5, IF(SIGN(VLOOKUP(C452, Resultados_Reales!$A$4:$I$107, 5, FALSE)-VLOOKUP(C452, Resultados_Reales!$A$4:$I$107, 6, FALSE)) = SIGN(G452-H452), Configuracion!$B$4, 0)))</f>
        <v/>
      </c>
      <c r="L452" s="11" t="n"/>
      <c r="M452" s="11" t="n"/>
      <c r="N452" s="11" t="n"/>
      <c r="O452" s="11" t="n"/>
      <c r="P452" s="11" t="n"/>
      <c r="Q452" s="11" t="n"/>
    </row>
    <row r="453">
      <c r="A453" s="8">
        <f>B453&amp;"_"&amp;C453</f>
        <v/>
      </c>
      <c r="B453" s="8" t="n"/>
      <c r="C453" s="8" t="n"/>
      <c r="D453" s="8" t="n"/>
      <c r="E453" s="11" t="n"/>
      <c r="F453" s="11" t="n"/>
      <c r="G453" s="8" t="n"/>
      <c r="H453" s="8" t="n"/>
      <c r="I453" s="8" t="n"/>
      <c r="J453" s="8" t="n"/>
      <c r="K453" s="12">
        <f>IF(OR(ISERROR(VLOOKUP(C453, Resultados_Reales!$A$4:$I$107, 5, FALSE)), ISERROR(VLOOKUP(C453, Resultados_Reales!$A$4:$I$107, 6, FALSE)), VLOOKUP(C453, Resultados_Reales!$A$4:$I$107, 5, FALSE)="", VLOOKUP(C453, Resultados_Reales!$A$4:$I$107, 6, FALSE)=""), 0, IF(AND(VLOOKUP(C453, Resultados_Reales!$A$4:$I$107, 5, FALSE)=G453, VLOOKUP(C453, Resultados_Reales!$A$4:$I$107, 6, FALSE)=H453), Configuracion!$B$5, IF(SIGN(VLOOKUP(C453, Resultados_Reales!$A$4:$I$107, 5, FALSE)-VLOOKUP(C453, Resultados_Reales!$A$4:$I$107, 6, FALSE)) = SIGN(G453-H453), Configuracion!$B$4, 0)))</f>
        <v/>
      </c>
      <c r="L453" s="11" t="n"/>
      <c r="M453" s="11" t="n"/>
      <c r="N453" s="11" t="n"/>
      <c r="O453" s="11" t="n"/>
      <c r="P453" s="11" t="n"/>
      <c r="Q453" s="11" t="n"/>
    </row>
    <row r="454">
      <c r="A454" s="8">
        <f>B454&amp;"_"&amp;C454</f>
        <v/>
      </c>
      <c r="B454" s="8" t="n"/>
      <c r="C454" s="8" t="n"/>
      <c r="D454" s="8" t="n"/>
      <c r="E454" s="11" t="n"/>
      <c r="F454" s="11" t="n"/>
      <c r="G454" s="8" t="n"/>
      <c r="H454" s="8" t="n"/>
      <c r="I454" s="8" t="n"/>
      <c r="J454" s="8" t="n"/>
      <c r="K454" s="12">
        <f>IF(OR(ISERROR(VLOOKUP(C454, Resultados_Reales!$A$4:$I$107, 5, FALSE)), ISERROR(VLOOKUP(C454, Resultados_Reales!$A$4:$I$107, 6, FALSE)), VLOOKUP(C454, Resultados_Reales!$A$4:$I$107, 5, FALSE)="", VLOOKUP(C454, Resultados_Reales!$A$4:$I$107, 6, FALSE)=""), 0, IF(AND(VLOOKUP(C454, Resultados_Reales!$A$4:$I$107, 5, FALSE)=G454, VLOOKUP(C454, Resultados_Reales!$A$4:$I$107, 6, FALSE)=H454), Configuracion!$B$5, IF(SIGN(VLOOKUP(C454, Resultados_Reales!$A$4:$I$107, 5, FALSE)-VLOOKUP(C454, Resultados_Reales!$A$4:$I$107, 6, FALSE)) = SIGN(G454-H454), Configuracion!$B$4, 0)))</f>
        <v/>
      </c>
      <c r="L454" s="11" t="n"/>
      <c r="M454" s="11" t="n"/>
      <c r="N454" s="11" t="n"/>
      <c r="O454" s="11" t="n"/>
      <c r="P454" s="11" t="n"/>
      <c r="Q454" s="11" t="n"/>
    </row>
    <row r="455">
      <c r="A455" s="8">
        <f>B455&amp;"_"&amp;C455</f>
        <v/>
      </c>
      <c r="B455" s="8" t="n"/>
      <c r="C455" s="8" t="n"/>
      <c r="D455" s="8" t="n"/>
      <c r="E455" s="11" t="n"/>
      <c r="F455" s="11" t="n"/>
      <c r="G455" s="8" t="n"/>
      <c r="H455" s="8" t="n"/>
      <c r="I455" s="8" t="n"/>
      <c r="J455" s="8" t="n"/>
      <c r="K455" s="12">
        <f>IF(OR(ISERROR(VLOOKUP(C455, Resultados_Reales!$A$4:$I$107, 5, FALSE)), ISERROR(VLOOKUP(C455, Resultados_Reales!$A$4:$I$107, 6, FALSE)), VLOOKUP(C455, Resultados_Reales!$A$4:$I$107, 5, FALSE)="", VLOOKUP(C455, Resultados_Reales!$A$4:$I$107, 6, FALSE)=""), 0, IF(AND(VLOOKUP(C455, Resultados_Reales!$A$4:$I$107, 5, FALSE)=G455, VLOOKUP(C455, Resultados_Reales!$A$4:$I$107, 6, FALSE)=H455), Configuracion!$B$5, IF(SIGN(VLOOKUP(C455, Resultados_Reales!$A$4:$I$107, 5, FALSE)-VLOOKUP(C455, Resultados_Reales!$A$4:$I$107, 6, FALSE)) = SIGN(G455-H455), Configuracion!$B$4, 0)))</f>
        <v/>
      </c>
      <c r="L455" s="11" t="n"/>
      <c r="M455" s="11" t="n"/>
      <c r="N455" s="11" t="n"/>
      <c r="O455" s="11" t="n"/>
      <c r="P455" s="11" t="n"/>
      <c r="Q455" s="11" t="n"/>
    </row>
    <row r="456">
      <c r="A456" s="8">
        <f>B456&amp;"_"&amp;C456</f>
        <v/>
      </c>
      <c r="B456" s="8" t="n"/>
      <c r="C456" s="8" t="n"/>
      <c r="D456" s="8" t="n"/>
      <c r="E456" s="11" t="n"/>
      <c r="F456" s="11" t="n"/>
      <c r="G456" s="8" t="n"/>
      <c r="H456" s="8" t="n"/>
      <c r="I456" s="8" t="n"/>
      <c r="J456" s="8" t="n"/>
      <c r="K456" s="12">
        <f>IF(OR(ISERROR(VLOOKUP(C456, Resultados_Reales!$A$4:$I$107, 5, FALSE)), ISERROR(VLOOKUP(C456, Resultados_Reales!$A$4:$I$107, 6, FALSE)), VLOOKUP(C456, Resultados_Reales!$A$4:$I$107, 5, FALSE)="", VLOOKUP(C456, Resultados_Reales!$A$4:$I$107, 6, FALSE)=""), 0, IF(AND(VLOOKUP(C456, Resultados_Reales!$A$4:$I$107, 5, FALSE)=G456, VLOOKUP(C456, Resultados_Reales!$A$4:$I$107, 6, FALSE)=H456), Configuracion!$B$5, IF(SIGN(VLOOKUP(C456, Resultados_Reales!$A$4:$I$107, 5, FALSE)-VLOOKUP(C456, Resultados_Reales!$A$4:$I$107, 6, FALSE)) = SIGN(G456-H456), Configuracion!$B$4, 0)))</f>
        <v/>
      </c>
      <c r="L456" s="11" t="n"/>
      <c r="M456" s="11" t="n"/>
      <c r="N456" s="11" t="n"/>
      <c r="O456" s="11" t="n"/>
      <c r="P456" s="11" t="n"/>
      <c r="Q456" s="11" t="n"/>
    </row>
    <row r="457">
      <c r="A457" s="8">
        <f>B457&amp;"_"&amp;C457</f>
        <v/>
      </c>
      <c r="B457" s="8" t="n"/>
      <c r="C457" s="8" t="n"/>
      <c r="D457" s="8" t="n"/>
      <c r="E457" s="11" t="n"/>
      <c r="F457" s="11" t="n"/>
      <c r="G457" s="8" t="n"/>
      <c r="H457" s="8" t="n"/>
      <c r="I457" s="8" t="n"/>
      <c r="J457" s="8" t="n"/>
      <c r="K457" s="12">
        <f>IF(OR(ISERROR(VLOOKUP(C457, Resultados_Reales!$A$4:$I$107, 5, FALSE)), ISERROR(VLOOKUP(C457, Resultados_Reales!$A$4:$I$107, 6, FALSE)), VLOOKUP(C457, Resultados_Reales!$A$4:$I$107, 5, FALSE)="", VLOOKUP(C457, Resultados_Reales!$A$4:$I$107, 6, FALSE)=""), 0, IF(AND(VLOOKUP(C457, Resultados_Reales!$A$4:$I$107, 5, FALSE)=G457, VLOOKUP(C457, Resultados_Reales!$A$4:$I$107, 6, FALSE)=H457), Configuracion!$B$5, IF(SIGN(VLOOKUP(C457, Resultados_Reales!$A$4:$I$107, 5, FALSE)-VLOOKUP(C457, Resultados_Reales!$A$4:$I$107, 6, FALSE)) = SIGN(G457-H457), Configuracion!$B$4, 0)))</f>
        <v/>
      </c>
      <c r="L457" s="11" t="n"/>
      <c r="M457" s="11" t="n"/>
      <c r="N457" s="11" t="n"/>
      <c r="O457" s="11" t="n"/>
      <c r="P457" s="11" t="n"/>
      <c r="Q457" s="11" t="n"/>
    </row>
    <row r="458">
      <c r="A458" s="8">
        <f>B458&amp;"_"&amp;C458</f>
        <v/>
      </c>
      <c r="B458" s="8" t="n"/>
      <c r="C458" s="8" t="n"/>
      <c r="D458" s="8" t="n"/>
      <c r="E458" s="11" t="n"/>
      <c r="F458" s="11" t="n"/>
      <c r="G458" s="8" t="n"/>
      <c r="H458" s="8" t="n"/>
      <c r="I458" s="8" t="n"/>
      <c r="J458" s="8" t="n"/>
      <c r="K458" s="12">
        <f>IF(OR(ISERROR(VLOOKUP(C458, Resultados_Reales!$A$4:$I$107, 5, FALSE)), ISERROR(VLOOKUP(C458, Resultados_Reales!$A$4:$I$107, 6, FALSE)), VLOOKUP(C458, Resultados_Reales!$A$4:$I$107, 5, FALSE)="", VLOOKUP(C458, Resultados_Reales!$A$4:$I$107, 6, FALSE)=""), 0, IF(AND(VLOOKUP(C458, Resultados_Reales!$A$4:$I$107, 5, FALSE)=G458, VLOOKUP(C458, Resultados_Reales!$A$4:$I$107, 6, FALSE)=H458), Configuracion!$B$5, IF(SIGN(VLOOKUP(C458, Resultados_Reales!$A$4:$I$107, 5, FALSE)-VLOOKUP(C458, Resultados_Reales!$A$4:$I$107, 6, FALSE)) = SIGN(G458-H458), Configuracion!$B$4, 0)))</f>
        <v/>
      </c>
      <c r="L458" s="11" t="n"/>
      <c r="M458" s="11" t="n"/>
      <c r="N458" s="11" t="n"/>
      <c r="O458" s="11" t="n"/>
      <c r="P458" s="11" t="n"/>
      <c r="Q458" s="11" t="n"/>
    </row>
    <row r="459">
      <c r="A459" s="8">
        <f>B459&amp;"_"&amp;C459</f>
        <v/>
      </c>
      <c r="B459" s="8" t="n"/>
      <c r="C459" s="8" t="n"/>
      <c r="D459" s="8" t="n"/>
      <c r="E459" s="11" t="n"/>
      <c r="F459" s="11" t="n"/>
      <c r="G459" s="8" t="n"/>
      <c r="H459" s="8" t="n"/>
      <c r="I459" s="8" t="n"/>
      <c r="J459" s="8" t="n"/>
      <c r="K459" s="12">
        <f>IF(OR(ISERROR(VLOOKUP(C459, Resultados_Reales!$A$4:$I$107, 5, FALSE)), ISERROR(VLOOKUP(C459, Resultados_Reales!$A$4:$I$107, 6, FALSE)), VLOOKUP(C459, Resultados_Reales!$A$4:$I$107, 5, FALSE)="", VLOOKUP(C459, Resultados_Reales!$A$4:$I$107, 6, FALSE)=""), 0, IF(AND(VLOOKUP(C459, Resultados_Reales!$A$4:$I$107, 5, FALSE)=G459, VLOOKUP(C459, Resultados_Reales!$A$4:$I$107, 6, FALSE)=H459), Configuracion!$B$5, IF(SIGN(VLOOKUP(C459, Resultados_Reales!$A$4:$I$107, 5, FALSE)-VLOOKUP(C459, Resultados_Reales!$A$4:$I$107, 6, FALSE)) = SIGN(G459-H459), Configuracion!$B$4, 0)))</f>
        <v/>
      </c>
      <c r="L459" s="11" t="n"/>
      <c r="M459" s="11" t="n"/>
      <c r="N459" s="11" t="n"/>
      <c r="O459" s="11" t="n"/>
      <c r="P459" s="11" t="n"/>
      <c r="Q459" s="11" t="n"/>
    </row>
    <row r="460">
      <c r="A460" s="8">
        <f>B460&amp;"_"&amp;C460</f>
        <v/>
      </c>
      <c r="B460" s="8" t="n"/>
      <c r="C460" s="8" t="n"/>
      <c r="D460" s="8" t="n"/>
      <c r="E460" s="11" t="n"/>
      <c r="F460" s="11" t="n"/>
      <c r="G460" s="8" t="n"/>
      <c r="H460" s="8" t="n"/>
      <c r="I460" s="8" t="n"/>
      <c r="J460" s="8" t="n"/>
      <c r="K460" s="12">
        <f>IF(OR(ISERROR(VLOOKUP(C460, Resultados_Reales!$A$4:$I$107, 5, FALSE)), ISERROR(VLOOKUP(C460, Resultados_Reales!$A$4:$I$107, 6, FALSE)), VLOOKUP(C460, Resultados_Reales!$A$4:$I$107, 5, FALSE)="", VLOOKUP(C460, Resultados_Reales!$A$4:$I$107, 6, FALSE)=""), 0, IF(AND(VLOOKUP(C460, Resultados_Reales!$A$4:$I$107, 5, FALSE)=G460, VLOOKUP(C460, Resultados_Reales!$A$4:$I$107, 6, FALSE)=H460), Configuracion!$B$5, IF(SIGN(VLOOKUP(C460, Resultados_Reales!$A$4:$I$107, 5, FALSE)-VLOOKUP(C460, Resultados_Reales!$A$4:$I$107, 6, FALSE)) = SIGN(G460-H460), Configuracion!$B$4, 0)))</f>
        <v/>
      </c>
      <c r="L460" s="11" t="n"/>
      <c r="M460" s="11" t="n"/>
      <c r="N460" s="11" t="n"/>
      <c r="O460" s="11" t="n"/>
      <c r="P460" s="11" t="n"/>
      <c r="Q460" s="11" t="n"/>
    </row>
    <row r="461">
      <c r="A461" s="8">
        <f>B461&amp;"_"&amp;C461</f>
        <v/>
      </c>
      <c r="B461" s="8" t="n"/>
      <c r="C461" s="8" t="n"/>
      <c r="D461" s="8" t="n"/>
      <c r="E461" s="11" t="n"/>
      <c r="F461" s="11" t="n"/>
      <c r="G461" s="8" t="n"/>
      <c r="H461" s="8" t="n"/>
      <c r="I461" s="8" t="n"/>
      <c r="J461" s="8" t="n"/>
      <c r="K461" s="12">
        <f>IF(OR(ISERROR(VLOOKUP(C461, Resultados_Reales!$A$4:$I$107, 5, FALSE)), ISERROR(VLOOKUP(C461, Resultados_Reales!$A$4:$I$107, 6, FALSE)), VLOOKUP(C461, Resultados_Reales!$A$4:$I$107, 5, FALSE)="", VLOOKUP(C461, Resultados_Reales!$A$4:$I$107, 6, FALSE)=""), 0, IF(AND(VLOOKUP(C461, Resultados_Reales!$A$4:$I$107, 5, FALSE)=G461, VLOOKUP(C461, Resultados_Reales!$A$4:$I$107, 6, FALSE)=H461), Configuracion!$B$5, IF(SIGN(VLOOKUP(C461, Resultados_Reales!$A$4:$I$107, 5, FALSE)-VLOOKUP(C461, Resultados_Reales!$A$4:$I$107, 6, FALSE)) = SIGN(G461-H461), Configuracion!$B$4, 0)))</f>
        <v/>
      </c>
      <c r="L461" s="11" t="n"/>
      <c r="M461" s="11" t="n"/>
      <c r="N461" s="11" t="n"/>
      <c r="O461" s="11" t="n"/>
      <c r="P461" s="11" t="n"/>
      <c r="Q461" s="11" t="n"/>
    </row>
    <row r="462">
      <c r="A462" s="8">
        <f>B462&amp;"_"&amp;C462</f>
        <v/>
      </c>
      <c r="B462" s="8" t="n"/>
      <c r="C462" s="8" t="n"/>
      <c r="D462" s="8" t="n"/>
      <c r="E462" s="11" t="n"/>
      <c r="F462" s="11" t="n"/>
      <c r="G462" s="8" t="n"/>
      <c r="H462" s="8" t="n"/>
      <c r="I462" s="8" t="n"/>
      <c r="J462" s="8" t="n"/>
      <c r="K462" s="12">
        <f>IF(OR(ISERROR(VLOOKUP(C462, Resultados_Reales!$A$4:$I$107, 5, FALSE)), ISERROR(VLOOKUP(C462, Resultados_Reales!$A$4:$I$107, 6, FALSE)), VLOOKUP(C462, Resultados_Reales!$A$4:$I$107, 5, FALSE)="", VLOOKUP(C462, Resultados_Reales!$A$4:$I$107, 6, FALSE)=""), 0, IF(AND(VLOOKUP(C462, Resultados_Reales!$A$4:$I$107, 5, FALSE)=G462, VLOOKUP(C462, Resultados_Reales!$A$4:$I$107, 6, FALSE)=H462), Configuracion!$B$5, IF(SIGN(VLOOKUP(C462, Resultados_Reales!$A$4:$I$107, 5, FALSE)-VLOOKUP(C462, Resultados_Reales!$A$4:$I$107, 6, FALSE)) = SIGN(G462-H462), Configuracion!$B$4, 0)))</f>
        <v/>
      </c>
      <c r="L462" s="11" t="n"/>
      <c r="M462" s="11" t="n"/>
      <c r="N462" s="11" t="n"/>
      <c r="O462" s="11" t="n"/>
      <c r="P462" s="11" t="n"/>
      <c r="Q462" s="11" t="n"/>
    </row>
    <row r="463">
      <c r="A463" s="8">
        <f>B463&amp;"_"&amp;C463</f>
        <v/>
      </c>
      <c r="B463" s="8" t="n"/>
      <c r="C463" s="8" t="n"/>
      <c r="D463" s="8" t="n"/>
      <c r="E463" s="11" t="n"/>
      <c r="F463" s="11" t="n"/>
      <c r="G463" s="8" t="n"/>
      <c r="H463" s="8" t="n"/>
      <c r="I463" s="8" t="n"/>
      <c r="J463" s="8" t="n"/>
      <c r="K463" s="12">
        <f>IF(OR(ISERROR(VLOOKUP(C463, Resultados_Reales!$A$4:$I$107, 5, FALSE)), ISERROR(VLOOKUP(C463, Resultados_Reales!$A$4:$I$107, 6, FALSE)), VLOOKUP(C463, Resultados_Reales!$A$4:$I$107, 5, FALSE)="", VLOOKUP(C463, Resultados_Reales!$A$4:$I$107, 6, FALSE)=""), 0, IF(AND(VLOOKUP(C463, Resultados_Reales!$A$4:$I$107, 5, FALSE)=G463, VLOOKUP(C463, Resultados_Reales!$A$4:$I$107, 6, FALSE)=H463), Configuracion!$B$5, IF(SIGN(VLOOKUP(C463, Resultados_Reales!$A$4:$I$107, 5, FALSE)-VLOOKUP(C463, Resultados_Reales!$A$4:$I$107, 6, FALSE)) = SIGN(G463-H463), Configuracion!$B$4, 0)))</f>
        <v/>
      </c>
      <c r="L463" s="11" t="n"/>
      <c r="M463" s="11" t="n"/>
      <c r="N463" s="11" t="n"/>
      <c r="O463" s="11" t="n"/>
      <c r="P463" s="11" t="n"/>
      <c r="Q463" s="11" t="n"/>
    </row>
    <row r="464">
      <c r="A464" s="8">
        <f>B464&amp;"_"&amp;C464</f>
        <v/>
      </c>
      <c r="B464" s="8" t="n"/>
      <c r="C464" s="8" t="n"/>
      <c r="D464" s="8" t="n"/>
      <c r="E464" s="11" t="n"/>
      <c r="F464" s="11" t="n"/>
      <c r="G464" s="8" t="n"/>
      <c r="H464" s="8" t="n"/>
      <c r="I464" s="8" t="n"/>
      <c r="J464" s="8" t="n"/>
      <c r="K464" s="12">
        <f>IF(OR(ISERROR(VLOOKUP(C464, Resultados_Reales!$A$4:$I$107, 5, FALSE)), ISERROR(VLOOKUP(C464, Resultados_Reales!$A$4:$I$107, 6, FALSE)), VLOOKUP(C464, Resultados_Reales!$A$4:$I$107, 5, FALSE)="", VLOOKUP(C464, Resultados_Reales!$A$4:$I$107, 6, FALSE)=""), 0, IF(AND(VLOOKUP(C464, Resultados_Reales!$A$4:$I$107, 5, FALSE)=G464, VLOOKUP(C464, Resultados_Reales!$A$4:$I$107, 6, FALSE)=H464), Configuracion!$B$5, IF(SIGN(VLOOKUP(C464, Resultados_Reales!$A$4:$I$107, 5, FALSE)-VLOOKUP(C464, Resultados_Reales!$A$4:$I$107, 6, FALSE)) = SIGN(G464-H464), Configuracion!$B$4, 0)))</f>
        <v/>
      </c>
      <c r="L464" s="11" t="n"/>
      <c r="M464" s="11" t="n"/>
      <c r="N464" s="11" t="n"/>
      <c r="O464" s="11" t="n"/>
      <c r="P464" s="11" t="n"/>
      <c r="Q464" s="11" t="n"/>
    </row>
    <row r="465">
      <c r="A465" s="8">
        <f>B465&amp;"_"&amp;C465</f>
        <v/>
      </c>
      <c r="B465" s="8" t="n"/>
      <c r="C465" s="8" t="n"/>
      <c r="D465" s="8" t="n"/>
      <c r="E465" s="11" t="n"/>
      <c r="F465" s="11" t="n"/>
      <c r="G465" s="8" t="n"/>
      <c r="H465" s="8" t="n"/>
      <c r="I465" s="8" t="n"/>
      <c r="J465" s="8" t="n"/>
      <c r="K465" s="12">
        <f>IF(OR(ISERROR(VLOOKUP(C465, Resultados_Reales!$A$4:$I$107, 5, FALSE)), ISERROR(VLOOKUP(C465, Resultados_Reales!$A$4:$I$107, 6, FALSE)), VLOOKUP(C465, Resultados_Reales!$A$4:$I$107, 5, FALSE)="", VLOOKUP(C465, Resultados_Reales!$A$4:$I$107, 6, FALSE)=""), 0, IF(AND(VLOOKUP(C465, Resultados_Reales!$A$4:$I$107, 5, FALSE)=G465, VLOOKUP(C465, Resultados_Reales!$A$4:$I$107, 6, FALSE)=H465), Configuracion!$B$5, IF(SIGN(VLOOKUP(C465, Resultados_Reales!$A$4:$I$107, 5, FALSE)-VLOOKUP(C465, Resultados_Reales!$A$4:$I$107, 6, FALSE)) = SIGN(G465-H465), Configuracion!$B$4, 0)))</f>
        <v/>
      </c>
      <c r="L465" s="11" t="n"/>
      <c r="M465" s="11" t="n"/>
      <c r="N465" s="11" t="n"/>
      <c r="O465" s="11" t="n"/>
      <c r="P465" s="11" t="n"/>
      <c r="Q465" s="11" t="n"/>
    </row>
    <row r="466">
      <c r="A466" s="8">
        <f>B466&amp;"_"&amp;C466</f>
        <v/>
      </c>
      <c r="B466" s="8" t="n"/>
      <c r="C466" s="8" t="n"/>
      <c r="D466" s="8" t="n"/>
      <c r="E466" s="11" t="n"/>
      <c r="F466" s="11" t="n"/>
      <c r="G466" s="8" t="n"/>
      <c r="H466" s="8" t="n"/>
      <c r="I466" s="8" t="n"/>
      <c r="J466" s="8" t="n"/>
      <c r="K466" s="12">
        <f>IF(OR(ISERROR(VLOOKUP(C466, Resultados_Reales!$A$4:$I$107, 5, FALSE)), ISERROR(VLOOKUP(C466, Resultados_Reales!$A$4:$I$107, 6, FALSE)), VLOOKUP(C466, Resultados_Reales!$A$4:$I$107, 5, FALSE)="", VLOOKUP(C466, Resultados_Reales!$A$4:$I$107, 6, FALSE)=""), 0, IF(AND(VLOOKUP(C466, Resultados_Reales!$A$4:$I$107, 5, FALSE)=G466, VLOOKUP(C466, Resultados_Reales!$A$4:$I$107, 6, FALSE)=H466), Configuracion!$B$5, IF(SIGN(VLOOKUP(C466, Resultados_Reales!$A$4:$I$107, 5, FALSE)-VLOOKUP(C466, Resultados_Reales!$A$4:$I$107, 6, FALSE)) = SIGN(G466-H466), Configuracion!$B$4, 0)))</f>
        <v/>
      </c>
      <c r="L466" s="11" t="n"/>
      <c r="M466" s="11" t="n"/>
      <c r="N466" s="11" t="n"/>
      <c r="O466" s="11" t="n"/>
      <c r="P466" s="11" t="n"/>
      <c r="Q466" s="11" t="n"/>
    </row>
    <row r="467">
      <c r="A467" s="8">
        <f>B467&amp;"_"&amp;C467</f>
        <v/>
      </c>
      <c r="B467" s="8" t="n"/>
      <c r="C467" s="8" t="n"/>
      <c r="D467" s="8" t="n"/>
      <c r="E467" s="11" t="n"/>
      <c r="F467" s="11" t="n"/>
      <c r="G467" s="8" t="n"/>
      <c r="H467" s="8" t="n"/>
      <c r="I467" s="8" t="n"/>
      <c r="J467" s="8" t="n"/>
      <c r="K467" s="12">
        <f>IF(OR(ISERROR(VLOOKUP(C467, Resultados_Reales!$A$4:$I$107, 5, FALSE)), ISERROR(VLOOKUP(C467, Resultados_Reales!$A$4:$I$107, 6, FALSE)), VLOOKUP(C467, Resultados_Reales!$A$4:$I$107, 5, FALSE)="", VLOOKUP(C467, Resultados_Reales!$A$4:$I$107, 6, FALSE)=""), 0, IF(AND(VLOOKUP(C467, Resultados_Reales!$A$4:$I$107, 5, FALSE)=G467, VLOOKUP(C467, Resultados_Reales!$A$4:$I$107, 6, FALSE)=H467), Configuracion!$B$5, IF(SIGN(VLOOKUP(C467, Resultados_Reales!$A$4:$I$107, 5, FALSE)-VLOOKUP(C467, Resultados_Reales!$A$4:$I$107, 6, FALSE)) = SIGN(G467-H467), Configuracion!$B$4, 0)))</f>
        <v/>
      </c>
      <c r="L467" s="11" t="n"/>
      <c r="M467" s="11" t="n"/>
      <c r="N467" s="11" t="n"/>
      <c r="O467" s="11" t="n"/>
      <c r="P467" s="11" t="n"/>
      <c r="Q467" s="11" t="n"/>
    </row>
    <row r="468">
      <c r="A468" s="8">
        <f>B468&amp;"_"&amp;C468</f>
        <v/>
      </c>
      <c r="B468" s="8" t="n"/>
      <c r="C468" s="8" t="n"/>
      <c r="D468" s="8" t="n"/>
      <c r="E468" s="11" t="n"/>
      <c r="F468" s="11" t="n"/>
      <c r="G468" s="8" t="n"/>
      <c r="H468" s="8" t="n"/>
      <c r="I468" s="8" t="n"/>
      <c r="J468" s="8" t="n"/>
      <c r="K468" s="12">
        <f>IF(OR(ISERROR(VLOOKUP(C468, Resultados_Reales!$A$4:$I$107, 5, FALSE)), ISERROR(VLOOKUP(C468, Resultados_Reales!$A$4:$I$107, 6, FALSE)), VLOOKUP(C468, Resultados_Reales!$A$4:$I$107, 5, FALSE)="", VLOOKUP(C468, Resultados_Reales!$A$4:$I$107, 6, FALSE)=""), 0, IF(AND(VLOOKUP(C468, Resultados_Reales!$A$4:$I$107, 5, FALSE)=G468, VLOOKUP(C468, Resultados_Reales!$A$4:$I$107, 6, FALSE)=H468), Configuracion!$B$5, IF(SIGN(VLOOKUP(C468, Resultados_Reales!$A$4:$I$107, 5, FALSE)-VLOOKUP(C468, Resultados_Reales!$A$4:$I$107, 6, FALSE)) = SIGN(G468-H468), Configuracion!$B$4, 0)))</f>
        <v/>
      </c>
      <c r="L468" s="11" t="n"/>
      <c r="M468" s="11" t="n"/>
      <c r="N468" s="11" t="n"/>
      <c r="O468" s="11" t="n"/>
      <c r="P468" s="11" t="n"/>
      <c r="Q468" s="11" t="n"/>
    </row>
    <row r="469">
      <c r="A469" s="8">
        <f>B469&amp;"_"&amp;C469</f>
        <v/>
      </c>
      <c r="B469" s="8" t="n"/>
      <c r="C469" s="8" t="n"/>
      <c r="D469" s="8" t="n"/>
      <c r="E469" s="11" t="n"/>
      <c r="F469" s="11" t="n"/>
      <c r="G469" s="8" t="n"/>
      <c r="H469" s="8" t="n"/>
      <c r="I469" s="8" t="n"/>
      <c r="J469" s="8" t="n"/>
      <c r="K469" s="12">
        <f>IF(OR(ISERROR(VLOOKUP(C469, Resultados_Reales!$A$4:$I$107, 5, FALSE)), ISERROR(VLOOKUP(C469, Resultados_Reales!$A$4:$I$107, 6, FALSE)), VLOOKUP(C469, Resultados_Reales!$A$4:$I$107, 5, FALSE)="", VLOOKUP(C469, Resultados_Reales!$A$4:$I$107, 6, FALSE)=""), 0, IF(AND(VLOOKUP(C469, Resultados_Reales!$A$4:$I$107, 5, FALSE)=G469, VLOOKUP(C469, Resultados_Reales!$A$4:$I$107, 6, FALSE)=H469), Configuracion!$B$5, IF(SIGN(VLOOKUP(C469, Resultados_Reales!$A$4:$I$107, 5, FALSE)-VLOOKUP(C469, Resultados_Reales!$A$4:$I$107, 6, FALSE)) = SIGN(G469-H469), Configuracion!$B$4, 0)))</f>
        <v/>
      </c>
      <c r="L469" s="11" t="n"/>
      <c r="M469" s="11" t="n"/>
      <c r="N469" s="11" t="n"/>
      <c r="O469" s="11" t="n"/>
      <c r="P469" s="11" t="n"/>
      <c r="Q469" s="11" t="n"/>
    </row>
    <row r="470">
      <c r="A470" s="8">
        <f>B470&amp;"_"&amp;C470</f>
        <v/>
      </c>
      <c r="B470" s="8" t="n"/>
      <c r="C470" s="8" t="n"/>
      <c r="D470" s="8" t="n"/>
      <c r="E470" s="11" t="n"/>
      <c r="F470" s="11" t="n"/>
      <c r="G470" s="8" t="n"/>
      <c r="H470" s="8" t="n"/>
      <c r="I470" s="8" t="n"/>
      <c r="J470" s="8" t="n"/>
      <c r="K470" s="12">
        <f>IF(OR(ISERROR(VLOOKUP(C470, Resultados_Reales!$A$4:$I$107, 5, FALSE)), ISERROR(VLOOKUP(C470, Resultados_Reales!$A$4:$I$107, 6, FALSE)), VLOOKUP(C470, Resultados_Reales!$A$4:$I$107, 5, FALSE)="", VLOOKUP(C470, Resultados_Reales!$A$4:$I$107, 6, FALSE)=""), 0, IF(AND(VLOOKUP(C470, Resultados_Reales!$A$4:$I$107, 5, FALSE)=G470, VLOOKUP(C470, Resultados_Reales!$A$4:$I$107, 6, FALSE)=H470), Configuracion!$B$5, IF(SIGN(VLOOKUP(C470, Resultados_Reales!$A$4:$I$107, 5, FALSE)-VLOOKUP(C470, Resultados_Reales!$A$4:$I$107, 6, FALSE)) = SIGN(G470-H470), Configuracion!$B$4, 0)))</f>
        <v/>
      </c>
      <c r="L470" s="11" t="n"/>
      <c r="M470" s="11" t="n"/>
      <c r="N470" s="11" t="n"/>
      <c r="O470" s="11" t="n"/>
      <c r="P470" s="11" t="n"/>
      <c r="Q470" s="11" t="n"/>
    </row>
    <row r="471">
      <c r="A471" s="8">
        <f>B471&amp;"_"&amp;C471</f>
        <v/>
      </c>
      <c r="B471" s="8" t="n"/>
      <c r="C471" s="8" t="n"/>
      <c r="D471" s="8" t="n"/>
      <c r="E471" s="11" t="n"/>
      <c r="F471" s="11" t="n"/>
      <c r="G471" s="8" t="n"/>
      <c r="H471" s="8" t="n"/>
      <c r="I471" s="8" t="n"/>
      <c r="J471" s="8" t="n"/>
      <c r="K471" s="12">
        <f>IF(OR(ISERROR(VLOOKUP(C471, Resultados_Reales!$A$4:$I$107, 5, FALSE)), ISERROR(VLOOKUP(C471, Resultados_Reales!$A$4:$I$107, 6, FALSE)), VLOOKUP(C471, Resultados_Reales!$A$4:$I$107, 5, FALSE)="", VLOOKUP(C471, Resultados_Reales!$A$4:$I$107, 6, FALSE)=""), 0, IF(AND(VLOOKUP(C471, Resultados_Reales!$A$4:$I$107, 5, FALSE)=G471, VLOOKUP(C471, Resultados_Reales!$A$4:$I$107, 6, FALSE)=H471), Configuracion!$B$5, IF(SIGN(VLOOKUP(C471, Resultados_Reales!$A$4:$I$107, 5, FALSE)-VLOOKUP(C471, Resultados_Reales!$A$4:$I$107, 6, FALSE)) = SIGN(G471-H471), Configuracion!$B$4, 0)))</f>
        <v/>
      </c>
      <c r="L471" s="11" t="n"/>
      <c r="M471" s="11" t="n"/>
      <c r="N471" s="11" t="n"/>
      <c r="O471" s="11" t="n"/>
      <c r="P471" s="11" t="n"/>
      <c r="Q471" s="11" t="n"/>
    </row>
    <row r="472">
      <c r="A472" s="8">
        <f>B472&amp;"_"&amp;C472</f>
        <v/>
      </c>
      <c r="B472" s="8" t="n"/>
      <c r="C472" s="8" t="n"/>
      <c r="D472" s="8" t="n"/>
      <c r="E472" s="11" t="n"/>
      <c r="F472" s="11" t="n"/>
      <c r="G472" s="8" t="n"/>
      <c r="H472" s="8" t="n"/>
      <c r="I472" s="8" t="n"/>
      <c r="J472" s="8" t="n"/>
      <c r="K472" s="12">
        <f>IF(OR(ISERROR(VLOOKUP(C472, Resultados_Reales!$A$4:$I$107, 5, FALSE)), ISERROR(VLOOKUP(C472, Resultados_Reales!$A$4:$I$107, 6, FALSE)), VLOOKUP(C472, Resultados_Reales!$A$4:$I$107, 5, FALSE)="", VLOOKUP(C472, Resultados_Reales!$A$4:$I$107, 6, FALSE)=""), 0, IF(AND(VLOOKUP(C472, Resultados_Reales!$A$4:$I$107, 5, FALSE)=G472, VLOOKUP(C472, Resultados_Reales!$A$4:$I$107, 6, FALSE)=H472), Configuracion!$B$5, IF(SIGN(VLOOKUP(C472, Resultados_Reales!$A$4:$I$107, 5, FALSE)-VLOOKUP(C472, Resultados_Reales!$A$4:$I$107, 6, FALSE)) = SIGN(G472-H472), Configuracion!$B$4, 0)))</f>
        <v/>
      </c>
      <c r="L472" s="11" t="n"/>
      <c r="M472" s="11" t="n"/>
      <c r="N472" s="11" t="n"/>
      <c r="O472" s="11" t="n"/>
      <c r="P472" s="11" t="n"/>
      <c r="Q472" s="11" t="n"/>
    </row>
    <row r="473">
      <c r="A473" s="8">
        <f>B473&amp;"_"&amp;C473</f>
        <v/>
      </c>
      <c r="B473" s="8" t="n"/>
      <c r="C473" s="8" t="n"/>
      <c r="D473" s="8" t="n"/>
      <c r="E473" s="11" t="n"/>
      <c r="F473" s="11" t="n"/>
      <c r="G473" s="8" t="n"/>
      <c r="H473" s="8" t="n"/>
      <c r="I473" s="8" t="n"/>
      <c r="J473" s="8" t="n"/>
      <c r="K473" s="12">
        <f>IF(OR(ISERROR(VLOOKUP(C473, Resultados_Reales!$A$4:$I$107, 5, FALSE)), ISERROR(VLOOKUP(C473, Resultados_Reales!$A$4:$I$107, 6, FALSE)), VLOOKUP(C473, Resultados_Reales!$A$4:$I$107, 5, FALSE)="", VLOOKUP(C473, Resultados_Reales!$A$4:$I$107, 6, FALSE)=""), 0, IF(AND(VLOOKUP(C473, Resultados_Reales!$A$4:$I$107, 5, FALSE)=G473, VLOOKUP(C473, Resultados_Reales!$A$4:$I$107, 6, FALSE)=H473), Configuracion!$B$5, IF(SIGN(VLOOKUP(C473, Resultados_Reales!$A$4:$I$107, 5, FALSE)-VLOOKUP(C473, Resultados_Reales!$A$4:$I$107, 6, FALSE)) = SIGN(G473-H473), Configuracion!$B$4, 0)))</f>
        <v/>
      </c>
      <c r="L473" s="11" t="n"/>
      <c r="M473" s="11" t="n"/>
      <c r="N473" s="11" t="n"/>
      <c r="O473" s="11" t="n"/>
      <c r="P473" s="11" t="n"/>
      <c r="Q473" s="11" t="n"/>
    </row>
    <row r="474">
      <c r="A474" s="8">
        <f>B474&amp;"_"&amp;C474</f>
        <v/>
      </c>
      <c r="B474" s="8" t="n"/>
      <c r="C474" s="8" t="n"/>
      <c r="D474" s="8" t="n"/>
      <c r="E474" s="11" t="n"/>
      <c r="F474" s="11" t="n"/>
      <c r="G474" s="8" t="n"/>
      <c r="H474" s="8" t="n"/>
      <c r="I474" s="8" t="n"/>
      <c r="J474" s="8" t="n"/>
      <c r="K474" s="12">
        <f>IF(OR(ISERROR(VLOOKUP(C474, Resultados_Reales!$A$4:$I$107, 5, FALSE)), ISERROR(VLOOKUP(C474, Resultados_Reales!$A$4:$I$107, 6, FALSE)), VLOOKUP(C474, Resultados_Reales!$A$4:$I$107, 5, FALSE)="", VLOOKUP(C474, Resultados_Reales!$A$4:$I$107, 6, FALSE)=""), 0, IF(AND(VLOOKUP(C474, Resultados_Reales!$A$4:$I$107, 5, FALSE)=G474, VLOOKUP(C474, Resultados_Reales!$A$4:$I$107, 6, FALSE)=H474), Configuracion!$B$5, IF(SIGN(VLOOKUP(C474, Resultados_Reales!$A$4:$I$107, 5, FALSE)-VLOOKUP(C474, Resultados_Reales!$A$4:$I$107, 6, FALSE)) = SIGN(G474-H474), Configuracion!$B$4, 0)))</f>
        <v/>
      </c>
      <c r="L474" s="11" t="n"/>
      <c r="M474" s="11" t="n"/>
      <c r="N474" s="11" t="n"/>
      <c r="O474" s="11" t="n"/>
      <c r="P474" s="11" t="n"/>
      <c r="Q474" s="11" t="n"/>
    </row>
    <row r="475">
      <c r="A475" s="8">
        <f>B475&amp;"_"&amp;C475</f>
        <v/>
      </c>
      <c r="B475" s="8" t="n"/>
      <c r="C475" s="8" t="n"/>
      <c r="D475" s="8" t="n"/>
      <c r="E475" s="11" t="n"/>
      <c r="F475" s="11" t="n"/>
      <c r="G475" s="8" t="n"/>
      <c r="H475" s="8" t="n"/>
      <c r="I475" s="8" t="n"/>
      <c r="J475" s="8" t="n"/>
      <c r="K475" s="12">
        <f>IF(OR(ISERROR(VLOOKUP(C475, Resultados_Reales!$A$4:$I$107, 5, FALSE)), ISERROR(VLOOKUP(C475, Resultados_Reales!$A$4:$I$107, 6, FALSE)), VLOOKUP(C475, Resultados_Reales!$A$4:$I$107, 5, FALSE)="", VLOOKUP(C475, Resultados_Reales!$A$4:$I$107, 6, FALSE)=""), 0, IF(AND(VLOOKUP(C475, Resultados_Reales!$A$4:$I$107, 5, FALSE)=G475, VLOOKUP(C475, Resultados_Reales!$A$4:$I$107, 6, FALSE)=H475), Configuracion!$B$5, IF(SIGN(VLOOKUP(C475, Resultados_Reales!$A$4:$I$107, 5, FALSE)-VLOOKUP(C475, Resultados_Reales!$A$4:$I$107, 6, FALSE)) = SIGN(G475-H475), Configuracion!$B$4, 0)))</f>
        <v/>
      </c>
      <c r="L475" s="11" t="n"/>
      <c r="M475" s="11" t="n"/>
      <c r="N475" s="11" t="n"/>
      <c r="O475" s="11" t="n"/>
      <c r="P475" s="11" t="n"/>
      <c r="Q475" s="11" t="n"/>
    </row>
    <row r="476">
      <c r="A476" s="8">
        <f>B476&amp;"_"&amp;C476</f>
        <v/>
      </c>
      <c r="B476" s="8" t="n"/>
      <c r="C476" s="8" t="n"/>
      <c r="D476" s="8" t="n"/>
      <c r="E476" s="11" t="n"/>
      <c r="F476" s="11" t="n"/>
      <c r="G476" s="8" t="n"/>
      <c r="H476" s="8" t="n"/>
      <c r="I476" s="8" t="n"/>
      <c r="J476" s="8" t="n"/>
      <c r="K476" s="12">
        <f>IF(OR(ISERROR(VLOOKUP(C476, Resultados_Reales!$A$4:$I$107, 5, FALSE)), ISERROR(VLOOKUP(C476, Resultados_Reales!$A$4:$I$107, 6, FALSE)), VLOOKUP(C476, Resultados_Reales!$A$4:$I$107, 5, FALSE)="", VLOOKUP(C476, Resultados_Reales!$A$4:$I$107, 6, FALSE)=""), 0, IF(AND(VLOOKUP(C476, Resultados_Reales!$A$4:$I$107, 5, FALSE)=G476, VLOOKUP(C476, Resultados_Reales!$A$4:$I$107, 6, FALSE)=H476), Configuracion!$B$5, IF(SIGN(VLOOKUP(C476, Resultados_Reales!$A$4:$I$107, 5, FALSE)-VLOOKUP(C476, Resultados_Reales!$A$4:$I$107, 6, FALSE)) = SIGN(G476-H476), Configuracion!$B$4, 0)))</f>
        <v/>
      </c>
      <c r="L476" s="11" t="n"/>
      <c r="M476" s="11" t="n"/>
      <c r="N476" s="11" t="n"/>
      <c r="O476" s="11" t="n"/>
      <c r="P476" s="11" t="n"/>
      <c r="Q476" s="11" t="n"/>
    </row>
    <row r="477">
      <c r="A477" s="8">
        <f>B477&amp;"_"&amp;C477</f>
        <v/>
      </c>
      <c r="B477" s="8" t="n"/>
      <c r="C477" s="8" t="n"/>
      <c r="D477" s="8" t="n"/>
      <c r="E477" s="11" t="n"/>
      <c r="F477" s="11" t="n"/>
      <c r="G477" s="8" t="n"/>
      <c r="H477" s="8" t="n"/>
      <c r="I477" s="8" t="n"/>
      <c r="J477" s="8" t="n"/>
      <c r="K477" s="12">
        <f>IF(OR(ISERROR(VLOOKUP(C477, Resultados_Reales!$A$4:$I$107, 5, FALSE)), ISERROR(VLOOKUP(C477, Resultados_Reales!$A$4:$I$107, 6, FALSE)), VLOOKUP(C477, Resultados_Reales!$A$4:$I$107, 5, FALSE)="", VLOOKUP(C477, Resultados_Reales!$A$4:$I$107, 6, FALSE)=""), 0, IF(AND(VLOOKUP(C477, Resultados_Reales!$A$4:$I$107, 5, FALSE)=G477, VLOOKUP(C477, Resultados_Reales!$A$4:$I$107, 6, FALSE)=H477), Configuracion!$B$5, IF(SIGN(VLOOKUP(C477, Resultados_Reales!$A$4:$I$107, 5, FALSE)-VLOOKUP(C477, Resultados_Reales!$A$4:$I$107, 6, FALSE)) = SIGN(G477-H477), Configuracion!$B$4, 0)))</f>
        <v/>
      </c>
      <c r="L477" s="11" t="n"/>
      <c r="M477" s="11" t="n"/>
      <c r="N477" s="11" t="n"/>
      <c r="O477" s="11" t="n"/>
      <c r="P477" s="11" t="n"/>
      <c r="Q477" s="11" t="n"/>
    </row>
    <row r="478">
      <c r="A478" s="8">
        <f>B478&amp;"_"&amp;C478</f>
        <v/>
      </c>
      <c r="B478" s="8" t="n"/>
      <c r="C478" s="8" t="n"/>
      <c r="D478" s="8" t="n"/>
      <c r="E478" s="11" t="n"/>
      <c r="F478" s="11" t="n"/>
      <c r="G478" s="8" t="n"/>
      <c r="H478" s="8" t="n"/>
      <c r="I478" s="8" t="n"/>
      <c r="J478" s="8" t="n"/>
      <c r="K478" s="12">
        <f>IF(OR(ISERROR(VLOOKUP(C478, Resultados_Reales!$A$4:$I$107, 5, FALSE)), ISERROR(VLOOKUP(C478, Resultados_Reales!$A$4:$I$107, 6, FALSE)), VLOOKUP(C478, Resultados_Reales!$A$4:$I$107, 5, FALSE)="", VLOOKUP(C478, Resultados_Reales!$A$4:$I$107, 6, FALSE)=""), 0, IF(AND(VLOOKUP(C478, Resultados_Reales!$A$4:$I$107, 5, FALSE)=G478, VLOOKUP(C478, Resultados_Reales!$A$4:$I$107, 6, FALSE)=H478), Configuracion!$B$5, IF(SIGN(VLOOKUP(C478, Resultados_Reales!$A$4:$I$107, 5, FALSE)-VLOOKUP(C478, Resultados_Reales!$A$4:$I$107, 6, FALSE)) = SIGN(G478-H478), Configuracion!$B$4, 0)))</f>
        <v/>
      </c>
      <c r="L478" s="11" t="n"/>
      <c r="M478" s="11" t="n"/>
      <c r="N478" s="11" t="n"/>
      <c r="O478" s="11" t="n"/>
      <c r="P478" s="11" t="n"/>
      <c r="Q478" s="11" t="n"/>
    </row>
    <row r="479">
      <c r="A479" s="8">
        <f>B479&amp;"_"&amp;C479</f>
        <v/>
      </c>
      <c r="B479" s="8" t="n"/>
      <c r="C479" s="8" t="n"/>
      <c r="D479" s="8" t="n"/>
      <c r="E479" s="11" t="n"/>
      <c r="F479" s="11" t="n"/>
      <c r="G479" s="8" t="n"/>
      <c r="H479" s="8" t="n"/>
      <c r="I479" s="8" t="n"/>
      <c r="J479" s="8" t="n"/>
      <c r="K479" s="12">
        <f>IF(OR(ISERROR(VLOOKUP(C479, Resultados_Reales!$A$4:$I$107, 5, FALSE)), ISERROR(VLOOKUP(C479, Resultados_Reales!$A$4:$I$107, 6, FALSE)), VLOOKUP(C479, Resultados_Reales!$A$4:$I$107, 5, FALSE)="", VLOOKUP(C479, Resultados_Reales!$A$4:$I$107, 6, FALSE)=""), 0, IF(AND(VLOOKUP(C479, Resultados_Reales!$A$4:$I$107, 5, FALSE)=G479, VLOOKUP(C479, Resultados_Reales!$A$4:$I$107, 6, FALSE)=H479), Configuracion!$B$5, IF(SIGN(VLOOKUP(C479, Resultados_Reales!$A$4:$I$107, 5, FALSE)-VLOOKUP(C479, Resultados_Reales!$A$4:$I$107, 6, FALSE)) = SIGN(G479-H479), Configuracion!$B$4, 0)))</f>
        <v/>
      </c>
      <c r="L479" s="11" t="n"/>
      <c r="M479" s="11" t="n"/>
      <c r="N479" s="11" t="n"/>
      <c r="O479" s="11" t="n"/>
      <c r="P479" s="11" t="n"/>
      <c r="Q479" s="11" t="n"/>
    </row>
    <row r="480">
      <c r="A480" s="8">
        <f>B480&amp;"_"&amp;C480</f>
        <v/>
      </c>
      <c r="B480" s="8" t="n"/>
      <c r="C480" s="8" t="n"/>
      <c r="D480" s="8" t="n"/>
      <c r="E480" s="11" t="n"/>
      <c r="F480" s="11" t="n"/>
      <c r="G480" s="8" t="n"/>
      <c r="H480" s="8" t="n"/>
      <c r="I480" s="8" t="n"/>
      <c r="J480" s="8" t="n"/>
      <c r="K480" s="12">
        <f>IF(OR(ISERROR(VLOOKUP(C480, Resultados_Reales!$A$4:$I$107, 5, FALSE)), ISERROR(VLOOKUP(C480, Resultados_Reales!$A$4:$I$107, 6, FALSE)), VLOOKUP(C480, Resultados_Reales!$A$4:$I$107, 5, FALSE)="", VLOOKUP(C480, Resultados_Reales!$A$4:$I$107, 6, FALSE)=""), 0, IF(AND(VLOOKUP(C480, Resultados_Reales!$A$4:$I$107, 5, FALSE)=G480, VLOOKUP(C480, Resultados_Reales!$A$4:$I$107, 6, FALSE)=H480), Configuracion!$B$5, IF(SIGN(VLOOKUP(C480, Resultados_Reales!$A$4:$I$107, 5, FALSE)-VLOOKUP(C480, Resultados_Reales!$A$4:$I$107, 6, FALSE)) = SIGN(G480-H480), Configuracion!$B$4, 0)))</f>
        <v/>
      </c>
      <c r="L480" s="11" t="n"/>
      <c r="M480" s="11" t="n"/>
      <c r="N480" s="11" t="n"/>
      <c r="O480" s="11" t="n"/>
      <c r="P480" s="11" t="n"/>
      <c r="Q480" s="11" t="n"/>
    </row>
    <row r="481">
      <c r="A481" s="8">
        <f>B481&amp;"_"&amp;C481</f>
        <v/>
      </c>
      <c r="B481" s="8" t="n"/>
      <c r="C481" s="8" t="n"/>
      <c r="D481" s="8" t="n"/>
      <c r="E481" s="11" t="n"/>
      <c r="F481" s="11" t="n"/>
      <c r="G481" s="8" t="n"/>
      <c r="H481" s="8" t="n"/>
      <c r="I481" s="8" t="n"/>
      <c r="J481" s="8" t="n"/>
      <c r="K481" s="12">
        <f>IF(OR(ISERROR(VLOOKUP(C481, Resultados_Reales!$A$4:$I$107, 5, FALSE)), ISERROR(VLOOKUP(C481, Resultados_Reales!$A$4:$I$107, 6, FALSE)), VLOOKUP(C481, Resultados_Reales!$A$4:$I$107, 5, FALSE)="", VLOOKUP(C481, Resultados_Reales!$A$4:$I$107, 6, FALSE)=""), 0, IF(AND(VLOOKUP(C481, Resultados_Reales!$A$4:$I$107, 5, FALSE)=G481, VLOOKUP(C481, Resultados_Reales!$A$4:$I$107, 6, FALSE)=H481), Configuracion!$B$5, IF(SIGN(VLOOKUP(C481, Resultados_Reales!$A$4:$I$107, 5, FALSE)-VLOOKUP(C481, Resultados_Reales!$A$4:$I$107, 6, FALSE)) = SIGN(G481-H481), Configuracion!$B$4, 0)))</f>
        <v/>
      </c>
      <c r="L481" s="11" t="n"/>
      <c r="M481" s="11" t="n"/>
      <c r="N481" s="11" t="n"/>
      <c r="O481" s="11" t="n"/>
      <c r="P481" s="11" t="n"/>
      <c r="Q481" s="11" t="n"/>
    </row>
    <row r="482">
      <c r="A482" s="8">
        <f>B482&amp;"_"&amp;C482</f>
        <v/>
      </c>
      <c r="B482" s="8" t="n"/>
      <c r="C482" s="8" t="n"/>
      <c r="D482" s="8" t="n"/>
      <c r="E482" s="11" t="n"/>
      <c r="F482" s="11" t="n"/>
      <c r="G482" s="8" t="n"/>
      <c r="H482" s="8" t="n"/>
      <c r="I482" s="8" t="n"/>
      <c r="J482" s="8" t="n"/>
      <c r="K482" s="12">
        <f>IF(OR(ISERROR(VLOOKUP(C482, Resultados_Reales!$A$4:$I$107, 5, FALSE)), ISERROR(VLOOKUP(C482, Resultados_Reales!$A$4:$I$107, 6, FALSE)), VLOOKUP(C482, Resultados_Reales!$A$4:$I$107, 5, FALSE)="", VLOOKUP(C482, Resultados_Reales!$A$4:$I$107, 6, FALSE)=""), 0, IF(AND(VLOOKUP(C482, Resultados_Reales!$A$4:$I$107, 5, FALSE)=G482, VLOOKUP(C482, Resultados_Reales!$A$4:$I$107, 6, FALSE)=H482), Configuracion!$B$5, IF(SIGN(VLOOKUP(C482, Resultados_Reales!$A$4:$I$107, 5, FALSE)-VLOOKUP(C482, Resultados_Reales!$A$4:$I$107, 6, FALSE)) = SIGN(G482-H482), Configuracion!$B$4, 0)))</f>
        <v/>
      </c>
      <c r="L482" s="11" t="n"/>
      <c r="M482" s="11" t="n"/>
      <c r="N482" s="11" t="n"/>
      <c r="O482" s="11" t="n"/>
      <c r="P482" s="11" t="n"/>
      <c r="Q482" s="11" t="n"/>
    </row>
    <row r="483">
      <c r="A483" s="8">
        <f>B483&amp;"_"&amp;C483</f>
        <v/>
      </c>
      <c r="B483" s="8" t="n"/>
      <c r="C483" s="8" t="n"/>
      <c r="D483" s="8" t="n"/>
      <c r="E483" s="11" t="n"/>
      <c r="F483" s="11" t="n"/>
      <c r="G483" s="8" t="n"/>
      <c r="H483" s="8" t="n"/>
      <c r="I483" s="8" t="n"/>
      <c r="J483" s="8" t="n"/>
      <c r="K483" s="12">
        <f>IF(OR(ISERROR(VLOOKUP(C483, Resultados_Reales!$A$4:$I$107, 5, FALSE)), ISERROR(VLOOKUP(C483, Resultados_Reales!$A$4:$I$107, 6, FALSE)), VLOOKUP(C483, Resultados_Reales!$A$4:$I$107, 5, FALSE)="", VLOOKUP(C483, Resultados_Reales!$A$4:$I$107, 6, FALSE)=""), 0, IF(AND(VLOOKUP(C483, Resultados_Reales!$A$4:$I$107, 5, FALSE)=G483, VLOOKUP(C483, Resultados_Reales!$A$4:$I$107, 6, FALSE)=H483), Configuracion!$B$5, IF(SIGN(VLOOKUP(C483, Resultados_Reales!$A$4:$I$107, 5, FALSE)-VLOOKUP(C483, Resultados_Reales!$A$4:$I$107, 6, FALSE)) = SIGN(G483-H483), Configuracion!$B$4, 0)))</f>
        <v/>
      </c>
      <c r="L483" s="11" t="n"/>
      <c r="M483" s="11" t="n"/>
      <c r="N483" s="11" t="n"/>
      <c r="O483" s="11" t="n"/>
      <c r="P483" s="11" t="n"/>
      <c r="Q483" s="11" t="n"/>
    </row>
    <row r="484">
      <c r="A484" s="8">
        <f>B484&amp;"_"&amp;C484</f>
        <v/>
      </c>
      <c r="B484" s="8" t="n"/>
      <c r="C484" s="8" t="n"/>
      <c r="D484" s="8" t="n"/>
      <c r="E484" s="11" t="n"/>
      <c r="F484" s="11" t="n"/>
      <c r="G484" s="8" t="n"/>
      <c r="H484" s="8" t="n"/>
      <c r="I484" s="8" t="n"/>
      <c r="J484" s="8" t="n"/>
      <c r="K484" s="12">
        <f>IF(OR(ISERROR(VLOOKUP(C484, Resultados_Reales!$A$4:$I$107, 5, FALSE)), ISERROR(VLOOKUP(C484, Resultados_Reales!$A$4:$I$107, 6, FALSE)), VLOOKUP(C484, Resultados_Reales!$A$4:$I$107, 5, FALSE)="", VLOOKUP(C484, Resultados_Reales!$A$4:$I$107, 6, FALSE)=""), 0, IF(AND(VLOOKUP(C484, Resultados_Reales!$A$4:$I$107, 5, FALSE)=G484, VLOOKUP(C484, Resultados_Reales!$A$4:$I$107, 6, FALSE)=H484), Configuracion!$B$5, IF(SIGN(VLOOKUP(C484, Resultados_Reales!$A$4:$I$107, 5, FALSE)-VLOOKUP(C484, Resultados_Reales!$A$4:$I$107, 6, FALSE)) = SIGN(G484-H484), Configuracion!$B$4, 0)))</f>
        <v/>
      </c>
      <c r="L484" s="11" t="n"/>
      <c r="M484" s="11" t="n"/>
      <c r="N484" s="11" t="n"/>
      <c r="O484" s="11" t="n"/>
      <c r="P484" s="11" t="n"/>
      <c r="Q484" s="11" t="n"/>
    </row>
    <row r="485">
      <c r="A485" s="8">
        <f>B485&amp;"_"&amp;C485</f>
        <v/>
      </c>
      <c r="B485" s="8" t="n"/>
      <c r="C485" s="8" t="n"/>
      <c r="D485" s="8" t="n"/>
      <c r="E485" s="11" t="n"/>
      <c r="F485" s="11" t="n"/>
      <c r="G485" s="8" t="n"/>
      <c r="H485" s="8" t="n"/>
      <c r="I485" s="8" t="n"/>
      <c r="J485" s="8" t="n"/>
      <c r="K485" s="12">
        <f>IF(OR(ISERROR(VLOOKUP(C485, Resultados_Reales!$A$4:$I$107, 5, FALSE)), ISERROR(VLOOKUP(C485, Resultados_Reales!$A$4:$I$107, 6, FALSE)), VLOOKUP(C485, Resultados_Reales!$A$4:$I$107, 5, FALSE)="", VLOOKUP(C485, Resultados_Reales!$A$4:$I$107, 6, FALSE)=""), 0, IF(AND(VLOOKUP(C485, Resultados_Reales!$A$4:$I$107, 5, FALSE)=G485, VLOOKUP(C485, Resultados_Reales!$A$4:$I$107, 6, FALSE)=H485), Configuracion!$B$5, IF(SIGN(VLOOKUP(C485, Resultados_Reales!$A$4:$I$107, 5, FALSE)-VLOOKUP(C485, Resultados_Reales!$A$4:$I$107, 6, FALSE)) = SIGN(G485-H485), Configuracion!$B$4, 0)))</f>
        <v/>
      </c>
      <c r="L485" s="11" t="n"/>
      <c r="M485" s="11" t="n"/>
      <c r="N485" s="11" t="n"/>
      <c r="O485" s="11" t="n"/>
      <c r="P485" s="11" t="n"/>
      <c r="Q485" s="11" t="n"/>
    </row>
    <row r="486">
      <c r="A486" s="8">
        <f>B486&amp;"_"&amp;C486</f>
        <v/>
      </c>
      <c r="B486" s="8" t="n"/>
      <c r="C486" s="8" t="n"/>
      <c r="D486" s="8" t="n"/>
      <c r="E486" s="11" t="n"/>
      <c r="F486" s="11" t="n"/>
      <c r="G486" s="8" t="n"/>
      <c r="H486" s="8" t="n"/>
      <c r="I486" s="8" t="n"/>
      <c r="J486" s="8" t="n"/>
      <c r="K486" s="12">
        <f>IF(OR(ISERROR(VLOOKUP(C486, Resultados_Reales!$A$4:$I$107, 5, FALSE)), ISERROR(VLOOKUP(C486, Resultados_Reales!$A$4:$I$107, 6, FALSE)), VLOOKUP(C486, Resultados_Reales!$A$4:$I$107, 5, FALSE)="", VLOOKUP(C486, Resultados_Reales!$A$4:$I$107, 6, FALSE)=""), 0, IF(AND(VLOOKUP(C486, Resultados_Reales!$A$4:$I$107, 5, FALSE)=G486, VLOOKUP(C486, Resultados_Reales!$A$4:$I$107, 6, FALSE)=H486), Configuracion!$B$5, IF(SIGN(VLOOKUP(C486, Resultados_Reales!$A$4:$I$107, 5, FALSE)-VLOOKUP(C486, Resultados_Reales!$A$4:$I$107, 6, FALSE)) = SIGN(G486-H486), Configuracion!$B$4, 0)))</f>
        <v/>
      </c>
      <c r="L486" s="11" t="n"/>
      <c r="M486" s="11" t="n"/>
      <c r="N486" s="11" t="n"/>
      <c r="O486" s="11" t="n"/>
      <c r="P486" s="11" t="n"/>
      <c r="Q486" s="11" t="n"/>
    </row>
    <row r="487">
      <c r="A487" s="8">
        <f>B487&amp;"_"&amp;C487</f>
        <v/>
      </c>
      <c r="B487" s="8" t="n"/>
      <c r="C487" s="8" t="n"/>
      <c r="D487" s="8" t="n"/>
      <c r="E487" s="11" t="n"/>
      <c r="F487" s="11" t="n"/>
      <c r="G487" s="8" t="n"/>
      <c r="H487" s="8" t="n"/>
      <c r="I487" s="8" t="n"/>
      <c r="J487" s="8" t="n"/>
      <c r="K487" s="12">
        <f>IF(OR(ISERROR(VLOOKUP(C487, Resultados_Reales!$A$4:$I$107, 5, FALSE)), ISERROR(VLOOKUP(C487, Resultados_Reales!$A$4:$I$107, 6, FALSE)), VLOOKUP(C487, Resultados_Reales!$A$4:$I$107, 5, FALSE)="", VLOOKUP(C487, Resultados_Reales!$A$4:$I$107, 6, FALSE)=""), 0, IF(AND(VLOOKUP(C487, Resultados_Reales!$A$4:$I$107, 5, FALSE)=G487, VLOOKUP(C487, Resultados_Reales!$A$4:$I$107, 6, FALSE)=H487), Configuracion!$B$5, IF(SIGN(VLOOKUP(C487, Resultados_Reales!$A$4:$I$107, 5, FALSE)-VLOOKUP(C487, Resultados_Reales!$A$4:$I$107, 6, FALSE)) = SIGN(G487-H487), Configuracion!$B$4, 0)))</f>
        <v/>
      </c>
      <c r="L487" s="11" t="n"/>
      <c r="M487" s="11" t="n"/>
      <c r="N487" s="11" t="n"/>
      <c r="O487" s="11" t="n"/>
      <c r="P487" s="11" t="n"/>
      <c r="Q487" s="11" t="n"/>
    </row>
    <row r="488">
      <c r="A488" s="8">
        <f>B488&amp;"_"&amp;C488</f>
        <v/>
      </c>
      <c r="B488" s="8" t="n"/>
      <c r="C488" s="8" t="n"/>
      <c r="D488" s="8" t="n"/>
      <c r="E488" s="11" t="n"/>
      <c r="F488" s="11" t="n"/>
      <c r="G488" s="8" t="n"/>
      <c r="H488" s="8" t="n"/>
      <c r="I488" s="8" t="n"/>
      <c r="J488" s="8" t="n"/>
      <c r="K488" s="12">
        <f>IF(OR(ISERROR(VLOOKUP(C488, Resultados_Reales!$A$4:$I$107, 5, FALSE)), ISERROR(VLOOKUP(C488, Resultados_Reales!$A$4:$I$107, 6, FALSE)), VLOOKUP(C488, Resultados_Reales!$A$4:$I$107, 5, FALSE)="", VLOOKUP(C488, Resultados_Reales!$A$4:$I$107, 6, FALSE)=""), 0, IF(AND(VLOOKUP(C488, Resultados_Reales!$A$4:$I$107, 5, FALSE)=G488, VLOOKUP(C488, Resultados_Reales!$A$4:$I$107, 6, FALSE)=H488), Configuracion!$B$5, IF(SIGN(VLOOKUP(C488, Resultados_Reales!$A$4:$I$107, 5, FALSE)-VLOOKUP(C488, Resultados_Reales!$A$4:$I$107, 6, FALSE)) = SIGN(G488-H488), Configuracion!$B$4, 0)))</f>
        <v/>
      </c>
      <c r="L488" s="11" t="n"/>
      <c r="M488" s="11" t="n"/>
      <c r="N488" s="11" t="n"/>
      <c r="O488" s="11" t="n"/>
      <c r="P488" s="11" t="n"/>
      <c r="Q488" s="11" t="n"/>
    </row>
    <row r="489">
      <c r="A489" s="8">
        <f>B489&amp;"_"&amp;C489</f>
        <v/>
      </c>
      <c r="B489" s="8" t="n"/>
      <c r="C489" s="8" t="n"/>
      <c r="D489" s="8" t="n"/>
      <c r="E489" s="11" t="n"/>
      <c r="F489" s="11" t="n"/>
      <c r="G489" s="8" t="n"/>
      <c r="H489" s="8" t="n"/>
      <c r="I489" s="8" t="n"/>
      <c r="J489" s="8" t="n"/>
      <c r="K489" s="12">
        <f>IF(OR(ISERROR(VLOOKUP(C489, Resultados_Reales!$A$4:$I$107, 5, FALSE)), ISERROR(VLOOKUP(C489, Resultados_Reales!$A$4:$I$107, 6, FALSE)), VLOOKUP(C489, Resultados_Reales!$A$4:$I$107, 5, FALSE)="", VLOOKUP(C489, Resultados_Reales!$A$4:$I$107, 6, FALSE)=""), 0, IF(AND(VLOOKUP(C489, Resultados_Reales!$A$4:$I$107, 5, FALSE)=G489, VLOOKUP(C489, Resultados_Reales!$A$4:$I$107, 6, FALSE)=H489), Configuracion!$B$5, IF(SIGN(VLOOKUP(C489, Resultados_Reales!$A$4:$I$107, 5, FALSE)-VLOOKUP(C489, Resultados_Reales!$A$4:$I$107, 6, FALSE)) = SIGN(G489-H489), Configuracion!$B$4, 0)))</f>
        <v/>
      </c>
      <c r="L489" s="11" t="n"/>
      <c r="M489" s="11" t="n"/>
      <c r="N489" s="11" t="n"/>
      <c r="O489" s="11" t="n"/>
      <c r="P489" s="11" t="n"/>
      <c r="Q489" s="11" t="n"/>
    </row>
    <row r="490">
      <c r="A490" s="8">
        <f>B490&amp;"_"&amp;C490</f>
        <v/>
      </c>
      <c r="B490" s="8" t="n"/>
      <c r="C490" s="8" t="n"/>
      <c r="D490" s="8" t="n"/>
      <c r="E490" s="11" t="n"/>
      <c r="F490" s="11" t="n"/>
      <c r="G490" s="8" t="n"/>
      <c r="H490" s="8" t="n"/>
      <c r="I490" s="8" t="n"/>
      <c r="J490" s="8" t="n"/>
      <c r="K490" s="12">
        <f>IF(OR(ISERROR(VLOOKUP(C490, Resultados_Reales!$A$4:$I$107, 5, FALSE)), ISERROR(VLOOKUP(C490, Resultados_Reales!$A$4:$I$107, 6, FALSE)), VLOOKUP(C490, Resultados_Reales!$A$4:$I$107, 5, FALSE)="", VLOOKUP(C490, Resultados_Reales!$A$4:$I$107, 6, FALSE)=""), 0, IF(AND(VLOOKUP(C490, Resultados_Reales!$A$4:$I$107, 5, FALSE)=G490, VLOOKUP(C490, Resultados_Reales!$A$4:$I$107, 6, FALSE)=H490), Configuracion!$B$5, IF(SIGN(VLOOKUP(C490, Resultados_Reales!$A$4:$I$107, 5, FALSE)-VLOOKUP(C490, Resultados_Reales!$A$4:$I$107, 6, FALSE)) = SIGN(G490-H490), Configuracion!$B$4, 0)))</f>
        <v/>
      </c>
      <c r="L490" s="11" t="n"/>
      <c r="M490" s="11" t="n"/>
      <c r="N490" s="11" t="n"/>
      <c r="O490" s="11" t="n"/>
      <c r="P490" s="11" t="n"/>
      <c r="Q490" s="11" t="n"/>
    </row>
    <row r="491">
      <c r="A491" s="8">
        <f>B491&amp;"_"&amp;C491</f>
        <v/>
      </c>
      <c r="B491" s="8" t="n"/>
      <c r="C491" s="8" t="n"/>
      <c r="D491" s="8" t="n"/>
      <c r="E491" s="11" t="n"/>
      <c r="F491" s="11" t="n"/>
      <c r="G491" s="8" t="n"/>
      <c r="H491" s="8" t="n"/>
      <c r="I491" s="8" t="n"/>
      <c r="J491" s="8" t="n"/>
      <c r="K491" s="12">
        <f>IF(OR(ISERROR(VLOOKUP(C491, Resultados_Reales!$A$4:$I$107, 5, FALSE)), ISERROR(VLOOKUP(C491, Resultados_Reales!$A$4:$I$107, 6, FALSE)), VLOOKUP(C491, Resultados_Reales!$A$4:$I$107, 5, FALSE)="", VLOOKUP(C491, Resultados_Reales!$A$4:$I$107, 6, FALSE)=""), 0, IF(AND(VLOOKUP(C491, Resultados_Reales!$A$4:$I$107, 5, FALSE)=G491, VLOOKUP(C491, Resultados_Reales!$A$4:$I$107, 6, FALSE)=H491), Configuracion!$B$5, IF(SIGN(VLOOKUP(C491, Resultados_Reales!$A$4:$I$107, 5, FALSE)-VLOOKUP(C491, Resultados_Reales!$A$4:$I$107, 6, FALSE)) = SIGN(G491-H491), Configuracion!$B$4, 0)))</f>
        <v/>
      </c>
      <c r="L491" s="11" t="n"/>
      <c r="M491" s="11" t="n"/>
      <c r="N491" s="11" t="n"/>
      <c r="O491" s="11" t="n"/>
      <c r="P491" s="11" t="n"/>
      <c r="Q491" s="11" t="n"/>
    </row>
    <row r="492">
      <c r="A492" s="8">
        <f>B492&amp;"_"&amp;C492</f>
        <v/>
      </c>
      <c r="B492" s="8" t="n"/>
      <c r="C492" s="8" t="n"/>
      <c r="D492" s="8" t="n"/>
      <c r="E492" s="11" t="n"/>
      <c r="F492" s="11" t="n"/>
      <c r="G492" s="8" t="n"/>
      <c r="H492" s="8" t="n"/>
      <c r="I492" s="8" t="n"/>
      <c r="J492" s="8" t="n"/>
      <c r="K492" s="12">
        <f>IF(OR(ISERROR(VLOOKUP(C492, Resultados_Reales!$A$4:$I$107, 5, FALSE)), ISERROR(VLOOKUP(C492, Resultados_Reales!$A$4:$I$107, 6, FALSE)), VLOOKUP(C492, Resultados_Reales!$A$4:$I$107, 5, FALSE)="", VLOOKUP(C492, Resultados_Reales!$A$4:$I$107, 6, FALSE)=""), 0, IF(AND(VLOOKUP(C492, Resultados_Reales!$A$4:$I$107, 5, FALSE)=G492, VLOOKUP(C492, Resultados_Reales!$A$4:$I$107, 6, FALSE)=H492), Configuracion!$B$5, IF(SIGN(VLOOKUP(C492, Resultados_Reales!$A$4:$I$107, 5, FALSE)-VLOOKUP(C492, Resultados_Reales!$A$4:$I$107, 6, FALSE)) = SIGN(G492-H492), Configuracion!$B$4, 0)))</f>
        <v/>
      </c>
      <c r="L492" s="11" t="n"/>
      <c r="M492" s="11" t="n"/>
      <c r="N492" s="11" t="n"/>
      <c r="O492" s="11" t="n"/>
      <c r="P492" s="11" t="n"/>
      <c r="Q492" s="11" t="n"/>
    </row>
    <row r="493">
      <c r="A493" s="8">
        <f>B493&amp;"_"&amp;C493</f>
        <v/>
      </c>
      <c r="B493" s="8" t="n"/>
      <c r="C493" s="8" t="n"/>
      <c r="D493" s="8" t="n"/>
      <c r="E493" s="11" t="n"/>
      <c r="F493" s="11" t="n"/>
      <c r="G493" s="8" t="n"/>
      <c r="H493" s="8" t="n"/>
      <c r="I493" s="8" t="n"/>
      <c r="J493" s="8" t="n"/>
      <c r="K493" s="12">
        <f>IF(OR(ISERROR(VLOOKUP(C493, Resultados_Reales!$A$4:$I$107, 5, FALSE)), ISERROR(VLOOKUP(C493, Resultados_Reales!$A$4:$I$107, 6, FALSE)), VLOOKUP(C493, Resultados_Reales!$A$4:$I$107, 5, FALSE)="", VLOOKUP(C493, Resultados_Reales!$A$4:$I$107, 6, FALSE)=""), 0, IF(AND(VLOOKUP(C493, Resultados_Reales!$A$4:$I$107, 5, FALSE)=G493, VLOOKUP(C493, Resultados_Reales!$A$4:$I$107, 6, FALSE)=H493), Configuracion!$B$5, IF(SIGN(VLOOKUP(C493, Resultados_Reales!$A$4:$I$107, 5, FALSE)-VLOOKUP(C493, Resultados_Reales!$A$4:$I$107, 6, FALSE)) = SIGN(G493-H493), Configuracion!$B$4, 0)))</f>
        <v/>
      </c>
      <c r="L493" s="11" t="n"/>
      <c r="M493" s="11" t="n"/>
      <c r="N493" s="11" t="n"/>
      <c r="O493" s="11" t="n"/>
      <c r="P493" s="11" t="n"/>
      <c r="Q493" s="11" t="n"/>
    </row>
    <row r="494">
      <c r="A494" s="8">
        <f>B494&amp;"_"&amp;C494</f>
        <v/>
      </c>
      <c r="B494" s="8" t="n"/>
      <c r="C494" s="8" t="n"/>
      <c r="D494" s="8" t="n"/>
      <c r="E494" s="11" t="n"/>
      <c r="F494" s="11" t="n"/>
      <c r="G494" s="8" t="n"/>
      <c r="H494" s="8" t="n"/>
      <c r="I494" s="8" t="n"/>
      <c r="J494" s="8" t="n"/>
      <c r="K494" s="12">
        <f>IF(OR(ISERROR(VLOOKUP(C494, Resultados_Reales!$A$4:$I$107, 5, FALSE)), ISERROR(VLOOKUP(C494, Resultados_Reales!$A$4:$I$107, 6, FALSE)), VLOOKUP(C494, Resultados_Reales!$A$4:$I$107, 5, FALSE)="", VLOOKUP(C494, Resultados_Reales!$A$4:$I$107, 6, FALSE)=""), 0, IF(AND(VLOOKUP(C494, Resultados_Reales!$A$4:$I$107, 5, FALSE)=G494, VLOOKUP(C494, Resultados_Reales!$A$4:$I$107, 6, FALSE)=H494), Configuracion!$B$5, IF(SIGN(VLOOKUP(C494, Resultados_Reales!$A$4:$I$107, 5, FALSE)-VLOOKUP(C494, Resultados_Reales!$A$4:$I$107, 6, FALSE)) = SIGN(G494-H494), Configuracion!$B$4, 0)))</f>
        <v/>
      </c>
      <c r="L494" s="11" t="n"/>
      <c r="M494" s="11" t="n"/>
      <c r="N494" s="11" t="n"/>
      <c r="O494" s="11" t="n"/>
      <c r="P494" s="11" t="n"/>
      <c r="Q494" s="11" t="n"/>
    </row>
    <row r="495">
      <c r="A495" s="8">
        <f>B495&amp;"_"&amp;C495</f>
        <v/>
      </c>
      <c r="B495" s="8" t="n"/>
      <c r="C495" s="8" t="n"/>
      <c r="D495" s="8" t="n"/>
      <c r="E495" s="11" t="n"/>
      <c r="F495" s="11" t="n"/>
      <c r="G495" s="8" t="n"/>
      <c r="H495" s="8" t="n"/>
      <c r="I495" s="8" t="n"/>
      <c r="J495" s="8" t="n"/>
      <c r="K495" s="12">
        <f>IF(OR(ISERROR(VLOOKUP(C495, Resultados_Reales!$A$4:$I$107, 5, FALSE)), ISERROR(VLOOKUP(C495, Resultados_Reales!$A$4:$I$107, 6, FALSE)), VLOOKUP(C495, Resultados_Reales!$A$4:$I$107, 5, FALSE)="", VLOOKUP(C495, Resultados_Reales!$A$4:$I$107, 6, FALSE)=""), 0, IF(AND(VLOOKUP(C495, Resultados_Reales!$A$4:$I$107, 5, FALSE)=G495, VLOOKUP(C495, Resultados_Reales!$A$4:$I$107, 6, FALSE)=H495), Configuracion!$B$5, IF(SIGN(VLOOKUP(C495, Resultados_Reales!$A$4:$I$107, 5, FALSE)-VLOOKUP(C495, Resultados_Reales!$A$4:$I$107, 6, FALSE)) = SIGN(G495-H495), Configuracion!$B$4, 0)))</f>
        <v/>
      </c>
      <c r="L495" s="11" t="n"/>
      <c r="M495" s="11" t="n"/>
      <c r="N495" s="11" t="n"/>
      <c r="O495" s="11" t="n"/>
      <c r="P495" s="11" t="n"/>
      <c r="Q495" s="11" t="n"/>
    </row>
    <row r="496">
      <c r="A496" s="8">
        <f>B496&amp;"_"&amp;C496</f>
        <v/>
      </c>
      <c r="B496" s="8" t="n"/>
      <c r="C496" s="8" t="n"/>
      <c r="D496" s="8" t="n"/>
      <c r="E496" s="11" t="n"/>
      <c r="F496" s="11" t="n"/>
      <c r="G496" s="8" t="n"/>
      <c r="H496" s="8" t="n"/>
      <c r="I496" s="8" t="n"/>
      <c r="J496" s="8" t="n"/>
      <c r="K496" s="12">
        <f>IF(OR(ISERROR(VLOOKUP(C496, Resultados_Reales!$A$4:$I$107, 5, FALSE)), ISERROR(VLOOKUP(C496, Resultados_Reales!$A$4:$I$107, 6, FALSE)), VLOOKUP(C496, Resultados_Reales!$A$4:$I$107, 5, FALSE)="", VLOOKUP(C496, Resultados_Reales!$A$4:$I$107, 6, FALSE)=""), 0, IF(AND(VLOOKUP(C496, Resultados_Reales!$A$4:$I$107, 5, FALSE)=G496, VLOOKUP(C496, Resultados_Reales!$A$4:$I$107, 6, FALSE)=H496), Configuracion!$B$5, IF(SIGN(VLOOKUP(C496, Resultados_Reales!$A$4:$I$107, 5, FALSE)-VLOOKUP(C496, Resultados_Reales!$A$4:$I$107, 6, FALSE)) = SIGN(G496-H496), Configuracion!$B$4, 0)))</f>
        <v/>
      </c>
      <c r="L496" s="11" t="n"/>
      <c r="M496" s="11" t="n"/>
      <c r="N496" s="11" t="n"/>
      <c r="O496" s="11" t="n"/>
      <c r="P496" s="11" t="n"/>
      <c r="Q496" s="11" t="n"/>
    </row>
    <row r="497">
      <c r="A497" s="8">
        <f>B497&amp;"_"&amp;C497</f>
        <v/>
      </c>
      <c r="B497" s="8" t="n"/>
      <c r="C497" s="8" t="n"/>
      <c r="D497" s="8" t="n"/>
      <c r="E497" s="11" t="n"/>
      <c r="F497" s="11" t="n"/>
      <c r="G497" s="8" t="n"/>
      <c r="H497" s="8" t="n"/>
      <c r="I497" s="8" t="n"/>
      <c r="J497" s="8" t="n"/>
      <c r="K497" s="12">
        <f>IF(OR(ISERROR(VLOOKUP(C497, Resultados_Reales!$A$4:$I$107, 5, FALSE)), ISERROR(VLOOKUP(C497, Resultados_Reales!$A$4:$I$107, 6, FALSE)), VLOOKUP(C497, Resultados_Reales!$A$4:$I$107, 5, FALSE)="", VLOOKUP(C497, Resultados_Reales!$A$4:$I$107, 6, FALSE)=""), 0, IF(AND(VLOOKUP(C497, Resultados_Reales!$A$4:$I$107, 5, FALSE)=G497, VLOOKUP(C497, Resultados_Reales!$A$4:$I$107, 6, FALSE)=H497), Configuracion!$B$5, IF(SIGN(VLOOKUP(C497, Resultados_Reales!$A$4:$I$107, 5, FALSE)-VLOOKUP(C497, Resultados_Reales!$A$4:$I$107, 6, FALSE)) = SIGN(G497-H497), Configuracion!$B$4, 0)))</f>
        <v/>
      </c>
      <c r="L497" s="11" t="n"/>
      <c r="M497" s="11" t="n"/>
      <c r="N497" s="11" t="n"/>
      <c r="O497" s="11" t="n"/>
      <c r="P497" s="11" t="n"/>
      <c r="Q497" s="11" t="n"/>
    </row>
    <row r="498">
      <c r="A498" s="8">
        <f>B498&amp;"_"&amp;C498</f>
        <v/>
      </c>
      <c r="B498" s="8" t="n"/>
      <c r="C498" s="8" t="n"/>
      <c r="D498" s="8" t="n"/>
      <c r="E498" s="11" t="n"/>
      <c r="F498" s="11" t="n"/>
      <c r="G498" s="8" t="n"/>
      <c r="H498" s="8" t="n"/>
      <c r="I498" s="8" t="n"/>
      <c r="J498" s="8" t="n"/>
      <c r="K498" s="12">
        <f>IF(OR(ISERROR(VLOOKUP(C498, Resultados_Reales!$A$4:$I$107, 5, FALSE)), ISERROR(VLOOKUP(C498, Resultados_Reales!$A$4:$I$107, 6, FALSE)), VLOOKUP(C498, Resultados_Reales!$A$4:$I$107, 5, FALSE)="", VLOOKUP(C498, Resultados_Reales!$A$4:$I$107, 6, FALSE)=""), 0, IF(AND(VLOOKUP(C498, Resultados_Reales!$A$4:$I$107, 5, FALSE)=G498, VLOOKUP(C498, Resultados_Reales!$A$4:$I$107, 6, FALSE)=H498), Configuracion!$B$5, IF(SIGN(VLOOKUP(C498, Resultados_Reales!$A$4:$I$107, 5, FALSE)-VLOOKUP(C498, Resultados_Reales!$A$4:$I$107, 6, FALSE)) = SIGN(G498-H498), Configuracion!$B$4, 0)))</f>
        <v/>
      </c>
      <c r="L498" s="11" t="n"/>
      <c r="M498" s="11" t="n"/>
      <c r="N498" s="11" t="n"/>
      <c r="O498" s="11" t="n"/>
      <c r="P498" s="11" t="n"/>
      <c r="Q498" s="11" t="n"/>
    </row>
    <row r="499">
      <c r="A499" s="8">
        <f>B499&amp;"_"&amp;C499</f>
        <v/>
      </c>
      <c r="B499" s="8" t="n"/>
      <c r="C499" s="8" t="n"/>
      <c r="D499" s="8" t="n"/>
      <c r="E499" s="11" t="n"/>
      <c r="F499" s="11" t="n"/>
      <c r="G499" s="8" t="n"/>
      <c r="H499" s="8" t="n"/>
      <c r="I499" s="8" t="n"/>
      <c r="J499" s="8" t="n"/>
      <c r="K499" s="12">
        <f>IF(OR(ISERROR(VLOOKUP(C499, Resultados_Reales!$A$4:$I$107, 5, FALSE)), ISERROR(VLOOKUP(C499, Resultados_Reales!$A$4:$I$107, 6, FALSE)), VLOOKUP(C499, Resultados_Reales!$A$4:$I$107, 5, FALSE)="", VLOOKUP(C499, Resultados_Reales!$A$4:$I$107, 6, FALSE)=""), 0, IF(AND(VLOOKUP(C499, Resultados_Reales!$A$4:$I$107, 5, FALSE)=G499, VLOOKUP(C499, Resultados_Reales!$A$4:$I$107, 6, FALSE)=H499), Configuracion!$B$5, IF(SIGN(VLOOKUP(C499, Resultados_Reales!$A$4:$I$107, 5, FALSE)-VLOOKUP(C499, Resultados_Reales!$A$4:$I$107, 6, FALSE)) = SIGN(G499-H499), Configuracion!$B$4, 0)))</f>
        <v/>
      </c>
      <c r="L499" s="11" t="n"/>
      <c r="M499" s="11" t="n"/>
      <c r="N499" s="11" t="n"/>
      <c r="O499" s="11" t="n"/>
      <c r="P499" s="11" t="n"/>
      <c r="Q499" s="11" t="n"/>
    </row>
    <row r="500">
      <c r="A500" s="8">
        <f>B500&amp;"_"&amp;C500</f>
        <v/>
      </c>
      <c r="B500" s="8" t="n"/>
      <c r="C500" s="8" t="n"/>
      <c r="D500" s="8" t="n"/>
      <c r="E500" s="11" t="n"/>
      <c r="F500" s="11" t="n"/>
      <c r="G500" s="8" t="n"/>
      <c r="H500" s="8" t="n"/>
      <c r="I500" s="8" t="n"/>
      <c r="J500" s="8" t="n"/>
      <c r="K500" s="12">
        <f>IF(OR(ISERROR(VLOOKUP(C500, Resultados_Reales!$A$4:$I$107, 5, FALSE)), ISERROR(VLOOKUP(C500, Resultados_Reales!$A$4:$I$107, 6, FALSE)), VLOOKUP(C500, Resultados_Reales!$A$4:$I$107, 5, FALSE)="", VLOOKUP(C500, Resultados_Reales!$A$4:$I$107, 6, FALSE)=""), 0, IF(AND(VLOOKUP(C500, Resultados_Reales!$A$4:$I$107, 5, FALSE)=G500, VLOOKUP(C500, Resultados_Reales!$A$4:$I$107, 6, FALSE)=H500), Configuracion!$B$5, IF(SIGN(VLOOKUP(C500, Resultados_Reales!$A$4:$I$107, 5, FALSE)-VLOOKUP(C500, Resultados_Reales!$A$4:$I$107, 6, FALSE)) = SIGN(G500-H500), Configuracion!$B$4, 0)))</f>
        <v/>
      </c>
      <c r="L500" s="11" t="n"/>
      <c r="M500" s="11" t="n"/>
      <c r="N500" s="11" t="n"/>
      <c r="O500" s="11" t="n"/>
      <c r="P500" s="11" t="n"/>
      <c r="Q500" s="11" t="n"/>
    </row>
    <row r="501">
      <c r="A501" s="8">
        <f>B501&amp;"_"&amp;C501</f>
        <v/>
      </c>
      <c r="B501" s="8" t="n"/>
      <c r="C501" s="8" t="n"/>
      <c r="D501" s="8" t="n"/>
      <c r="E501" s="11" t="n"/>
      <c r="F501" s="11" t="n"/>
      <c r="G501" s="8" t="n"/>
      <c r="H501" s="8" t="n"/>
      <c r="I501" s="8" t="n"/>
      <c r="J501" s="8" t="n"/>
      <c r="K501" s="12">
        <f>IF(OR(ISERROR(VLOOKUP(C501, Resultados_Reales!$A$4:$I$107, 5, FALSE)), ISERROR(VLOOKUP(C501, Resultados_Reales!$A$4:$I$107, 6, FALSE)), VLOOKUP(C501, Resultados_Reales!$A$4:$I$107, 5, FALSE)="", VLOOKUP(C501, Resultados_Reales!$A$4:$I$107, 6, FALSE)=""), 0, IF(AND(VLOOKUP(C501, Resultados_Reales!$A$4:$I$107, 5, FALSE)=G501, VLOOKUP(C501, Resultados_Reales!$A$4:$I$107, 6, FALSE)=H501), Configuracion!$B$5, IF(SIGN(VLOOKUP(C501, Resultados_Reales!$A$4:$I$107, 5, FALSE)-VLOOKUP(C501, Resultados_Reales!$A$4:$I$107, 6, FALSE)) = SIGN(G501-H501), Configuracion!$B$4, 0)))</f>
        <v/>
      </c>
      <c r="L501" s="11" t="n"/>
      <c r="M501" s="11" t="n"/>
      <c r="N501" s="11" t="n"/>
      <c r="O501" s="11" t="n"/>
      <c r="P501" s="11" t="n"/>
      <c r="Q501" s="11" t="n"/>
    </row>
    <row r="502">
      <c r="A502" s="8">
        <f>B502&amp;"_"&amp;C502</f>
        <v/>
      </c>
      <c r="B502" s="8" t="n"/>
      <c r="C502" s="8" t="n"/>
      <c r="D502" s="8" t="n"/>
      <c r="E502" s="11" t="n"/>
      <c r="F502" s="11" t="n"/>
      <c r="G502" s="8" t="n"/>
      <c r="H502" s="8" t="n"/>
      <c r="I502" s="8" t="n"/>
      <c r="J502" s="8" t="n"/>
      <c r="K502" s="12">
        <f>IF(OR(ISERROR(VLOOKUP(C502, Resultados_Reales!$A$4:$I$107, 5, FALSE)), ISERROR(VLOOKUP(C502, Resultados_Reales!$A$4:$I$107, 6, FALSE)), VLOOKUP(C502, Resultados_Reales!$A$4:$I$107, 5, FALSE)="", VLOOKUP(C502, Resultados_Reales!$A$4:$I$107, 6, FALSE)=""), 0, IF(AND(VLOOKUP(C502, Resultados_Reales!$A$4:$I$107, 5, FALSE)=G502, VLOOKUP(C502, Resultados_Reales!$A$4:$I$107, 6, FALSE)=H502), Configuracion!$B$5, IF(SIGN(VLOOKUP(C502, Resultados_Reales!$A$4:$I$107, 5, FALSE)-VLOOKUP(C502, Resultados_Reales!$A$4:$I$107, 6, FALSE)) = SIGN(G502-H502), Configuracion!$B$4, 0)))</f>
        <v/>
      </c>
      <c r="L502" s="11" t="n"/>
      <c r="M502" s="11" t="n"/>
      <c r="N502" s="11" t="n"/>
      <c r="O502" s="11" t="n"/>
      <c r="P502" s="11" t="n"/>
      <c r="Q502" s="11" t="n"/>
    </row>
    <row r="503">
      <c r="A503" s="8">
        <f>B503&amp;"_"&amp;C503</f>
        <v/>
      </c>
      <c r="B503" s="8" t="n"/>
      <c r="C503" s="8" t="n"/>
      <c r="D503" s="8" t="n"/>
      <c r="E503" s="11" t="n"/>
      <c r="F503" s="11" t="n"/>
      <c r="G503" s="8" t="n"/>
      <c r="H503" s="8" t="n"/>
      <c r="I503" s="8" t="n"/>
      <c r="J503" s="8" t="n"/>
      <c r="K503" s="12">
        <f>IF(OR(ISERROR(VLOOKUP(C503, Resultados_Reales!$A$4:$I$107, 5, FALSE)), ISERROR(VLOOKUP(C503, Resultados_Reales!$A$4:$I$107, 6, FALSE)), VLOOKUP(C503, Resultados_Reales!$A$4:$I$107, 5, FALSE)="", VLOOKUP(C503, Resultados_Reales!$A$4:$I$107, 6, FALSE)=""), 0, IF(AND(VLOOKUP(C503, Resultados_Reales!$A$4:$I$107, 5, FALSE)=G503, VLOOKUP(C503, Resultados_Reales!$A$4:$I$107, 6, FALSE)=H503), Configuracion!$B$5, IF(SIGN(VLOOKUP(C503, Resultados_Reales!$A$4:$I$107, 5, FALSE)-VLOOKUP(C503, Resultados_Reales!$A$4:$I$107, 6, FALSE)) = SIGN(G503-H503), Configuracion!$B$4, 0)))</f>
        <v/>
      </c>
      <c r="L503" s="11" t="n"/>
      <c r="M503" s="11" t="n"/>
      <c r="N503" s="11" t="n"/>
      <c r="O503" s="11" t="n"/>
      <c r="P503" s="11" t="n"/>
      <c r="Q503" s="11" t="n"/>
    </row>
    <row r="504">
      <c r="A504" s="8">
        <f>B504&amp;"_"&amp;C504</f>
        <v/>
      </c>
      <c r="B504" s="8" t="n"/>
      <c r="C504" s="8" t="n"/>
      <c r="D504" s="8" t="n"/>
      <c r="E504" s="11" t="n"/>
      <c r="F504" s="11" t="n"/>
      <c r="G504" s="8" t="n"/>
      <c r="H504" s="8" t="n"/>
      <c r="I504" s="8" t="n"/>
      <c r="J504" s="8" t="n"/>
      <c r="K504" s="12">
        <f>IF(OR(ISERROR(VLOOKUP(C504, Resultados_Reales!$A$4:$I$107, 5, FALSE)), ISERROR(VLOOKUP(C504, Resultados_Reales!$A$4:$I$107, 6, FALSE)), VLOOKUP(C504, Resultados_Reales!$A$4:$I$107, 5, FALSE)="", VLOOKUP(C504, Resultados_Reales!$A$4:$I$107, 6, FALSE)=""), 0, IF(AND(VLOOKUP(C504, Resultados_Reales!$A$4:$I$107, 5, FALSE)=G504, VLOOKUP(C504, Resultados_Reales!$A$4:$I$107, 6, FALSE)=H504), Configuracion!$B$5, IF(SIGN(VLOOKUP(C504, Resultados_Reales!$A$4:$I$107, 5, FALSE)-VLOOKUP(C504, Resultados_Reales!$A$4:$I$107, 6, FALSE)) = SIGN(G504-H504), Configuracion!$B$4, 0)))</f>
        <v/>
      </c>
      <c r="L504" s="11" t="n"/>
      <c r="M504" s="11" t="n"/>
      <c r="N504" s="11" t="n"/>
      <c r="O504" s="11" t="n"/>
      <c r="P504" s="11" t="n"/>
      <c r="Q504" s="11" t="n"/>
    </row>
    <row r="505">
      <c r="A505" s="8">
        <f>B505&amp;"_"&amp;C505</f>
        <v/>
      </c>
      <c r="B505" s="8" t="n"/>
      <c r="C505" s="8" t="n"/>
      <c r="D505" s="8" t="n"/>
      <c r="E505" s="11" t="n"/>
      <c r="F505" s="11" t="n"/>
      <c r="G505" s="8" t="n"/>
      <c r="H505" s="8" t="n"/>
      <c r="I505" s="8" t="n"/>
      <c r="J505" s="8" t="n"/>
      <c r="K505" s="12">
        <f>IF(OR(ISERROR(VLOOKUP(C505, Resultados_Reales!$A$4:$I$107, 5, FALSE)), ISERROR(VLOOKUP(C505, Resultados_Reales!$A$4:$I$107, 6, FALSE)), VLOOKUP(C505, Resultados_Reales!$A$4:$I$107, 5, FALSE)="", VLOOKUP(C505, Resultados_Reales!$A$4:$I$107, 6, FALSE)=""), 0, IF(AND(VLOOKUP(C505, Resultados_Reales!$A$4:$I$107, 5, FALSE)=G505, VLOOKUP(C505, Resultados_Reales!$A$4:$I$107, 6, FALSE)=H505), Configuracion!$B$5, IF(SIGN(VLOOKUP(C505, Resultados_Reales!$A$4:$I$107, 5, FALSE)-VLOOKUP(C505, Resultados_Reales!$A$4:$I$107, 6, FALSE)) = SIGN(G505-H505), Configuracion!$B$4, 0)))</f>
        <v/>
      </c>
      <c r="L505" s="11" t="n"/>
      <c r="M505" s="11" t="n"/>
      <c r="N505" s="11" t="n"/>
      <c r="O505" s="11" t="n"/>
      <c r="P505" s="11" t="n"/>
      <c r="Q505" s="11" t="n"/>
    </row>
    <row r="506">
      <c r="A506" s="8">
        <f>B506&amp;"_"&amp;C506</f>
        <v/>
      </c>
      <c r="B506" s="8" t="n"/>
      <c r="C506" s="8" t="n"/>
      <c r="D506" s="8" t="n"/>
      <c r="E506" s="11" t="n"/>
      <c r="F506" s="11" t="n"/>
      <c r="G506" s="8" t="n"/>
      <c r="H506" s="8" t="n"/>
      <c r="I506" s="8" t="n"/>
      <c r="J506" s="8" t="n"/>
      <c r="K506" s="12">
        <f>IF(OR(ISERROR(VLOOKUP(C506, Resultados_Reales!$A$4:$I$107, 5, FALSE)), ISERROR(VLOOKUP(C506, Resultados_Reales!$A$4:$I$107, 6, FALSE)), VLOOKUP(C506, Resultados_Reales!$A$4:$I$107, 5, FALSE)="", VLOOKUP(C506, Resultados_Reales!$A$4:$I$107, 6, FALSE)=""), 0, IF(AND(VLOOKUP(C506, Resultados_Reales!$A$4:$I$107, 5, FALSE)=G506, VLOOKUP(C506, Resultados_Reales!$A$4:$I$107, 6, FALSE)=H506), Configuracion!$B$5, IF(SIGN(VLOOKUP(C506, Resultados_Reales!$A$4:$I$107, 5, FALSE)-VLOOKUP(C506, Resultados_Reales!$A$4:$I$107, 6, FALSE)) = SIGN(G506-H506), Configuracion!$B$4, 0)))</f>
        <v/>
      </c>
      <c r="L506" s="11" t="n"/>
      <c r="M506" s="11" t="n"/>
      <c r="N506" s="11" t="n"/>
      <c r="O506" s="11" t="n"/>
      <c r="P506" s="11" t="n"/>
      <c r="Q506" s="11" t="n"/>
    </row>
    <row r="507">
      <c r="A507" s="8">
        <f>B507&amp;"_"&amp;C507</f>
        <v/>
      </c>
      <c r="B507" s="8" t="n"/>
      <c r="C507" s="8" t="n"/>
      <c r="D507" s="8" t="n"/>
      <c r="E507" s="11" t="n"/>
      <c r="F507" s="11" t="n"/>
      <c r="G507" s="8" t="n"/>
      <c r="H507" s="8" t="n"/>
      <c r="I507" s="8" t="n"/>
      <c r="J507" s="8" t="n"/>
      <c r="K507" s="12">
        <f>IF(OR(ISERROR(VLOOKUP(C507, Resultados_Reales!$A$4:$I$107, 5, FALSE)), ISERROR(VLOOKUP(C507, Resultados_Reales!$A$4:$I$107, 6, FALSE)), VLOOKUP(C507, Resultados_Reales!$A$4:$I$107, 5, FALSE)="", VLOOKUP(C507, Resultados_Reales!$A$4:$I$107, 6, FALSE)=""), 0, IF(AND(VLOOKUP(C507, Resultados_Reales!$A$4:$I$107, 5, FALSE)=G507, VLOOKUP(C507, Resultados_Reales!$A$4:$I$107, 6, FALSE)=H507), Configuracion!$B$5, IF(SIGN(VLOOKUP(C507, Resultados_Reales!$A$4:$I$107, 5, FALSE)-VLOOKUP(C507, Resultados_Reales!$A$4:$I$107, 6, FALSE)) = SIGN(G507-H507), Configuracion!$B$4, 0)))</f>
        <v/>
      </c>
      <c r="L507" s="11" t="n"/>
      <c r="M507" s="11" t="n"/>
      <c r="N507" s="11" t="n"/>
      <c r="O507" s="11" t="n"/>
      <c r="P507" s="11" t="n"/>
      <c r="Q507" s="11" t="n"/>
    </row>
    <row r="508">
      <c r="A508" s="8">
        <f>B508&amp;"_"&amp;C508</f>
        <v/>
      </c>
      <c r="B508" s="8" t="n"/>
      <c r="C508" s="8" t="n"/>
      <c r="D508" s="8" t="n"/>
      <c r="E508" s="11" t="n"/>
      <c r="F508" s="11" t="n"/>
      <c r="G508" s="8" t="n"/>
      <c r="H508" s="8" t="n"/>
      <c r="I508" s="8" t="n"/>
      <c r="J508" s="8" t="n"/>
      <c r="K508" s="12">
        <f>IF(OR(ISERROR(VLOOKUP(C508, Resultados_Reales!$A$4:$I$107, 5, FALSE)), ISERROR(VLOOKUP(C508, Resultados_Reales!$A$4:$I$107, 6, FALSE)), VLOOKUP(C508, Resultados_Reales!$A$4:$I$107, 5, FALSE)="", VLOOKUP(C508, Resultados_Reales!$A$4:$I$107, 6, FALSE)=""), 0, IF(AND(VLOOKUP(C508, Resultados_Reales!$A$4:$I$107, 5, FALSE)=G508, VLOOKUP(C508, Resultados_Reales!$A$4:$I$107, 6, FALSE)=H508), Configuracion!$B$5, IF(SIGN(VLOOKUP(C508, Resultados_Reales!$A$4:$I$107, 5, FALSE)-VLOOKUP(C508, Resultados_Reales!$A$4:$I$107, 6, FALSE)) = SIGN(G508-H508), Configuracion!$B$4, 0)))</f>
        <v/>
      </c>
      <c r="L508" s="11" t="n"/>
      <c r="M508" s="11" t="n"/>
      <c r="N508" s="11" t="n"/>
      <c r="O508" s="11" t="n"/>
      <c r="P508" s="11" t="n"/>
      <c r="Q508" s="11" t="n"/>
    </row>
    <row r="509">
      <c r="A509" s="8">
        <f>B509&amp;"_"&amp;C509</f>
        <v/>
      </c>
      <c r="B509" s="8" t="n"/>
      <c r="C509" s="8" t="n"/>
      <c r="D509" s="8" t="n"/>
      <c r="E509" s="11" t="n"/>
      <c r="F509" s="11" t="n"/>
      <c r="G509" s="8" t="n"/>
      <c r="H509" s="8" t="n"/>
      <c r="I509" s="8" t="n"/>
      <c r="J509" s="8" t="n"/>
      <c r="K509" s="12">
        <f>IF(OR(ISERROR(VLOOKUP(C509, Resultados_Reales!$A$4:$I$107, 5, FALSE)), ISERROR(VLOOKUP(C509, Resultados_Reales!$A$4:$I$107, 6, FALSE)), VLOOKUP(C509, Resultados_Reales!$A$4:$I$107, 5, FALSE)="", VLOOKUP(C509, Resultados_Reales!$A$4:$I$107, 6, FALSE)=""), 0, IF(AND(VLOOKUP(C509, Resultados_Reales!$A$4:$I$107, 5, FALSE)=G509, VLOOKUP(C509, Resultados_Reales!$A$4:$I$107, 6, FALSE)=H509), Configuracion!$B$5, IF(SIGN(VLOOKUP(C509, Resultados_Reales!$A$4:$I$107, 5, FALSE)-VLOOKUP(C509, Resultados_Reales!$A$4:$I$107, 6, FALSE)) = SIGN(G509-H509), Configuracion!$B$4, 0)))</f>
        <v/>
      </c>
      <c r="L509" s="11" t="n"/>
      <c r="M509" s="11" t="n"/>
      <c r="N509" s="11" t="n"/>
      <c r="O509" s="11" t="n"/>
      <c r="P509" s="11" t="n"/>
      <c r="Q509" s="11" t="n"/>
    </row>
    <row r="510">
      <c r="A510" s="8">
        <f>B510&amp;"_"&amp;C510</f>
        <v/>
      </c>
      <c r="B510" s="8" t="n"/>
      <c r="C510" s="8" t="n"/>
      <c r="D510" s="8" t="n"/>
      <c r="E510" s="11" t="n"/>
      <c r="F510" s="11" t="n"/>
      <c r="G510" s="8" t="n"/>
      <c r="H510" s="8" t="n"/>
      <c r="I510" s="8" t="n"/>
      <c r="J510" s="8" t="n"/>
      <c r="K510" s="12">
        <f>IF(OR(ISERROR(VLOOKUP(C510, Resultados_Reales!$A$4:$I$107, 5, FALSE)), ISERROR(VLOOKUP(C510, Resultados_Reales!$A$4:$I$107, 6, FALSE)), VLOOKUP(C510, Resultados_Reales!$A$4:$I$107, 5, FALSE)="", VLOOKUP(C510, Resultados_Reales!$A$4:$I$107, 6, FALSE)=""), 0, IF(AND(VLOOKUP(C510, Resultados_Reales!$A$4:$I$107, 5, FALSE)=G510, VLOOKUP(C510, Resultados_Reales!$A$4:$I$107, 6, FALSE)=H510), Configuracion!$B$5, IF(SIGN(VLOOKUP(C510, Resultados_Reales!$A$4:$I$107, 5, FALSE)-VLOOKUP(C510, Resultados_Reales!$A$4:$I$107, 6, FALSE)) = SIGN(G510-H510), Configuracion!$B$4, 0)))</f>
        <v/>
      </c>
      <c r="L510" s="11" t="n"/>
      <c r="M510" s="11" t="n"/>
      <c r="N510" s="11" t="n"/>
      <c r="O510" s="11" t="n"/>
      <c r="P510" s="11" t="n"/>
      <c r="Q510" s="11" t="n"/>
    </row>
    <row r="511">
      <c r="A511" s="8">
        <f>B511&amp;"_"&amp;C511</f>
        <v/>
      </c>
      <c r="B511" s="8" t="n"/>
      <c r="C511" s="8" t="n"/>
      <c r="D511" s="8" t="n"/>
      <c r="E511" s="11" t="n"/>
      <c r="F511" s="11" t="n"/>
      <c r="G511" s="8" t="n"/>
      <c r="H511" s="8" t="n"/>
      <c r="I511" s="8" t="n"/>
      <c r="J511" s="8" t="n"/>
      <c r="K511" s="12">
        <f>IF(OR(ISERROR(VLOOKUP(C511, Resultados_Reales!$A$4:$I$107, 5, FALSE)), ISERROR(VLOOKUP(C511, Resultados_Reales!$A$4:$I$107, 6, FALSE)), VLOOKUP(C511, Resultados_Reales!$A$4:$I$107, 5, FALSE)="", VLOOKUP(C511, Resultados_Reales!$A$4:$I$107, 6, FALSE)=""), 0, IF(AND(VLOOKUP(C511, Resultados_Reales!$A$4:$I$107, 5, FALSE)=G511, VLOOKUP(C511, Resultados_Reales!$A$4:$I$107, 6, FALSE)=H511), Configuracion!$B$5, IF(SIGN(VLOOKUP(C511, Resultados_Reales!$A$4:$I$107, 5, FALSE)-VLOOKUP(C511, Resultados_Reales!$A$4:$I$107, 6, FALSE)) = SIGN(G511-H511), Configuracion!$B$4, 0)))</f>
        <v/>
      </c>
      <c r="L511" s="11" t="n"/>
      <c r="M511" s="11" t="n"/>
      <c r="N511" s="11" t="n"/>
      <c r="O511" s="11" t="n"/>
      <c r="P511" s="11" t="n"/>
      <c r="Q511" s="11" t="n"/>
    </row>
    <row r="512">
      <c r="A512" s="8">
        <f>B512&amp;"_"&amp;C512</f>
        <v/>
      </c>
      <c r="B512" s="8" t="n"/>
      <c r="C512" s="8" t="n"/>
      <c r="D512" s="8" t="n"/>
      <c r="E512" s="11" t="n"/>
      <c r="F512" s="11" t="n"/>
      <c r="G512" s="8" t="n"/>
      <c r="H512" s="8" t="n"/>
      <c r="I512" s="8" t="n"/>
      <c r="J512" s="8" t="n"/>
      <c r="K512" s="12">
        <f>IF(OR(ISERROR(VLOOKUP(C512, Resultados_Reales!$A$4:$I$107, 5, FALSE)), ISERROR(VLOOKUP(C512, Resultados_Reales!$A$4:$I$107, 6, FALSE)), VLOOKUP(C512, Resultados_Reales!$A$4:$I$107, 5, FALSE)="", VLOOKUP(C512, Resultados_Reales!$A$4:$I$107, 6, FALSE)=""), 0, IF(AND(VLOOKUP(C512, Resultados_Reales!$A$4:$I$107, 5, FALSE)=G512, VLOOKUP(C512, Resultados_Reales!$A$4:$I$107, 6, FALSE)=H512), Configuracion!$B$5, IF(SIGN(VLOOKUP(C512, Resultados_Reales!$A$4:$I$107, 5, FALSE)-VLOOKUP(C512, Resultados_Reales!$A$4:$I$107, 6, FALSE)) = SIGN(G512-H512), Configuracion!$B$4, 0)))</f>
        <v/>
      </c>
      <c r="L512" s="11" t="n"/>
      <c r="M512" s="11" t="n"/>
      <c r="N512" s="11" t="n"/>
      <c r="O512" s="11" t="n"/>
      <c r="P512" s="11" t="n"/>
      <c r="Q512" s="11" t="n"/>
    </row>
    <row r="513">
      <c r="A513" s="8">
        <f>B513&amp;"_"&amp;C513</f>
        <v/>
      </c>
      <c r="B513" s="8" t="n"/>
      <c r="C513" s="8" t="n"/>
      <c r="D513" s="8" t="n"/>
      <c r="E513" s="11" t="n"/>
      <c r="F513" s="11" t="n"/>
      <c r="G513" s="8" t="n"/>
      <c r="H513" s="8" t="n"/>
      <c r="I513" s="8" t="n"/>
      <c r="J513" s="8" t="n"/>
      <c r="K513" s="12">
        <f>IF(OR(ISERROR(VLOOKUP(C513, Resultados_Reales!$A$4:$I$107, 5, FALSE)), ISERROR(VLOOKUP(C513, Resultados_Reales!$A$4:$I$107, 6, FALSE)), VLOOKUP(C513, Resultados_Reales!$A$4:$I$107, 5, FALSE)="", VLOOKUP(C513, Resultados_Reales!$A$4:$I$107, 6, FALSE)=""), 0, IF(AND(VLOOKUP(C513, Resultados_Reales!$A$4:$I$107, 5, FALSE)=G513, VLOOKUP(C513, Resultados_Reales!$A$4:$I$107, 6, FALSE)=H513), Configuracion!$B$5, IF(SIGN(VLOOKUP(C513, Resultados_Reales!$A$4:$I$107, 5, FALSE)-VLOOKUP(C513, Resultados_Reales!$A$4:$I$107, 6, FALSE)) = SIGN(G513-H513), Configuracion!$B$4, 0)))</f>
        <v/>
      </c>
      <c r="L513" s="11" t="n"/>
      <c r="M513" s="11" t="n"/>
      <c r="N513" s="11" t="n"/>
      <c r="O513" s="11" t="n"/>
      <c r="P513" s="11" t="n"/>
      <c r="Q513" s="11" t="n"/>
    </row>
    <row r="514">
      <c r="A514" s="8">
        <f>B514&amp;"_"&amp;C514</f>
        <v/>
      </c>
      <c r="B514" s="8" t="n"/>
      <c r="C514" s="8" t="n"/>
      <c r="D514" s="8" t="n"/>
      <c r="E514" s="11" t="n"/>
      <c r="F514" s="11" t="n"/>
      <c r="G514" s="8" t="n"/>
      <c r="H514" s="8" t="n"/>
      <c r="I514" s="8" t="n"/>
      <c r="J514" s="8" t="n"/>
      <c r="K514" s="12">
        <f>IF(OR(ISERROR(VLOOKUP(C514, Resultados_Reales!$A$4:$I$107, 5, FALSE)), ISERROR(VLOOKUP(C514, Resultados_Reales!$A$4:$I$107, 6, FALSE)), VLOOKUP(C514, Resultados_Reales!$A$4:$I$107, 5, FALSE)="", VLOOKUP(C514, Resultados_Reales!$A$4:$I$107, 6, FALSE)=""), 0, IF(AND(VLOOKUP(C514, Resultados_Reales!$A$4:$I$107, 5, FALSE)=G514, VLOOKUP(C514, Resultados_Reales!$A$4:$I$107, 6, FALSE)=H514), Configuracion!$B$5, IF(SIGN(VLOOKUP(C514, Resultados_Reales!$A$4:$I$107, 5, FALSE)-VLOOKUP(C514, Resultados_Reales!$A$4:$I$107, 6, FALSE)) = SIGN(G514-H514), Configuracion!$B$4, 0)))</f>
        <v/>
      </c>
      <c r="L514" s="11" t="n"/>
      <c r="M514" s="11" t="n"/>
      <c r="N514" s="11" t="n"/>
      <c r="O514" s="11" t="n"/>
      <c r="P514" s="11" t="n"/>
      <c r="Q514" s="11" t="n"/>
    </row>
    <row r="515">
      <c r="A515" s="8">
        <f>B515&amp;"_"&amp;C515</f>
        <v/>
      </c>
      <c r="B515" s="8" t="n"/>
      <c r="C515" s="8" t="n"/>
      <c r="D515" s="8" t="n"/>
      <c r="E515" s="11" t="n"/>
      <c r="F515" s="11" t="n"/>
      <c r="G515" s="8" t="n"/>
      <c r="H515" s="8" t="n"/>
      <c r="I515" s="8" t="n"/>
      <c r="J515" s="8" t="n"/>
      <c r="K515" s="12">
        <f>IF(OR(ISERROR(VLOOKUP(C515, Resultados_Reales!$A$4:$I$107, 5, FALSE)), ISERROR(VLOOKUP(C515, Resultados_Reales!$A$4:$I$107, 6, FALSE)), VLOOKUP(C515, Resultados_Reales!$A$4:$I$107, 5, FALSE)="", VLOOKUP(C515, Resultados_Reales!$A$4:$I$107, 6, FALSE)=""), 0, IF(AND(VLOOKUP(C515, Resultados_Reales!$A$4:$I$107, 5, FALSE)=G515, VLOOKUP(C515, Resultados_Reales!$A$4:$I$107, 6, FALSE)=H515), Configuracion!$B$5, IF(SIGN(VLOOKUP(C515, Resultados_Reales!$A$4:$I$107, 5, FALSE)-VLOOKUP(C515, Resultados_Reales!$A$4:$I$107, 6, FALSE)) = SIGN(G515-H515), Configuracion!$B$4, 0)))</f>
        <v/>
      </c>
      <c r="L515" s="11" t="n"/>
      <c r="M515" s="11" t="n"/>
      <c r="N515" s="11" t="n"/>
      <c r="O515" s="11" t="n"/>
      <c r="P515" s="11" t="n"/>
      <c r="Q515" s="11" t="n"/>
    </row>
    <row r="516">
      <c r="A516" s="8">
        <f>B516&amp;"_"&amp;C516</f>
        <v/>
      </c>
      <c r="B516" s="8" t="n"/>
      <c r="C516" s="8" t="n"/>
      <c r="D516" s="8" t="n"/>
      <c r="E516" s="11" t="n"/>
      <c r="F516" s="11" t="n"/>
      <c r="G516" s="8" t="n"/>
      <c r="H516" s="8" t="n"/>
      <c r="I516" s="8" t="n"/>
      <c r="J516" s="8" t="n"/>
      <c r="K516" s="12">
        <f>IF(OR(ISERROR(VLOOKUP(C516, Resultados_Reales!$A$4:$I$107, 5, FALSE)), ISERROR(VLOOKUP(C516, Resultados_Reales!$A$4:$I$107, 6, FALSE)), VLOOKUP(C516, Resultados_Reales!$A$4:$I$107, 5, FALSE)="", VLOOKUP(C516, Resultados_Reales!$A$4:$I$107, 6, FALSE)=""), 0, IF(AND(VLOOKUP(C516, Resultados_Reales!$A$4:$I$107, 5, FALSE)=G516, VLOOKUP(C516, Resultados_Reales!$A$4:$I$107, 6, FALSE)=H516), Configuracion!$B$5, IF(SIGN(VLOOKUP(C516, Resultados_Reales!$A$4:$I$107, 5, FALSE)-VLOOKUP(C516, Resultados_Reales!$A$4:$I$107, 6, FALSE)) = SIGN(G516-H516), Configuracion!$B$4, 0)))</f>
        <v/>
      </c>
      <c r="L516" s="11" t="n"/>
      <c r="M516" s="11" t="n"/>
      <c r="N516" s="11" t="n"/>
      <c r="O516" s="11" t="n"/>
      <c r="P516" s="11" t="n"/>
      <c r="Q516" s="11" t="n"/>
    </row>
    <row r="517">
      <c r="A517" s="8">
        <f>B517&amp;"_"&amp;C517</f>
        <v/>
      </c>
      <c r="B517" s="8" t="n"/>
      <c r="C517" s="8" t="n"/>
      <c r="D517" s="8" t="n"/>
      <c r="E517" s="11" t="n"/>
      <c r="F517" s="11" t="n"/>
      <c r="G517" s="8" t="n"/>
      <c r="H517" s="8" t="n"/>
      <c r="I517" s="8" t="n"/>
      <c r="J517" s="8" t="n"/>
      <c r="K517" s="12">
        <f>IF(OR(ISERROR(VLOOKUP(C517, Resultados_Reales!$A$4:$I$107, 5, FALSE)), ISERROR(VLOOKUP(C517, Resultados_Reales!$A$4:$I$107, 6, FALSE)), VLOOKUP(C517, Resultados_Reales!$A$4:$I$107, 5, FALSE)="", VLOOKUP(C517, Resultados_Reales!$A$4:$I$107, 6, FALSE)=""), 0, IF(AND(VLOOKUP(C517, Resultados_Reales!$A$4:$I$107, 5, FALSE)=G517, VLOOKUP(C517, Resultados_Reales!$A$4:$I$107, 6, FALSE)=H517), Configuracion!$B$5, IF(SIGN(VLOOKUP(C517, Resultados_Reales!$A$4:$I$107, 5, FALSE)-VLOOKUP(C517, Resultados_Reales!$A$4:$I$107, 6, FALSE)) = SIGN(G517-H517), Configuracion!$B$4, 0)))</f>
        <v/>
      </c>
      <c r="L517" s="11" t="n"/>
      <c r="M517" s="11" t="n"/>
      <c r="N517" s="11" t="n"/>
      <c r="O517" s="11" t="n"/>
      <c r="P517" s="11" t="n"/>
      <c r="Q517" s="11" t="n"/>
    </row>
    <row r="518">
      <c r="A518" s="8">
        <f>B518&amp;"_"&amp;C518</f>
        <v/>
      </c>
      <c r="B518" s="8" t="n"/>
      <c r="C518" s="8" t="n"/>
      <c r="D518" s="8" t="n"/>
      <c r="E518" s="11" t="n"/>
      <c r="F518" s="11" t="n"/>
      <c r="G518" s="8" t="n"/>
      <c r="H518" s="8" t="n"/>
      <c r="I518" s="8" t="n"/>
      <c r="J518" s="8" t="n"/>
      <c r="K518" s="12">
        <f>IF(OR(ISERROR(VLOOKUP(C518, Resultados_Reales!$A$4:$I$107, 5, FALSE)), ISERROR(VLOOKUP(C518, Resultados_Reales!$A$4:$I$107, 6, FALSE)), VLOOKUP(C518, Resultados_Reales!$A$4:$I$107, 5, FALSE)="", VLOOKUP(C518, Resultados_Reales!$A$4:$I$107, 6, FALSE)=""), 0, IF(AND(VLOOKUP(C518, Resultados_Reales!$A$4:$I$107, 5, FALSE)=G518, VLOOKUP(C518, Resultados_Reales!$A$4:$I$107, 6, FALSE)=H518), Configuracion!$B$5, IF(SIGN(VLOOKUP(C518, Resultados_Reales!$A$4:$I$107, 5, FALSE)-VLOOKUP(C518, Resultados_Reales!$A$4:$I$107, 6, FALSE)) = SIGN(G518-H518), Configuracion!$B$4, 0)))</f>
        <v/>
      </c>
      <c r="L518" s="11" t="n"/>
      <c r="M518" s="11" t="n"/>
      <c r="N518" s="11" t="n"/>
      <c r="O518" s="11" t="n"/>
      <c r="P518" s="11" t="n"/>
      <c r="Q518" s="11" t="n"/>
    </row>
    <row r="519">
      <c r="A519" s="8">
        <f>B519&amp;"_"&amp;C519</f>
        <v/>
      </c>
      <c r="B519" s="8" t="n"/>
      <c r="C519" s="8" t="n"/>
      <c r="D519" s="8" t="n"/>
      <c r="E519" s="11" t="n"/>
      <c r="F519" s="11" t="n"/>
      <c r="G519" s="8" t="n"/>
      <c r="H519" s="8" t="n"/>
      <c r="I519" s="8" t="n"/>
      <c r="J519" s="8" t="n"/>
      <c r="K519" s="12">
        <f>IF(OR(ISERROR(VLOOKUP(C519, Resultados_Reales!$A$4:$I$107, 5, FALSE)), ISERROR(VLOOKUP(C519, Resultados_Reales!$A$4:$I$107, 6, FALSE)), VLOOKUP(C519, Resultados_Reales!$A$4:$I$107, 5, FALSE)="", VLOOKUP(C519, Resultados_Reales!$A$4:$I$107, 6, FALSE)=""), 0, IF(AND(VLOOKUP(C519, Resultados_Reales!$A$4:$I$107, 5, FALSE)=G519, VLOOKUP(C519, Resultados_Reales!$A$4:$I$107, 6, FALSE)=H519), Configuracion!$B$5, IF(SIGN(VLOOKUP(C519, Resultados_Reales!$A$4:$I$107, 5, FALSE)-VLOOKUP(C519, Resultados_Reales!$A$4:$I$107, 6, FALSE)) = SIGN(G519-H519), Configuracion!$B$4, 0)))</f>
        <v/>
      </c>
      <c r="L519" s="11" t="n"/>
      <c r="M519" s="11" t="n"/>
      <c r="N519" s="11" t="n"/>
      <c r="O519" s="11" t="n"/>
      <c r="P519" s="11" t="n"/>
      <c r="Q519" s="11" t="n"/>
    </row>
    <row r="520">
      <c r="A520" s="8">
        <f>B520&amp;"_"&amp;C520</f>
        <v/>
      </c>
      <c r="B520" s="8" t="n"/>
      <c r="C520" s="8" t="n"/>
      <c r="D520" s="8" t="n"/>
      <c r="E520" s="11" t="n"/>
      <c r="F520" s="11" t="n"/>
      <c r="G520" s="8" t="n"/>
      <c r="H520" s="8" t="n"/>
      <c r="I520" s="8" t="n"/>
      <c r="J520" s="8" t="n"/>
      <c r="K520" s="12">
        <f>IF(OR(ISERROR(VLOOKUP(C520, Resultados_Reales!$A$4:$I$107, 5, FALSE)), ISERROR(VLOOKUP(C520, Resultados_Reales!$A$4:$I$107, 6, FALSE)), VLOOKUP(C520, Resultados_Reales!$A$4:$I$107, 5, FALSE)="", VLOOKUP(C520, Resultados_Reales!$A$4:$I$107, 6, FALSE)=""), 0, IF(AND(VLOOKUP(C520, Resultados_Reales!$A$4:$I$107, 5, FALSE)=G520, VLOOKUP(C520, Resultados_Reales!$A$4:$I$107, 6, FALSE)=H520), Configuracion!$B$5, IF(SIGN(VLOOKUP(C520, Resultados_Reales!$A$4:$I$107, 5, FALSE)-VLOOKUP(C520, Resultados_Reales!$A$4:$I$107, 6, FALSE)) = SIGN(G520-H520), Configuracion!$B$4, 0)))</f>
        <v/>
      </c>
      <c r="L520" s="11" t="n"/>
      <c r="M520" s="11" t="n"/>
      <c r="N520" s="11" t="n"/>
      <c r="O520" s="11" t="n"/>
      <c r="P520" s="11" t="n"/>
      <c r="Q520" s="11" t="n"/>
    </row>
    <row r="521">
      <c r="A521" s="8">
        <f>B521&amp;"_"&amp;C521</f>
        <v/>
      </c>
      <c r="B521" s="8" t="n"/>
      <c r="C521" s="8" t="n"/>
      <c r="D521" s="8" t="n"/>
      <c r="E521" s="11" t="n"/>
      <c r="F521" s="11" t="n"/>
      <c r="G521" s="8" t="n"/>
      <c r="H521" s="8" t="n"/>
      <c r="I521" s="8" t="n"/>
      <c r="J521" s="8" t="n"/>
      <c r="K521" s="12">
        <f>IF(OR(ISERROR(VLOOKUP(C521, Resultados_Reales!$A$4:$I$107, 5, FALSE)), ISERROR(VLOOKUP(C521, Resultados_Reales!$A$4:$I$107, 6, FALSE)), VLOOKUP(C521, Resultados_Reales!$A$4:$I$107, 5, FALSE)="", VLOOKUP(C521, Resultados_Reales!$A$4:$I$107, 6, FALSE)=""), 0, IF(AND(VLOOKUP(C521, Resultados_Reales!$A$4:$I$107, 5, FALSE)=G521, VLOOKUP(C521, Resultados_Reales!$A$4:$I$107, 6, FALSE)=H521), Configuracion!$B$5, IF(SIGN(VLOOKUP(C521, Resultados_Reales!$A$4:$I$107, 5, FALSE)-VLOOKUP(C521, Resultados_Reales!$A$4:$I$107, 6, FALSE)) = SIGN(G521-H521), Configuracion!$B$4, 0)))</f>
        <v/>
      </c>
      <c r="L521" s="11" t="n"/>
      <c r="M521" s="11" t="n"/>
      <c r="N521" s="11" t="n"/>
      <c r="O521" s="11" t="n"/>
      <c r="P521" s="11" t="n"/>
      <c r="Q521" s="11" t="n"/>
    </row>
    <row r="522">
      <c r="A522" s="8">
        <f>B522&amp;"_"&amp;C522</f>
        <v/>
      </c>
      <c r="B522" s="8" t="n"/>
      <c r="C522" s="8" t="n"/>
      <c r="D522" s="8" t="n"/>
      <c r="E522" s="11" t="n"/>
      <c r="F522" s="11" t="n"/>
      <c r="G522" s="8" t="n"/>
      <c r="H522" s="8" t="n"/>
      <c r="I522" s="8" t="n"/>
      <c r="J522" s="8" t="n"/>
      <c r="K522" s="12">
        <f>IF(OR(ISERROR(VLOOKUP(C522, Resultados_Reales!$A$4:$I$107, 5, FALSE)), ISERROR(VLOOKUP(C522, Resultados_Reales!$A$4:$I$107, 6, FALSE)), VLOOKUP(C522, Resultados_Reales!$A$4:$I$107, 5, FALSE)="", VLOOKUP(C522, Resultados_Reales!$A$4:$I$107, 6, FALSE)=""), 0, IF(AND(VLOOKUP(C522, Resultados_Reales!$A$4:$I$107, 5, FALSE)=G522, VLOOKUP(C522, Resultados_Reales!$A$4:$I$107, 6, FALSE)=H522), Configuracion!$B$5, IF(SIGN(VLOOKUP(C522, Resultados_Reales!$A$4:$I$107, 5, FALSE)-VLOOKUP(C522, Resultados_Reales!$A$4:$I$107, 6, FALSE)) = SIGN(G522-H522), Configuracion!$B$4, 0)))</f>
        <v/>
      </c>
      <c r="L522" s="11" t="n"/>
      <c r="M522" s="11" t="n"/>
      <c r="N522" s="11" t="n"/>
      <c r="O522" s="11" t="n"/>
      <c r="P522" s="11" t="n"/>
      <c r="Q522" s="11" t="n"/>
    </row>
    <row r="523">
      <c r="A523" s="8">
        <f>B523&amp;"_"&amp;C523</f>
        <v/>
      </c>
      <c r="B523" s="8" t="n"/>
      <c r="C523" s="8" t="n"/>
      <c r="D523" s="8" t="n"/>
      <c r="E523" s="11" t="n"/>
      <c r="F523" s="11" t="n"/>
      <c r="G523" s="8" t="n"/>
      <c r="H523" s="8" t="n"/>
      <c r="I523" s="8" t="n"/>
      <c r="J523" s="8" t="n"/>
      <c r="K523" s="12">
        <f>IF(OR(ISERROR(VLOOKUP(C523, Resultados_Reales!$A$4:$I$107, 5, FALSE)), ISERROR(VLOOKUP(C523, Resultados_Reales!$A$4:$I$107, 6, FALSE)), VLOOKUP(C523, Resultados_Reales!$A$4:$I$107, 5, FALSE)="", VLOOKUP(C523, Resultados_Reales!$A$4:$I$107, 6, FALSE)=""), 0, IF(AND(VLOOKUP(C523, Resultados_Reales!$A$4:$I$107, 5, FALSE)=G523, VLOOKUP(C523, Resultados_Reales!$A$4:$I$107, 6, FALSE)=H523), Configuracion!$B$5, IF(SIGN(VLOOKUP(C523, Resultados_Reales!$A$4:$I$107, 5, FALSE)-VLOOKUP(C523, Resultados_Reales!$A$4:$I$107, 6, FALSE)) = SIGN(G523-H523), Configuracion!$B$4, 0)))</f>
        <v/>
      </c>
      <c r="L523" s="11" t="n"/>
      <c r="M523" s="11" t="n"/>
      <c r="N523" s="11" t="n"/>
      <c r="O523" s="11" t="n"/>
      <c r="P523" s="11" t="n"/>
      <c r="Q523" s="11" t="n"/>
    </row>
    <row r="524">
      <c r="A524" s="8">
        <f>B524&amp;"_"&amp;C524</f>
        <v/>
      </c>
      <c r="B524" s="8" t="n"/>
      <c r="C524" s="8" t="n"/>
      <c r="D524" s="8" t="n"/>
      <c r="E524" s="11" t="n"/>
      <c r="F524" s="11" t="n"/>
      <c r="G524" s="8" t="n"/>
      <c r="H524" s="8" t="n"/>
      <c r="I524" s="8" t="n"/>
      <c r="J524" s="8" t="n"/>
      <c r="K524" s="12">
        <f>IF(OR(ISERROR(VLOOKUP(C524, Resultados_Reales!$A$4:$I$107, 5, FALSE)), ISERROR(VLOOKUP(C524, Resultados_Reales!$A$4:$I$107, 6, FALSE)), VLOOKUP(C524, Resultados_Reales!$A$4:$I$107, 5, FALSE)="", VLOOKUP(C524, Resultados_Reales!$A$4:$I$107, 6, FALSE)=""), 0, IF(AND(VLOOKUP(C524, Resultados_Reales!$A$4:$I$107, 5, FALSE)=G524, VLOOKUP(C524, Resultados_Reales!$A$4:$I$107, 6, FALSE)=H524), Configuracion!$B$5, IF(SIGN(VLOOKUP(C524, Resultados_Reales!$A$4:$I$107, 5, FALSE)-VLOOKUP(C524, Resultados_Reales!$A$4:$I$107, 6, FALSE)) = SIGN(G524-H524), Configuracion!$B$4, 0)))</f>
        <v/>
      </c>
      <c r="L524" s="11" t="n"/>
      <c r="M524" s="11" t="n"/>
      <c r="N524" s="11" t="n"/>
      <c r="O524" s="11" t="n"/>
      <c r="P524" s="11" t="n"/>
      <c r="Q524" s="11" t="n"/>
    </row>
    <row r="525">
      <c r="A525" s="8">
        <f>B525&amp;"_"&amp;C525</f>
        <v/>
      </c>
      <c r="B525" s="8" t="n"/>
      <c r="C525" s="8" t="n"/>
      <c r="D525" s="8" t="n"/>
      <c r="E525" s="11" t="n"/>
      <c r="F525" s="11" t="n"/>
      <c r="G525" s="8" t="n"/>
      <c r="H525" s="8" t="n"/>
      <c r="I525" s="8" t="n"/>
      <c r="J525" s="8" t="n"/>
      <c r="K525" s="12">
        <f>IF(OR(ISERROR(VLOOKUP(C525, Resultados_Reales!$A$4:$I$107, 5, FALSE)), ISERROR(VLOOKUP(C525, Resultados_Reales!$A$4:$I$107, 6, FALSE)), VLOOKUP(C525, Resultados_Reales!$A$4:$I$107, 5, FALSE)="", VLOOKUP(C525, Resultados_Reales!$A$4:$I$107, 6, FALSE)=""), 0, IF(AND(VLOOKUP(C525, Resultados_Reales!$A$4:$I$107, 5, FALSE)=G525, VLOOKUP(C525, Resultados_Reales!$A$4:$I$107, 6, FALSE)=H525), Configuracion!$B$5, IF(SIGN(VLOOKUP(C525, Resultados_Reales!$A$4:$I$107, 5, FALSE)-VLOOKUP(C525, Resultados_Reales!$A$4:$I$107, 6, FALSE)) = SIGN(G525-H525), Configuracion!$B$4, 0)))</f>
        <v/>
      </c>
      <c r="L525" s="11" t="n"/>
      <c r="M525" s="11" t="n"/>
      <c r="N525" s="11" t="n"/>
      <c r="O525" s="11" t="n"/>
      <c r="P525" s="11" t="n"/>
      <c r="Q525" s="11" t="n"/>
    </row>
    <row r="526">
      <c r="A526" s="8">
        <f>B526&amp;"_"&amp;C526</f>
        <v/>
      </c>
      <c r="B526" s="8" t="n"/>
      <c r="C526" s="8" t="n"/>
      <c r="D526" s="8" t="n"/>
      <c r="E526" s="11" t="n"/>
      <c r="F526" s="11" t="n"/>
      <c r="G526" s="8" t="n"/>
      <c r="H526" s="8" t="n"/>
      <c r="I526" s="8" t="n"/>
      <c r="J526" s="8" t="n"/>
      <c r="K526" s="12">
        <f>IF(OR(ISERROR(VLOOKUP(C526, Resultados_Reales!$A$4:$I$107, 5, FALSE)), ISERROR(VLOOKUP(C526, Resultados_Reales!$A$4:$I$107, 6, FALSE)), VLOOKUP(C526, Resultados_Reales!$A$4:$I$107, 5, FALSE)="", VLOOKUP(C526, Resultados_Reales!$A$4:$I$107, 6, FALSE)=""), 0, IF(AND(VLOOKUP(C526, Resultados_Reales!$A$4:$I$107, 5, FALSE)=G526, VLOOKUP(C526, Resultados_Reales!$A$4:$I$107, 6, FALSE)=H526), Configuracion!$B$5, IF(SIGN(VLOOKUP(C526, Resultados_Reales!$A$4:$I$107, 5, FALSE)-VLOOKUP(C526, Resultados_Reales!$A$4:$I$107, 6, FALSE)) = SIGN(G526-H526), Configuracion!$B$4, 0)))</f>
        <v/>
      </c>
      <c r="L526" s="11" t="n"/>
      <c r="M526" s="11" t="n"/>
      <c r="N526" s="11" t="n"/>
      <c r="O526" s="11" t="n"/>
      <c r="P526" s="11" t="n"/>
      <c r="Q526" s="11" t="n"/>
    </row>
    <row r="527">
      <c r="A527" s="8">
        <f>B527&amp;"_"&amp;C527</f>
        <v/>
      </c>
      <c r="B527" s="8" t="n"/>
      <c r="C527" s="8" t="n"/>
      <c r="D527" s="8" t="n"/>
      <c r="E527" s="11" t="n"/>
      <c r="F527" s="11" t="n"/>
      <c r="G527" s="8" t="n"/>
      <c r="H527" s="8" t="n"/>
      <c r="I527" s="8" t="n"/>
      <c r="J527" s="8" t="n"/>
      <c r="K527" s="12">
        <f>IF(OR(ISERROR(VLOOKUP(C527, Resultados_Reales!$A$4:$I$107, 5, FALSE)), ISERROR(VLOOKUP(C527, Resultados_Reales!$A$4:$I$107, 6, FALSE)), VLOOKUP(C527, Resultados_Reales!$A$4:$I$107, 5, FALSE)="", VLOOKUP(C527, Resultados_Reales!$A$4:$I$107, 6, FALSE)=""), 0, IF(AND(VLOOKUP(C527, Resultados_Reales!$A$4:$I$107, 5, FALSE)=G527, VLOOKUP(C527, Resultados_Reales!$A$4:$I$107, 6, FALSE)=H527), Configuracion!$B$5, IF(SIGN(VLOOKUP(C527, Resultados_Reales!$A$4:$I$107, 5, FALSE)-VLOOKUP(C527, Resultados_Reales!$A$4:$I$107, 6, FALSE)) = SIGN(G527-H527), Configuracion!$B$4, 0)))</f>
        <v/>
      </c>
      <c r="L527" s="11" t="n"/>
      <c r="M527" s="11" t="n"/>
      <c r="N527" s="11" t="n"/>
      <c r="O527" s="11" t="n"/>
      <c r="P527" s="11" t="n"/>
      <c r="Q527" s="11" t="n"/>
    </row>
    <row r="528">
      <c r="A528" s="8">
        <f>B528&amp;"_"&amp;C528</f>
        <v/>
      </c>
      <c r="B528" s="8" t="n"/>
      <c r="C528" s="8" t="n"/>
      <c r="D528" s="8" t="n"/>
      <c r="E528" s="11" t="n"/>
      <c r="F528" s="11" t="n"/>
      <c r="G528" s="8" t="n"/>
      <c r="H528" s="8" t="n"/>
      <c r="I528" s="8" t="n"/>
      <c r="J528" s="8" t="n"/>
      <c r="K528" s="12">
        <f>IF(OR(ISERROR(VLOOKUP(C528, Resultados_Reales!$A$4:$I$107, 5, FALSE)), ISERROR(VLOOKUP(C528, Resultados_Reales!$A$4:$I$107, 6, FALSE)), VLOOKUP(C528, Resultados_Reales!$A$4:$I$107, 5, FALSE)="", VLOOKUP(C528, Resultados_Reales!$A$4:$I$107, 6, FALSE)=""), 0, IF(AND(VLOOKUP(C528, Resultados_Reales!$A$4:$I$107, 5, FALSE)=G528, VLOOKUP(C528, Resultados_Reales!$A$4:$I$107, 6, FALSE)=H528), Configuracion!$B$5, IF(SIGN(VLOOKUP(C528, Resultados_Reales!$A$4:$I$107, 5, FALSE)-VLOOKUP(C528, Resultados_Reales!$A$4:$I$107, 6, FALSE)) = SIGN(G528-H528), Configuracion!$B$4, 0)))</f>
        <v/>
      </c>
      <c r="L528" s="11" t="n"/>
      <c r="M528" s="11" t="n"/>
      <c r="N528" s="11" t="n"/>
      <c r="O528" s="11" t="n"/>
      <c r="P528" s="11" t="n"/>
      <c r="Q528" s="11" t="n"/>
    </row>
    <row r="529">
      <c r="A529" s="8">
        <f>B529&amp;"_"&amp;C529</f>
        <v/>
      </c>
      <c r="B529" s="8" t="n"/>
      <c r="C529" s="8" t="n"/>
      <c r="D529" s="8" t="n"/>
      <c r="E529" s="11" t="n"/>
      <c r="F529" s="11" t="n"/>
      <c r="G529" s="8" t="n"/>
      <c r="H529" s="8" t="n"/>
      <c r="I529" s="8" t="n"/>
      <c r="J529" s="8" t="n"/>
      <c r="K529" s="12">
        <f>IF(OR(ISERROR(VLOOKUP(C529, Resultados_Reales!$A$4:$I$107, 5, FALSE)), ISERROR(VLOOKUP(C529, Resultados_Reales!$A$4:$I$107, 6, FALSE)), VLOOKUP(C529, Resultados_Reales!$A$4:$I$107, 5, FALSE)="", VLOOKUP(C529, Resultados_Reales!$A$4:$I$107, 6, FALSE)=""), 0, IF(AND(VLOOKUP(C529, Resultados_Reales!$A$4:$I$107, 5, FALSE)=G529, VLOOKUP(C529, Resultados_Reales!$A$4:$I$107, 6, FALSE)=H529), Configuracion!$B$5, IF(SIGN(VLOOKUP(C529, Resultados_Reales!$A$4:$I$107, 5, FALSE)-VLOOKUP(C529, Resultados_Reales!$A$4:$I$107, 6, FALSE)) = SIGN(G529-H529), Configuracion!$B$4, 0)))</f>
        <v/>
      </c>
      <c r="L529" s="11" t="n"/>
      <c r="M529" s="11" t="n"/>
      <c r="N529" s="11" t="n"/>
      <c r="O529" s="11" t="n"/>
      <c r="P529" s="11" t="n"/>
      <c r="Q529" s="11" t="n"/>
    </row>
    <row r="530">
      <c r="A530" s="8">
        <f>B530&amp;"_"&amp;C530</f>
        <v/>
      </c>
      <c r="B530" s="8" t="n"/>
      <c r="C530" s="8" t="n"/>
      <c r="D530" s="8" t="n"/>
      <c r="E530" s="11" t="n"/>
      <c r="F530" s="11" t="n"/>
      <c r="G530" s="8" t="n"/>
      <c r="H530" s="8" t="n"/>
      <c r="I530" s="8" t="n"/>
      <c r="J530" s="8" t="n"/>
      <c r="K530" s="12">
        <f>IF(OR(ISERROR(VLOOKUP(C530, Resultados_Reales!$A$4:$I$107, 5, FALSE)), ISERROR(VLOOKUP(C530, Resultados_Reales!$A$4:$I$107, 6, FALSE)), VLOOKUP(C530, Resultados_Reales!$A$4:$I$107, 5, FALSE)="", VLOOKUP(C530, Resultados_Reales!$A$4:$I$107, 6, FALSE)=""), 0, IF(AND(VLOOKUP(C530, Resultados_Reales!$A$4:$I$107, 5, FALSE)=G530, VLOOKUP(C530, Resultados_Reales!$A$4:$I$107, 6, FALSE)=H530), Configuracion!$B$5, IF(SIGN(VLOOKUP(C530, Resultados_Reales!$A$4:$I$107, 5, FALSE)-VLOOKUP(C530, Resultados_Reales!$A$4:$I$107, 6, FALSE)) = SIGN(G530-H530), Configuracion!$B$4, 0)))</f>
        <v/>
      </c>
      <c r="L530" s="11" t="n"/>
      <c r="M530" s="11" t="n"/>
      <c r="N530" s="11" t="n"/>
      <c r="O530" s="11" t="n"/>
      <c r="P530" s="11" t="n"/>
      <c r="Q530" s="11" t="n"/>
    </row>
    <row r="531">
      <c r="A531" s="8">
        <f>B531&amp;"_"&amp;C531</f>
        <v/>
      </c>
      <c r="B531" s="8" t="n"/>
      <c r="C531" s="8" t="n"/>
      <c r="D531" s="8" t="n"/>
      <c r="E531" s="11" t="n"/>
      <c r="F531" s="11" t="n"/>
      <c r="G531" s="8" t="n"/>
      <c r="H531" s="8" t="n"/>
      <c r="I531" s="8" t="n"/>
      <c r="J531" s="8" t="n"/>
      <c r="K531" s="12">
        <f>IF(OR(ISERROR(VLOOKUP(C531, Resultados_Reales!$A$4:$I$107, 5, FALSE)), ISERROR(VLOOKUP(C531, Resultados_Reales!$A$4:$I$107, 6, FALSE)), VLOOKUP(C531, Resultados_Reales!$A$4:$I$107, 5, FALSE)="", VLOOKUP(C531, Resultados_Reales!$A$4:$I$107, 6, FALSE)=""), 0, IF(AND(VLOOKUP(C531, Resultados_Reales!$A$4:$I$107, 5, FALSE)=G531, VLOOKUP(C531, Resultados_Reales!$A$4:$I$107, 6, FALSE)=H531), Configuracion!$B$5, IF(SIGN(VLOOKUP(C531, Resultados_Reales!$A$4:$I$107, 5, FALSE)-VLOOKUP(C531, Resultados_Reales!$A$4:$I$107, 6, FALSE)) = SIGN(G531-H531), Configuracion!$B$4, 0)))</f>
        <v/>
      </c>
      <c r="L531" s="11" t="n"/>
      <c r="M531" s="11" t="n"/>
      <c r="N531" s="11" t="n"/>
      <c r="O531" s="11" t="n"/>
      <c r="P531" s="11" t="n"/>
      <c r="Q531" s="11" t="n"/>
    </row>
    <row r="532">
      <c r="A532" s="8">
        <f>B532&amp;"_"&amp;C532</f>
        <v/>
      </c>
      <c r="B532" s="8" t="n"/>
      <c r="C532" s="8" t="n"/>
      <c r="D532" s="8" t="n"/>
      <c r="E532" s="11" t="n"/>
      <c r="F532" s="11" t="n"/>
      <c r="G532" s="8" t="n"/>
      <c r="H532" s="8" t="n"/>
      <c r="I532" s="8" t="n"/>
      <c r="J532" s="8" t="n"/>
      <c r="K532" s="12">
        <f>IF(OR(ISERROR(VLOOKUP(C532, Resultados_Reales!$A$4:$I$107, 5, FALSE)), ISERROR(VLOOKUP(C532, Resultados_Reales!$A$4:$I$107, 6, FALSE)), VLOOKUP(C532, Resultados_Reales!$A$4:$I$107, 5, FALSE)="", VLOOKUP(C532, Resultados_Reales!$A$4:$I$107, 6, FALSE)=""), 0, IF(AND(VLOOKUP(C532, Resultados_Reales!$A$4:$I$107, 5, FALSE)=G532, VLOOKUP(C532, Resultados_Reales!$A$4:$I$107, 6, FALSE)=H532), Configuracion!$B$5, IF(SIGN(VLOOKUP(C532, Resultados_Reales!$A$4:$I$107, 5, FALSE)-VLOOKUP(C532, Resultados_Reales!$A$4:$I$107, 6, FALSE)) = SIGN(G532-H532), Configuracion!$B$4, 0)))</f>
        <v/>
      </c>
      <c r="L532" s="11" t="n"/>
      <c r="M532" s="11" t="n"/>
      <c r="N532" s="11" t="n"/>
      <c r="O532" s="11" t="n"/>
      <c r="P532" s="11" t="n"/>
      <c r="Q532" s="11" t="n"/>
    </row>
    <row r="533">
      <c r="A533" s="8">
        <f>B533&amp;"_"&amp;C533</f>
        <v/>
      </c>
      <c r="B533" s="8" t="n"/>
      <c r="C533" s="8" t="n"/>
      <c r="D533" s="8" t="n"/>
      <c r="E533" s="11" t="n"/>
      <c r="F533" s="11" t="n"/>
      <c r="G533" s="8" t="n"/>
      <c r="H533" s="8" t="n"/>
      <c r="I533" s="8" t="n"/>
      <c r="J533" s="8" t="n"/>
      <c r="K533" s="12">
        <f>IF(OR(ISERROR(VLOOKUP(C533, Resultados_Reales!$A$4:$I$107, 5, FALSE)), ISERROR(VLOOKUP(C533, Resultados_Reales!$A$4:$I$107, 6, FALSE)), VLOOKUP(C533, Resultados_Reales!$A$4:$I$107, 5, FALSE)="", VLOOKUP(C533, Resultados_Reales!$A$4:$I$107, 6, FALSE)=""), 0, IF(AND(VLOOKUP(C533, Resultados_Reales!$A$4:$I$107, 5, FALSE)=G533, VLOOKUP(C533, Resultados_Reales!$A$4:$I$107, 6, FALSE)=H533), Configuracion!$B$5, IF(SIGN(VLOOKUP(C533, Resultados_Reales!$A$4:$I$107, 5, FALSE)-VLOOKUP(C533, Resultados_Reales!$A$4:$I$107, 6, FALSE)) = SIGN(G533-H533), Configuracion!$B$4, 0)))</f>
        <v/>
      </c>
      <c r="L533" s="11" t="n"/>
      <c r="M533" s="11" t="n"/>
      <c r="N533" s="11" t="n"/>
      <c r="O533" s="11" t="n"/>
      <c r="P533" s="11" t="n"/>
      <c r="Q533" s="11" t="n"/>
    </row>
    <row r="534">
      <c r="A534" s="8">
        <f>B534&amp;"_"&amp;C534</f>
        <v/>
      </c>
      <c r="B534" s="8" t="n"/>
      <c r="C534" s="8" t="n"/>
      <c r="D534" s="8" t="n"/>
      <c r="E534" s="11" t="n"/>
      <c r="F534" s="11" t="n"/>
      <c r="G534" s="8" t="n"/>
      <c r="H534" s="8" t="n"/>
      <c r="I534" s="8" t="n"/>
      <c r="J534" s="8" t="n"/>
      <c r="K534" s="12">
        <f>IF(OR(ISERROR(VLOOKUP(C534, Resultados_Reales!$A$4:$I$107, 5, FALSE)), ISERROR(VLOOKUP(C534, Resultados_Reales!$A$4:$I$107, 6, FALSE)), VLOOKUP(C534, Resultados_Reales!$A$4:$I$107, 5, FALSE)="", VLOOKUP(C534, Resultados_Reales!$A$4:$I$107, 6, FALSE)=""), 0, IF(AND(VLOOKUP(C534, Resultados_Reales!$A$4:$I$107, 5, FALSE)=G534, VLOOKUP(C534, Resultados_Reales!$A$4:$I$107, 6, FALSE)=H534), Configuracion!$B$5, IF(SIGN(VLOOKUP(C534, Resultados_Reales!$A$4:$I$107, 5, FALSE)-VLOOKUP(C534, Resultados_Reales!$A$4:$I$107, 6, FALSE)) = SIGN(G534-H534), Configuracion!$B$4, 0)))</f>
        <v/>
      </c>
      <c r="L534" s="11" t="n"/>
      <c r="M534" s="11" t="n"/>
      <c r="N534" s="11" t="n"/>
      <c r="O534" s="11" t="n"/>
      <c r="P534" s="11" t="n"/>
      <c r="Q534" s="11" t="n"/>
    </row>
    <row r="535">
      <c r="A535" s="8">
        <f>B535&amp;"_"&amp;C535</f>
        <v/>
      </c>
      <c r="B535" s="8" t="n"/>
      <c r="C535" s="8" t="n"/>
      <c r="D535" s="8" t="n"/>
      <c r="E535" s="11" t="n"/>
      <c r="F535" s="11" t="n"/>
      <c r="G535" s="8" t="n"/>
      <c r="H535" s="8" t="n"/>
      <c r="I535" s="8" t="n"/>
      <c r="J535" s="8" t="n"/>
      <c r="K535" s="12">
        <f>IF(OR(ISERROR(VLOOKUP(C535, Resultados_Reales!$A$4:$I$107, 5, FALSE)), ISERROR(VLOOKUP(C535, Resultados_Reales!$A$4:$I$107, 6, FALSE)), VLOOKUP(C535, Resultados_Reales!$A$4:$I$107, 5, FALSE)="", VLOOKUP(C535, Resultados_Reales!$A$4:$I$107, 6, FALSE)=""), 0, IF(AND(VLOOKUP(C535, Resultados_Reales!$A$4:$I$107, 5, FALSE)=G535, VLOOKUP(C535, Resultados_Reales!$A$4:$I$107, 6, FALSE)=H535), Configuracion!$B$5, IF(SIGN(VLOOKUP(C535, Resultados_Reales!$A$4:$I$107, 5, FALSE)-VLOOKUP(C535, Resultados_Reales!$A$4:$I$107, 6, FALSE)) = SIGN(G535-H535), Configuracion!$B$4, 0)))</f>
        <v/>
      </c>
      <c r="L535" s="11" t="n"/>
      <c r="M535" s="11" t="n"/>
      <c r="N535" s="11" t="n"/>
      <c r="O535" s="11" t="n"/>
      <c r="P535" s="11" t="n"/>
      <c r="Q535" s="11" t="n"/>
    </row>
    <row r="536">
      <c r="A536" s="8">
        <f>B536&amp;"_"&amp;C536</f>
        <v/>
      </c>
      <c r="B536" s="8" t="n"/>
      <c r="C536" s="8" t="n"/>
      <c r="D536" s="8" t="n"/>
      <c r="E536" s="11" t="n"/>
      <c r="F536" s="11" t="n"/>
      <c r="G536" s="8" t="n"/>
      <c r="H536" s="8" t="n"/>
      <c r="I536" s="8" t="n"/>
      <c r="J536" s="8" t="n"/>
      <c r="K536" s="12">
        <f>IF(OR(ISERROR(VLOOKUP(C536, Resultados_Reales!$A$4:$I$107, 5, FALSE)), ISERROR(VLOOKUP(C536, Resultados_Reales!$A$4:$I$107, 6, FALSE)), VLOOKUP(C536, Resultados_Reales!$A$4:$I$107, 5, FALSE)="", VLOOKUP(C536, Resultados_Reales!$A$4:$I$107, 6, FALSE)=""), 0, IF(AND(VLOOKUP(C536, Resultados_Reales!$A$4:$I$107, 5, FALSE)=G536, VLOOKUP(C536, Resultados_Reales!$A$4:$I$107, 6, FALSE)=H536), Configuracion!$B$5, IF(SIGN(VLOOKUP(C536, Resultados_Reales!$A$4:$I$107, 5, FALSE)-VLOOKUP(C536, Resultados_Reales!$A$4:$I$107, 6, FALSE)) = SIGN(G536-H536), Configuracion!$B$4, 0)))</f>
        <v/>
      </c>
      <c r="L536" s="11" t="n"/>
      <c r="M536" s="11" t="n"/>
      <c r="N536" s="11" t="n"/>
      <c r="O536" s="11" t="n"/>
      <c r="P536" s="11" t="n"/>
      <c r="Q536" s="11" t="n"/>
    </row>
    <row r="537">
      <c r="A537" s="8">
        <f>B537&amp;"_"&amp;C537</f>
        <v/>
      </c>
      <c r="B537" s="8" t="n"/>
      <c r="C537" s="8" t="n"/>
      <c r="D537" s="8" t="n"/>
      <c r="E537" s="11" t="n"/>
      <c r="F537" s="11" t="n"/>
      <c r="G537" s="8" t="n"/>
      <c r="H537" s="8" t="n"/>
      <c r="I537" s="8" t="n"/>
      <c r="J537" s="8" t="n"/>
      <c r="K537" s="12">
        <f>IF(OR(ISERROR(VLOOKUP(C537, Resultados_Reales!$A$4:$I$107, 5, FALSE)), ISERROR(VLOOKUP(C537, Resultados_Reales!$A$4:$I$107, 6, FALSE)), VLOOKUP(C537, Resultados_Reales!$A$4:$I$107, 5, FALSE)="", VLOOKUP(C537, Resultados_Reales!$A$4:$I$107, 6, FALSE)=""), 0, IF(AND(VLOOKUP(C537, Resultados_Reales!$A$4:$I$107, 5, FALSE)=G537, VLOOKUP(C537, Resultados_Reales!$A$4:$I$107, 6, FALSE)=H537), Configuracion!$B$5, IF(SIGN(VLOOKUP(C537, Resultados_Reales!$A$4:$I$107, 5, FALSE)-VLOOKUP(C537, Resultados_Reales!$A$4:$I$107, 6, FALSE)) = SIGN(G537-H537), Configuracion!$B$4, 0)))</f>
        <v/>
      </c>
      <c r="L537" s="11" t="n"/>
      <c r="M537" s="11" t="n"/>
      <c r="N537" s="11" t="n"/>
      <c r="O537" s="11" t="n"/>
      <c r="P537" s="11" t="n"/>
      <c r="Q537" s="11" t="n"/>
    </row>
    <row r="538">
      <c r="A538" s="8">
        <f>B538&amp;"_"&amp;C538</f>
        <v/>
      </c>
      <c r="B538" s="8" t="n"/>
      <c r="C538" s="8" t="n"/>
      <c r="D538" s="8" t="n"/>
      <c r="E538" s="11" t="n"/>
      <c r="F538" s="11" t="n"/>
      <c r="G538" s="8" t="n"/>
      <c r="H538" s="8" t="n"/>
      <c r="I538" s="8" t="n"/>
      <c r="J538" s="8" t="n"/>
      <c r="K538" s="12">
        <f>IF(OR(ISERROR(VLOOKUP(C538, Resultados_Reales!$A$4:$I$107, 5, FALSE)), ISERROR(VLOOKUP(C538, Resultados_Reales!$A$4:$I$107, 6, FALSE)), VLOOKUP(C538, Resultados_Reales!$A$4:$I$107, 5, FALSE)="", VLOOKUP(C538, Resultados_Reales!$A$4:$I$107, 6, FALSE)=""), 0, IF(AND(VLOOKUP(C538, Resultados_Reales!$A$4:$I$107, 5, FALSE)=G538, VLOOKUP(C538, Resultados_Reales!$A$4:$I$107, 6, FALSE)=H538), Configuracion!$B$5, IF(SIGN(VLOOKUP(C538, Resultados_Reales!$A$4:$I$107, 5, FALSE)-VLOOKUP(C538, Resultados_Reales!$A$4:$I$107, 6, FALSE)) = SIGN(G538-H538), Configuracion!$B$4, 0)))</f>
        <v/>
      </c>
      <c r="L538" s="11" t="n"/>
      <c r="M538" s="11" t="n"/>
      <c r="N538" s="11" t="n"/>
      <c r="O538" s="11" t="n"/>
      <c r="P538" s="11" t="n"/>
      <c r="Q538" s="11" t="n"/>
    </row>
    <row r="539">
      <c r="A539" s="8">
        <f>B539&amp;"_"&amp;C539</f>
        <v/>
      </c>
      <c r="B539" s="8" t="n"/>
      <c r="C539" s="8" t="n"/>
      <c r="D539" s="8" t="n"/>
      <c r="E539" s="11" t="n"/>
      <c r="F539" s="11" t="n"/>
      <c r="G539" s="8" t="n"/>
      <c r="H539" s="8" t="n"/>
      <c r="I539" s="8" t="n"/>
      <c r="J539" s="8" t="n"/>
      <c r="K539" s="12">
        <f>IF(OR(ISERROR(VLOOKUP(C539, Resultados_Reales!$A$4:$I$107, 5, FALSE)), ISERROR(VLOOKUP(C539, Resultados_Reales!$A$4:$I$107, 6, FALSE)), VLOOKUP(C539, Resultados_Reales!$A$4:$I$107, 5, FALSE)="", VLOOKUP(C539, Resultados_Reales!$A$4:$I$107, 6, FALSE)=""), 0, IF(AND(VLOOKUP(C539, Resultados_Reales!$A$4:$I$107, 5, FALSE)=G539, VLOOKUP(C539, Resultados_Reales!$A$4:$I$107, 6, FALSE)=H539), Configuracion!$B$5, IF(SIGN(VLOOKUP(C539, Resultados_Reales!$A$4:$I$107, 5, FALSE)-VLOOKUP(C539, Resultados_Reales!$A$4:$I$107, 6, FALSE)) = SIGN(G539-H539), Configuracion!$B$4, 0)))</f>
        <v/>
      </c>
      <c r="L539" s="11" t="n"/>
      <c r="M539" s="11" t="n"/>
      <c r="N539" s="11" t="n"/>
      <c r="O539" s="11" t="n"/>
      <c r="P539" s="11" t="n"/>
      <c r="Q539" s="11" t="n"/>
    </row>
    <row r="540">
      <c r="A540" s="8">
        <f>B540&amp;"_"&amp;C540</f>
        <v/>
      </c>
      <c r="B540" s="8" t="n"/>
      <c r="C540" s="8" t="n"/>
      <c r="D540" s="8" t="n"/>
      <c r="E540" s="11" t="n"/>
      <c r="F540" s="11" t="n"/>
      <c r="G540" s="8" t="n"/>
      <c r="H540" s="8" t="n"/>
      <c r="I540" s="8" t="n"/>
      <c r="J540" s="8" t="n"/>
      <c r="K540" s="12">
        <f>IF(OR(ISERROR(VLOOKUP(C540, Resultados_Reales!$A$4:$I$107, 5, FALSE)), ISERROR(VLOOKUP(C540, Resultados_Reales!$A$4:$I$107, 6, FALSE)), VLOOKUP(C540, Resultados_Reales!$A$4:$I$107, 5, FALSE)="", VLOOKUP(C540, Resultados_Reales!$A$4:$I$107, 6, FALSE)=""), 0, IF(AND(VLOOKUP(C540, Resultados_Reales!$A$4:$I$107, 5, FALSE)=G540, VLOOKUP(C540, Resultados_Reales!$A$4:$I$107, 6, FALSE)=H540), Configuracion!$B$5, IF(SIGN(VLOOKUP(C540, Resultados_Reales!$A$4:$I$107, 5, FALSE)-VLOOKUP(C540, Resultados_Reales!$A$4:$I$107, 6, FALSE)) = SIGN(G540-H540), Configuracion!$B$4, 0)))</f>
        <v/>
      </c>
      <c r="L540" s="11" t="n"/>
      <c r="M540" s="11" t="n"/>
      <c r="N540" s="11" t="n"/>
      <c r="O540" s="11" t="n"/>
      <c r="P540" s="11" t="n"/>
      <c r="Q540" s="11" t="n"/>
    </row>
    <row r="541">
      <c r="A541" s="8">
        <f>B541&amp;"_"&amp;C541</f>
        <v/>
      </c>
      <c r="B541" s="8" t="n"/>
      <c r="C541" s="8" t="n"/>
      <c r="D541" s="8" t="n"/>
      <c r="E541" s="11" t="n"/>
      <c r="F541" s="11" t="n"/>
      <c r="G541" s="8" t="n"/>
      <c r="H541" s="8" t="n"/>
      <c r="I541" s="8" t="n"/>
      <c r="J541" s="8" t="n"/>
      <c r="K541" s="12">
        <f>IF(OR(ISERROR(VLOOKUP(C541, Resultados_Reales!$A$4:$I$107, 5, FALSE)), ISERROR(VLOOKUP(C541, Resultados_Reales!$A$4:$I$107, 6, FALSE)), VLOOKUP(C541, Resultados_Reales!$A$4:$I$107, 5, FALSE)="", VLOOKUP(C541, Resultados_Reales!$A$4:$I$107, 6, FALSE)=""), 0, IF(AND(VLOOKUP(C541, Resultados_Reales!$A$4:$I$107, 5, FALSE)=G541, VLOOKUP(C541, Resultados_Reales!$A$4:$I$107, 6, FALSE)=H541), Configuracion!$B$5, IF(SIGN(VLOOKUP(C541, Resultados_Reales!$A$4:$I$107, 5, FALSE)-VLOOKUP(C541, Resultados_Reales!$A$4:$I$107, 6, FALSE)) = SIGN(G541-H541), Configuracion!$B$4, 0)))</f>
        <v/>
      </c>
      <c r="L541" s="11" t="n"/>
      <c r="M541" s="11" t="n"/>
      <c r="N541" s="11" t="n"/>
      <c r="O541" s="11" t="n"/>
      <c r="P541" s="11" t="n"/>
      <c r="Q541" s="11" t="n"/>
    </row>
    <row r="542">
      <c r="A542" s="8">
        <f>B542&amp;"_"&amp;C542</f>
        <v/>
      </c>
      <c r="B542" s="8" t="n"/>
      <c r="C542" s="8" t="n"/>
      <c r="D542" s="8" t="n"/>
      <c r="E542" s="11" t="n"/>
      <c r="F542" s="11" t="n"/>
      <c r="G542" s="8" t="n"/>
      <c r="H542" s="8" t="n"/>
      <c r="I542" s="8" t="n"/>
      <c r="J542" s="8" t="n"/>
      <c r="K542" s="12">
        <f>IF(OR(ISERROR(VLOOKUP(C542, Resultados_Reales!$A$4:$I$107, 5, FALSE)), ISERROR(VLOOKUP(C542, Resultados_Reales!$A$4:$I$107, 6, FALSE)), VLOOKUP(C542, Resultados_Reales!$A$4:$I$107, 5, FALSE)="", VLOOKUP(C542, Resultados_Reales!$A$4:$I$107, 6, FALSE)=""), 0, IF(AND(VLOOKUP(C542, Resultados_Reales!$A$4:$I$107, 5, FALSE)=G542, VLOOKUP(C542, Resultados_Reales!$A$4:$I$107, 6, FALSE)=H542), Configuracion!$B$5, IF(SIGN(VLOOKUP(C542, Resultados_Reales!$A$4:$I$107, 5, FALSE)-VLOOKUP(C542, Resultados_Reales!$A$4:$I$107, 6, FALSE)) = SIGN(G542-H542), Configuracion!$B$4, 0)))</f>
        <v/>
      </c>
      <c r="L542" s="11" t="n"/>
      <c r="M542" s="11" t="n"/>
      <c r="N542" s="11" t="n"/>
      <c r="O542" s="11" t="n"/>
      <c r="P542" s="11" t="n"/>
      <c r="Q542" s="11" t="n"/>
    </row>
    <row r="543">
      <c r="A543" s="8">
        <f>B543&amp;"_"&amp;C543</f>
        <v/>
      </c>
      <c r="B543" s="8" t="n"/>
      <c r="C543" s="8" t="n"/>
      <c r="D543" s="8" t="n"/>
      <c r="E543" s="11" t="n"/>
      <c r="F543" s="11" t="n"/>
      <c r="G543" s="8" t="n"/>
      <c r="H543" s="8" t="n"/>
      <c r="I543" s="8" t="n"/>
      <c r="J543" s="8" t="n"/>
      <c r="K543" s="12">
        <f>IF(OR(ISERROR(VLOOKUP(C543, Resultados_Reales!$A$4:$I$107, 5, FALSE)), ISERROR(VLOOKUP(C543, Resultados_Reales!$A$4:$I$107, 6, FALSE)), VLOOKUP(C543, Resultados_Reales!$A$4:$I$107, 5, FALSE)="", VLOOKUP(C543, Resultados_Reales!$A$4:$I$107, 6, FALSE)=""), 0, IF(AND(VLOOKUP(C543, Resultados_Reales!$A$4:$I$107, 5, FALSE)=G543, VLOOKUP(C543, Resultados_Reales!$A$4:$I$107, 6, FALSE)=H543), Configuracion!$B$5, IF(SIGN(VLOOKUP(C543, Resultados_Reales!$A$4:$I$107, 5, FALSE)-VLOOKUP(C543, Resultados_Reales!$A$4:$I$107, 6, FALSE)) = SIGN(G543-H543), Configuracion!$B$4, 0)))</f>
        <v/>
      </c>
      <c r="L543" s="11" t="n"/>
      <c r="M543" s="11" t="n"/>
      <c r="N543" s="11" t="n"/>
      <c r="O543" s="11" t="n"/>
      <c r="P543" s="11" t="n"/>
      <c r="Q543" s="11" t="n"/>
    </row>
    <row r="544">
      <c r="A544" s="8">
        <f>B544&amp;"_"&amp;C544</f>
        <v/>
      </c>
      <c r="B544" s="8" t="n"/>
      <c r="C544" s="8" t="n"/>
      <c r="D544" s="8" t="n"/>
      <c r="E544" s="11" t="n"/>
      <c r="F544" s="11" t="n"/>
      <c r="G544" s="8" t="n"/>
      <c r="H544" s="8" t="n"/>
      <c r="I544" s="8" t="n"/>
      <c r="J544" s="8" t="n"/>
      <c r="K544" s="12">
        <f>IF(OR(ISERROR(VLOOKUP(C544, Resultados_Reales!$A$4:$I$107, 5, FALSE)), ISERROR(VLOOKUP(C544, Resultados_Reales!$A$4:$I$107, 6, FALSE)), VLOOKUP(C544, Resultados_Reales!$A$4:$I$107, 5, FALSE)="", VLOOKUP(C544, Resultados_Reales!$A$4:$I$107, 6, FALSE)=""), 0, IF(AND(VLOOKUP(C544, Resultados_Reales!$A$4:$I$107, 5, FALSE)=G544, VLOOKUP(C544, Resultados_Reales!$A$4:$I$107, 6, FALSE)=H544), Configuracion!$B$5, IF(SIGN(VLOOKUP(C544, Resultados_Reales!$A$4:$I$107, 5, FALSE)-VLOOKUP(C544, Resultados_Reales!$A$4:$I$107, 6, FALSE)) = SIGN(G544-H544), Configuracion!$B$4, 0)))</f>
        <v/>
      </c>
      <c r="L544" s="11" t="n"/>
      <c r="M544" s="11" t="n"/>
      <c r="N544" s="11" t="n"/>
      <c r="O544" s="11" t="n"/>
      <c r="P544" s="11" t="n"/>
      <c r="Q544" s="11" t="n"/>
    </row>
    <row r="545">
      <c r="A545" s="8">
        <f>B545&amp;"_"&amp;C545</f>
        <v/>
      </c>
      <c r="B545" s="8" t="n"/>
      <c r="C545" s="8" t="n"/>
      <c r="D545" s="8" t="n"/>
      <c r="E545" s="11" t="n"/>
      <c r="F545" s="11" t="n"/>
      <c r="G545" s="8" t="n"/>
      <c r="H545" s="8" t="n"/>
      <c r="I545" s="8" t="n"/>
      <c r="J545" s="8" t="n"/>
      <c r="K545" s="12">
        <f>IF(OR(ISERROR(VLOOKUP(C545, Resultados_Reales!$A$4:$I$107, 5, FALSE)), ISERROR(VLOOKUP(C545, Resultados_Reales!$A$4:$I$107, 6, FALSE)), VLOOKUP(C545, Resultados_Reales!$A$4:$I$107, 5, FALSE)="", VLOOKUP(C545, Resultados_Reales!$A$4:$I$107, 6, FALSE)=""), 0, IF(AND(VLOOKUP(C545, Resultados_Reales!$A$4:$I$107, 5, FALSE)=G545, VLOOKUP(C545, Resultados_Reales!$A$4:$I$107, 6, FALSE)=H545), Configuracion!$B$5, IF(SIGN(VLOOKUP(C545, Resultados_Reales!$A$4:$I$107, 5, FALSE)-VLOOKUP(C545, Resultados_Reales!$A$4:$I$107, 6, FALSE)) = SIGN(G545-H545), Configuracion!$B$4, 0)))</f>
        <v/>
      </c>
      <c r="L545" s="11" t="n"/>
      <c r="M545" s="11" t="n"/>
      <c r="N545" s="11" t="n"/>
      <c r="O545" s="11" t="n"/>
      <c r="P545" s="11" t="n"/>
      <c r="Q545" s="11" t="n"/>
    </row>
    <row r="546">
      <c r="A546" s="8">
        <f>B546&amp;"_"&amp;C546</f>
        <v/>
      </c>
      <c r="B546" s="8" t="n"/>
      <c r="C546" s="8" t="n"/>
      <c r="D546" s="8" t="n"/>
      <c r="E546" s="11" t="n"/>
      <c r="F546" s="11" t="n"/>
      <c r="G546" s="8" t="n"/>
      <c r="H546" s="8" t="n"/>
      <c r="I546" s="8" t="n"/>
      <c r="J546" s="8" t="n"/>
      <c r="K546" s="12">
        <f>IF(OR(ISERROR(VLOOKUP(C546, Resultados_Reales!$A$4:$I$107, 5, FALSE)), ISERROR(VLOOKUP(C546, Resultados_Reales!$A$4:$I$107, 6, FALSE)), VLOOKUP(C546, Resultados_Reales!$A$4:$I$107, 5, FALSE)="", VLOOKUP(C546, Resultados_Reales!$A$4:$I$107, 6, FALSE)=""), 0, IF(AND(VLOOKUP(C546, Resultados_Reales!$A$4:$I$107, 5, FALSE)=G546, VLOOKUP(C546, Resultados_Reales!$A$4:$I$107, 6, FALSE)=H546), Configuracion!$B$5, IF(SIGN(VLOOKUP(C546, Resultados_Reales!$A$4:$I$107, 5, FALSE)-VLOOKUP(C546, Resultados_Reales!$A$4:$I$107, 6, FALSE)) = SIGN(G546-H546), Configuracion!$B$4, 0)))</f>
        <v/>
      </c>
      <c r="L546" s="11" t="n"/>
      <c r="M546" s="11" t="n"/>
      <c r="N546" s="11" t="n"/>
      <c r="O546" s="11" t="n"/>
      <c r="P546" s="11" t="n"/>
      <c r="Q546" s="11" t="n"/>
    </row>
    <row r="547">
      <c r="A547" s="8">
        <f>B547&amp;"_"&amp;C547</f>
        <v/>
      </c>
      <c r="B547" s="8" t="n"/>
      <c r="C547" s="8" t="n"/>
      <c r="D547" s="8" t="n"/>
      <c r="E547" s="11" t="n"/>
      <c r="F547" s="11" t="n"/>
      <c r="G547" s="8" t="n"/>
      <c r="H547" s="8" t="n"/>
      <c r="I547" s="8" t="n"/>
      <c r="J547" s="8" t="n"/>
      <c r="K547" s="12">
        <f>IF(OR(ISERROR(VLOOKUP(C547, Resultados_Reales!$A$4:$I$107, 5, FALSE)), ISERROR(VLOOKUP(C547, Resultados_Reales!$A$4:$I$107, 6, FALSE)), VLOOKUP(C547, Resultados_Reales!$A$4:$I$107, 5, FALSE)="", VLOOKUP(C547, Resultados_Reales!$A$4:$I$107, 6, FALSE)=""), 0, IF(AND(VLOOKUP(C547, Resultados_Reales!$A$4:$I$107, 5, FALSE)=G547, VLOOKUP(C547, Resultados_Reales!$A$4:$I$107, 6, FALSE)=H547), Configuracion!$B$5, IF(SIGN(VLOOKUP(C547, Resultados_Reales!$A$4:$I$107, 5, FALSE)-VLOOKUP(C547, Resultados_Reales!$A$4:$I$107, 6, FALSE)) = SIGN(G547-H547), Configuracion!$B$4, 0)))</f>
        <v/>
      </c>
      <c r="L547" s="11" t="n"/>
      <c r="M547" s="11" t="n"/>
      <c r="N547" s="11" t="n"/>
      <c r="O547" s="11" t="n"/>
      <c r="P547" s="11" t="n"/>
      <c r="Q547" s="11" t="n"/>
    </row>
    <row r="548">
      <c r="A548" s="8">
        <f>B548&amp;"_"&amp;C548</f>
        <v/>
      </c>
      <c r="B548" s="8" t="n"/>
      <c r="C548" s="8" t="n"/>
      <c r="D548" s="8" t="n"/>
      <c r="E548" s="11" t="n"/>
      <c r="F548" s="11" t="n"/>
      <c r="G548" s="8" t="n"/>
      <c r="H548" s="8" t="n"/>
      <c r="I548" s="8" t="n"/>
      <c r="J548" s="8" t="n"/>
      <c r="K548" s="12">
        <f>IF(OR(ISERROR(VLOOKUP(C548, Resultados_Reales!$A$4:$I$107, 5, FALSE)), ISERROR(VLOOKUP(C548, Resultados_Reales!$A$4:$I$107, 6, FALSE)), VLOOKUP(C548, Resultados_Reales!$A$4:$I$107, 5, FALSE)="", VLOOKUP(C548, Resultados_Reales!$A$4:$I$107, 6, FALSE)=""), 0, IF(AND(VLOOKUP(C548, Resultados_Reales!$A$4:$I$107, 5, FALSE)=G548, VLOOKUP(C548, Resultados_Reales!$A$4:$I$107, 6, FALSE)=H548), Configuracion!$B$5, IF(SIGN(VLOOKUP(C548, Resultados_Reales!$A$4:$I$107, 5, FALSE)-VLOOKUP(C548, Resultados_Reales!$A$4:$I$107, 6, FALSE)) = SIGN(G548-H548), Configuracion!$B$4, 0)))</f>
        <v/>
      </c>
      <c r="L548" s="11" t="n"/>
      <c r="M548" s="11" t="n"/>
      <c r="N548" s="11" t="n"/>
      <c r="O548" s="11" t="n"/>
      <c r="P548" s="11" t="n"/>
      <c r="Q548" s="11" t="n"/>
    </row>
    <row r="549">
      <c r="A549" s="8">
        <f>B549&amp;"_"&amp;C549</f>
        <v/>
      </c>
      <c r="B549" s="8" t="n"/>
      <c r="C549" s="8" t="n"/>
      <c r="D549" s="8" t="n"/>
      <c r="E549" s="11" t="n"/>
      <c r="F549" s="11" t="n"/>
      <c r="G549" s="8" t="n"/>
      <c r="H549" s="8" t="n"/>
      <c r="I549" s="8" t="n"/>
      <c r="J549" s="8" t="n"/>
      <c r="K549" s="12">
        <f>IF(OR(ISERROR(VLOOKUP(C549, Resultados_Reales!$A$4:$I$107, 5, FALSE)), ISERROR(VLOOKUP(C549, Resultados_Reales!$A$4:$I$107, 6, FALSE)), VLOOKUP(C549, Resultados_Reales!$A$4:$I$107, 5, FALSE)="", VLOOKUP(C549, Resultados_Reales!$A$4:$I$107, 6, FALSE)=""), 0, IF(AND(VLOOKUP(C549, Resultados_Reales!$A$4:$I$107, 5, FALSE)=G549, VLOOKUP(C549, Resultados_Reales!$A$4:$I$107, 6, FALSE)=H549), Configuracion!$B$5, IF(SIGN(VLOOKUP(C549, Resultados_Reales!$A$4:$I$107, 5, FALSE)-VLOOKUP(C549, Resultados_Reales!$A$4:$I$107, 6, FALSE)) = SIGN(G549-H549), Configuracion!$B$4, 0)))</f>
        <v/>
      </c>
      <c r="L549" s="11" t="n"/>
      <c r="M549" s="11" t="n"/>
      <c r="N549" s="11" t="n"/>
      <c r="O549" s="11" t="n"/>
      <c r="P549" s="11" t="n"/>
      <c r="Q549" s="11" t="n"/>
    </row>
    <row r="550">
      <c r="A550" s="8">
        <f>B550&amp;"_"&amp;C550</f>
        <v/>
      </c>
      <c r="B550" s="8" t="n"/>
      <c r="C550" s="8" t="n"/>
      <c r="D550" s="8" t="n"/>
      <c r="E550" s="11" t="n"/>
      <c r="F550" s="11" t="n"/>
      <c r="G550" s="8" t="n"/>
      <c r="H550" s="8" t="n"/>
      <c r="I550" s="8" t="n"/>
      <c r="J550" s="8" t="n"/>
      <c r="K550" s="12">
        <f>IF(OR(ISERROR(VLOOKUP(C550, Resultados_Reales!$A$4:$I$107, 5, FALSE)), ISERROR(VLOOKUP(C550, Resultados_Reales!$A$4:$I$107, 6, FALSE)), VLOOKUP(C550, Resultados_Reales!$A$4:$I$107, 5, FALSE)="", VLOOKUP(C550, Resultados_Reales!$A$4:$I$107, 6, FALSE)=""), 0, IF(AND(VLOOKUP(C550, Resultados_Reales!$A$4:$I$107, 5, FALSE)=G550, VLOOKUP(C550, Resultados_Reales!$A$4:$I$107, 6, FALSE)=H550), Configuracion!$B$5, IF(SIGN(VLOOKUP(C550, Resultados_Reales!$A$4:$I$107, 5, FALSE)-VLOOKUP(C550, Resultados_Reales!$A$4:$I$107, 6, FALSE)) = SIGN(G550-H550), Configuracion!$B$4, 0)))</f>
        <v/>
      </c>
      <c r="L550" s="11" t="n"/>
      <c r="M550" s="11" t="n"/>
      <c r="N550" s="11" t="n"/>
      <c r="O550" s="11" t="n"/>
      <c r="P550" s="11" t="n"/>
      <c r="Q550" s="11" t="n"/>
    </row>
    <row r="551">
      <c r="A551" s="8">
        <f>B551&amp;"_"&amp;C551</f>
        <v/>
      </c>
      <c r="B551" s="8" t="n"/>
      <c r="C551" s="8" t="n"/>
      <c r="D551" s="8" t="n"/>
      <c r="E551" s="11" t="n"/>
      <c r="F551" s="11" t="n"/>
      <c r="G551" s="8" t="n"/>
      <c r="H551" s="8" t="n"/>
      <c r="I551" s="8" t="n"/>
      <c r="J551" s="8" t="n"/>
      <c r="K551" s="12">
        <f>IF(OR(ISERROR(VLOOKUP(C551, Resultados_Reales!$A$4:$I$107, 5, FALSE)), ISERROR(VLOOKUP(C551, Resultados_Reales!$A$4:$I$107, 6, FALSE)), VLOOKUP(C551, Resultados_Reales!$A$4:$I$107, 5, FALSE)="", VLOOKUP(C551, Resultados_Reales!$A$4:$I$107, 6, FALSE)=""), 0, IF(AND(VLOOKUP(C551, Resultados_Reales!$A$4:$I$107, 5, FALSE)=G551, VLOOKUP(C551, Resultados_Reales!$A$4:$I$107, 6, FALSE)=H551), Configuracion!$B$5, IF(SIGN(VLOOKUP(C551, Resultados_Reales!$A$4:$I$107, 5, FALSE)-VLOOKUP(C551, Resultados_Reales!$A$4:$I$107, 6, FALSE)) = SIGN(G551-H551), Configuracion!$B$4, 0)))</f>
        <v/>
      </c>
      <c r="L551" s="11" t="n"/>
      <c r="M551" s="11" t="n"/>
      <c r="N551" s="11" t="n"/>
      <c r="O551" s="11" t="n"/>
      <c r="P551" s="11" t="n"/>
      <c r="Q551" s="11" t="n"/>
    </row>
    <row r="552">
      <c r="A552" s="8">
        <f>B552&amp;"_"&amp;C552</f>
        <v/>
      </c>
      <c r="B552" s="8" t="n"/>
      <c r="C552" s="8" t="n"/>
      <c r="D552" s="8" t="n"/>
      <c r="E552" s="11" t="n"/>
      <c r="F552" s="11" t="n"/>
      <c r="G552" s="8" t="n"/>
      <c r="H552" s="8" t="n"/>
      <c r="I552" s="8" t="n"/>
      <c r="J552" s="8" t="n"/>
      <c r="K552" s="12">
        <f>IF(OR(ISERROR(VLOOKUP(C552, Resultados_Reales!$A$4:$I$107, 5, FALSE)), ISERROR(VLOOKUP(C552, Resultados_Reales!$A$4:$I$107, 6, FALSE)), VLOOKUP(C552, Resultados_Reales!$A$4:$I$107, 5, FALSE)="", VLOOKUP(C552, Resultados_Reales!$A$4:$I$107, 6, FALSE)=""), 0, IF(AND(VLOOKUP(C552, Resultados_Reales!$A$4:$I$107, 5, FALSE)=G552, VLOOKUP(C552, Resultados_Reales!$A$4:$I$107, 6, FALSE)=H552), Configuracion!$B$5, IF(SIGN(VLOOKUP(C552, Resultados_Reales!$A$4:$I$107, 5, FALSE)-VLOOKUP(C552, Resultados_Reales!$A$4:$I$107, 6, FALSE)) = SIGN(G552-H552), Configuracion!$B$4, 0)))</f>
        <v/>
      </c>
      <c r="L552" s="11" t="n"/>
      <c r="M552" s="11" t="n"/>
      <c r="N552" s="11" t="n"/>
      <c r="O552" s="11" t="n"/>
      <c r="P552" s="11" t="n"/>
      <c r="Q552" s="11" t="n"/>
    </row>
    <row r="553">
      <c r="A553" s="8">
        <f>B553&amp;"_"&amp;C553</f>
        <v/>
      </c>
      <c r="B553" s="8" t="n"/>
      <c r="C553" s="8" t="n"/>
      <c r="D553" s="8" t="n"/>
      <c r="E553" s="11" t="n"/>
      <c r="F553" s="11" t="n"/>
      <c r="G553" s="8" t="n"/>
      <c r="H553" s="8" t="n"/>
      <c r="I553" s="8" t="n"/>
      <c r="J553" s="8" t="n"/>
      <c r="K553" s="12">
        <f>IF(OR(ISERROR(VLOOKUP(C553, Resultados_Reales!$A$4:$I$107, 5, FALSE)), ISERROR(VLOOKUP(C553, Resultados_Reales!$A$4:$I$107, 6, FALSE)), VLOOKUP(C553, Resultados_Reales!$A$4:$I$107, 5, FALSE)="", VLOOKUP(C553, Resultados_Reales!$A$4:$I$107, 6, FALSE)=""), 0, IF(AND(VLOOKUP(C553, Resultados_Reales!$A$4:$I$107, 5, FALSE)=G553, VLOOKUP(C553, Resultados_Reales!$A$4:$I$107, 6, FALSE)=H553), Configuracion!$B$5, IF(SIGN(VLOOKUP(C553, Resultados_Reales!$A$4:$I$107, 5, FALSE)-VLOOKUP(C553, Resultados_Reales!$A$4:$I$107, 6, FALSE)) = SIGN(G553-H553), Configuracion!$B$4, 0)))</f>
        <v/>
      </c>
      <c r="L553" s="11" t="n"/>
      <c r="M553" s="11" t="n"/>
      <c r="N553" s="11" t="n"/>
      <c r="O553" s="11" t="n"/>
      <c r="P553" s="11" t="n"/>
      <c r="Q553" s="11" t="n"/>
    </row>
    <row r="554">
      <c r="A554" s="8">
        <f>B554&amp;"_"&amp;C554</f>
        <v/>
      </c>
      <c r="B554" s="8" t="n"/>
      <c r="C554" s="8" t="n"/>
      <c r="D554" s="8" t="n"/>
      <c r="E554" s="11" t="n"/>
      <c r="F554" s="11" t="n"/>
      <c r="G554" s="8" t="n"/>
      <c r="H554" s="8" t="n"/>
      <c r="I554" s="8" t="n"/>
      <c r="J554" s="8" t="n"/>
      <c r="K554" s="12">
        <f>IF(OR(ISERROR(VLOOKUP(C554, Resultados_Reales!$A$4:$I$107, 5, FALSE)), ISERROR(VLOOKUP(C554, Resultados_Reales!$A$4:$I$107, 6, FALSE)), VLOOKUP(C554, Resultados_Reales!$A$4:$I$107, 5, FALSE)="", VLOOKUP(C554, Resultados_Reales!$A$4:$I$107, 6, FALSE)=""), 0, IF(AND(VLOOKUP(C554, Resultados_Reales!$A$4:$I$107, 5, FALSE)=G554, VLOOKUP(C554, Resultados_Reales!$A$4:$I$107, 6, FALSE)=H554), Configuracion!$B$5, IF(SIGN(VLOOKUP(C554, Resultados_Reales!$A$4:$I$107, 5, FALSE)-VLOOKUP(C554, Resultados_Reales!$A$4:$I$107, 6, FALSE)) = SIGN(G554-H554), Configuracion!$B$4, 0)))</f>
        <v/>
      </c>
      <c r="L554" s="11" t="n"/>
      <c r="M554" s="11" t="n"/>
      <c r="N554" s="11" t="n"/>
      <c r="O554" s="11" t="n"/>
      <c r="P554" s="11" t="n"/>
      <c r="Q554" s="11" t="n"/>
    </row>
    <row r="555">
      <c r="A555" s="8">
        <f>B555&amp;"_"&amp;C555</f>
        <v/>
      </c>
      <c r="B555" s="8" t="n"/>
      <c r="C555" s="8" t="n"/>
      <c r="D555" s="8" t="n"/>
      <c r="E555" s="11" t="n"/>
      <c r="F555" s="11" t="n"/>
      <c r="G555" s="8" t="n"/>
      <c r="H555" s="8" t="n"/>
      <c r="I555" s="8" t="n"/>
      <c r="J555" s="8" t="n"/>
      <c r="K555" s="12">
        <f>IF(OR(ISERROR(VLOOKUP(C555, Resultados_Reales!$A$4:$I$107, 5, FALSE)), ISERROR(VLOOKUP(C555, Resultados_Reales!$A$4:$I$107, 6, FALSE)), VLOOKUP(C555, Resultados_Reales!$A$4:$I$107, 5, FALSE)="", VLOOKUP(C555, Resultados_Reales!$A$4:$I$107, 6, FALSE)=""), 0, IF(AND(VLOOKUP(C555, Resultados_Reales!$A$4:$I$107, 5, FALSE)=G555, VLOOKUP(C555, Resultados_Reales!$A$4:$I$107, 6, FALSE)=H555), Configuracion!$B$5, IF(SIGN(VLOOKUP(C555, Resultados_Reales!$A$4:$I$107, 5, FALSE)-VLOOKUP(C555, Resultados_Reales!$A$4:$I$107, 6, FALSE)) = SIGN(G555-H555), Configuracion!$B$4, 0)))</f>
        <v/>
      </c>
      <c r="L555" s="11" t="n"/>
      <c r="M555" s="11" t="n"/>
      <c r="N555" s="11" t="n"/>
      <c r="O555" s="11" t="n"/>
      <c r="P555" s="11" t="n"/>
      <c r="Q555" s="11" t="n"/>
    </row>
    <row r="556">
      <c r="A556" s="8">
        <f>B556&amp;"_"&amp;C556</f>
        <v/>
      </c>
      <c r="B556" s="8" t="n"/>
      <c r="C556" s="8" t="n"/>
      <c r="D556" s="8" t="n"/>
      <c r="E556" s="11" t="n"/>
      <c r="F556" s="11" t="n"/>
      <c r="G556" s="8" t="n"/>
      <c r="H556" s="8" t="n"/>
      <c r="I556" s="8" t="n"/>
      <c r="J556" s="8" t="n"/>
      <c r="K556" s="12">
        <f>IF(OR(ISERROR(VLOOKUP(C556, Resultados_Reales!$A$4:$I$107, 5, FALSE)), ISERROR(VLOOKUP(C556, Resultados_Reales!$A$4:$I$107, 6, FALSE)), VLOOKUP(C556, Resultados_Reales!$A$4:$I$107, 5, FALSE)="", VLOOKUP(C556, Resultados_Reales!$A$4:$I$107, 6, FALSE)=""), 0, IF(AND(VLOOKUP(C556, Resultados_Reales!$A$4:$I$107, 5, FALSE)=G556, VLOOKUP(C556, Resultados_Reales!$A$4:$I$107, 6, FALSE)=H556), Configuracion!$B$5, IF(SIGN(VLOOKUP(C556, Resultados_Reales!$A$4:$I$107, 5, FALSE)-VLOOKUP(C556, Resultados_Reales!$A$4:$I$107, 6, FALSE)) = SIGN(G556-H556), Configuracion!$B$4, 0)))</f>
        <v/>
      </c>
      <c r="L556" s="11" t="n"/>
      <c r="M556" s="11" t="n"/>
      <c r="N556" s="11" t="n"/>
      <c r="O556" s="11" t="n"/>
      <c r="P556" s="11" t="n"/>
      <c r="Q556" s="11" t="n"/>
    </row>
    <row r="557">
      <c r="A557" s="8">
        <f>B557&amp;"_"&amp;C557</f>
        <v/>
      </c>
      <c r="B557" s="8" t="n"/>
      <c r="C557" s="8" t="n"/>
      <c r="D557" s="8" t="n"/>
      <c r="E557" s="11" t="n"/>
      <c r="F557" s="11" t="n"/>
      <c r="G557" s="8" t="n"/>
      <c r="H557" s="8" t="n"/>
      <c r="I557" s="8" t="n"/>
      <c r="J557" s="8" t="n"/>
      <c r="K557" s="12">
        <f>IF(OR(ISERROR(VLOOKUP(C557, Resultados_Reales!$A$4:$I$107, 5, FALSE)), ISERROR(VLOOKUP(C557, Resultados_Reales!$A$4:$I$107, 6, FALSE)), VLOOKUP(C557, Resultados_Reales!$A$4:$I$107, 5, FALSE)="", VLOOKUP(C557, Resultados_Reales!$A$4:$I$107, 6, FALSE)=""), 0, IF(AND(VLOOKUP(C557, Resultados_Reales!$A$4:$I$107, 5, FALSE)=G557, VLOOKUP(C557, Resultados_Reales!$A$4:$I$107, 6, FALSE)=H557), Configuracion!$B$5, IF(SIGN(VLOOKUP(C557, Resultados_Reales!$A$4:$I$107, 5, FALSE)-VLOOKUP(C557, Resultados_Reales!$A$4:$I$107, 6, FALSE)) = SIGN(G557-H557), Configuracion!$B$4, 0)))</f>
        <v/>
      </c>
      <c r="L557" s="11" t="n"/>
      <c r="M557" s="11" t="n"/>
      <c r="N557" s="11" t="n"/>
      <c r="O557" s="11" t="n"/>
      <c r="P557" s="11" t="n"/>
      <c r="Q557" s="11" t="n"/>
    </row>
    <row r="558">
      <c r="A558" s="8">
        <f>B558&amp;"_"&amp;C558</f>
        <v/>
      </c>
      <c r="B558" s="8" t="n"/>
      <c r="C558" s="8" t="n"/>
      <c r="D558" s="8" t="n"/>
      <c r="E558" s="11" t="n"/>
      <c r="F558" s="11" t="n"/>
      <c r="G558" s="8" t="n"/>
      <c r="H558" s="8" t="n"/>
      <c r="I558" s="8" t="n"/>
      <c r="J558" s="8" t="n"/>
      <c r="K558" s="12">
        <f>IF(OR(ISERROR(VLOOKUP(C558, Resultados_Reales!$A$4:$I$107, 5, FALSE)), ISERROR(VLOOKUP(C558, Resultados_Reales!$A$4:$I$107, 6, FALSE)), VLOOKUP(C558, Resultados_Reales!$A$4:$I$107, 5, FALSE)="", VLOOKUP(C558, Resultados_Reales!$A$4:$I$107, 6, FALSE)=""), 0, IF(AND(VLOOKUP(C558, Resultados_Reales!$A$4:$I$107, 5, FALSE)=G558, VLOOKUP(C558, Resultados_Reales!$A$4:$I$107, 6, FALSE)=H558), Configuracion!$B$5, IF(SIGN(VLOOKUP(C558, Resultados_Reales!$A$4:$I$107, 5, FALSE)-VLOOKUP(C558, Resultados_Reales!$A$4:$I$107, 6, FALSE)) = SIGN(G558-H558), Configuracion!$B$4, 0)))</f>
        <v/>
      </c>
      <c r="L558" s="11" t="n"/>
      <c r="M558" s="11" t="n"/>
      <c r="N558" s="11" t="n"/>
      <c r="O558" s="11" t="n"/>
      <c r="P558" s="11" t="n"/>
      <c r="Q558" s="11" t="n"/>
    </row>
    <row r="559">
      <c r="A559" s="8">
        <f>B559&amp;"_"&amp;C559</f>
        <v/>
      </c>
      <c r="B559" s="8" t="n"/>
      <c r="C559" s="8" t="n"/>
      <c r="D559" s="8" t="n"/>
      <c r="E559" s="11" t="n"/>
      <c r="F559" s="11" t="n"/>
      <c r="G559" s="8" t="n"/>
      <c r="H559" s="8" t="n"/>
      <c r="I559" s="8" t="n"/>
      <c r="J559" s="8" t="n"/>
      <c r="K559" s="12">
        <f>IF(OR(ISERROR(VLOOKUP(C559, Resultados_Reales!$A$4:$I$107, 5, FALSE)), ISERROR(VLOOKUP(C559, Resultados_Reales!$A$4:$I$107, 6, FALSE)), VLOOKUP(C559, Resultados_Reales!$A$4:$I$107, 5, FALSE)="", VLOOKUP(C559, Resultados_Reales!$A$4:$I$107, 6, FALSE)=""), 0, IF(AND(VLOOKUP(C559, Resultados_Reales!$A$4:$I$107, 5, FALSE)=G559, VLOOKUP(C559, Resultados_Reales!$A$4:$I$107, 6, FALSE)=H559), Configuracion!$B$5, IF(SIGN(VLOOKUP(C559, Resultados_Reales!$A$4:$I$107, 5, FALSE)-VLOOKUP(C559, Resultados_Reales!$A$4:$I$107, 6, FALSE)) = SIGN(G559-H559), Configuracion!$B$4, 0)))</f>
        <v/>
      </c>
      <c r="L559" s="11" t="n"/>
      <c r="M559" s="11" t="n"/>
      <c r="N559" s="11" t="n"/>
      <c r="O559" s="11" t="n"/>
      <c r="P559" s="11" t="n"/>
      <c r="Q559" s="11" t="n"/>
    </row>
    <row r="560">
      <c r="A560" s="8">
        <f>B560&amp;"_"&amp;C560</f>
        <v/>
      </c>
      <c r="B560" s="8" t="n"/>
      <c r="C560" s="8" t="n"/>
      <c r="D560" s="8" t="n"/>
      <c r="E560" s="11" t="n"/>
      <c r="F560" s="11" t="n"/>
      <c r="G560" s="8" t="n"/>
      <c r="H560" s="8" t="n"/>
      <c r="I560" s="8" t="n"/>
      <c r="J560" s="8" t="n"/>
      <c r="K560" s="12">
        <f>IF(OR(ISERROR(VLOOKUP(C560, Resultados_Reales!$A$4:$I$107, 5, FALSE)), ISERROR(VLOOKUP(C560, Resultados_Reales!$A$4:$I$107, 6, FALSE)), VLOOKUP(C560, Resultados_Reales!$A$4:$I$107, 5, FALSE)="", VLOOKUP(C560, Resultados_Reales!$A$4:$I$107, 6, FALSE)=""), 0, IF(AND(VLOOKUP(C560, Resultados_Reales!$A$4:$I$107, 5, FALSE)=G560, VLOOKUP(C560, Resultados_Reales!$A$4:$I$107, 6, FALSE)=H560), Configuracion!$B$5, IF(SIGN(VLOOKUP(C560, Resultados_Reales!$A$4:$I$107, 5, FALSE)-VLOOKUP(C560, Resultados_Reales!$A$4:$I$107, 6, FALSE)) = SIGN(G560-H560), Configuracion!$B$4, 0)))</f>
        <v/>
      </c>
      <c r="L560" s="11" t="n"/>
      <c r="M560" s="11" t="n"/>
      <c r="N560" s="11" t="n"/>
      <c r="O560" s="11" t="n"/>
      <c r="P560" s="11" t="n"/>
      <c r="Q560" s="11" t="n"/>
    </row>
    <row r="561">
      <c r="A561" s="8">
        <f>B561&amp;"_"&amp;C561</f>
        <v/>
      </c>
      <c r="B561" s="8" t="n"/>
      <c r="C561" s="8" t="n"/>
      <c r="D561" s="8" t="n"/>
      <c r="E561" s="11" t="n"/>
      <c r="F561" s="11" t="n"/>
      <c r="G561" s="8" t="n"/>
      <c r="H561" s="8" t="n"/>
      <c r="I561" s="8" t="n"/>
      <c r="J561" s="8" t="n"/>
      <c r="K561" s="12">
        <f>IF(OR(ISERROR(VLOOKUP(C561, Resultados_Reales!$A$4:$I$107, 5, FALSE)), ISERROR(VLOOKUP(C561, Resultados_Reales!$A$4:$I$107, 6, FALSE)), VLOOKUP(C561, Resultados_Reales!$A$4:$I$107, 5, FALSE)="", VLOOKUP(C561, Resultados_Reales!$A$4:$I$107, 6, FALSE)=""), 0, IF(AND(VLOOKUP(C561, Resultados_Reales!$A$4:$I$107, 5, FALSE)=G561, VLOOKUP(C561, Resultados_Reales!$A$4:$I$107, 6, FALSE)=H561), Configuracion!$B$5, IF(SIGN(VLOOKUP(C561, Resultados_Reales!$A$4:$I$107, 5, FALSE)-VLOOKUP(C561, Resultados_Reales!$A$4:$I$107, 6, FALSE)) = SIGN(G561-H561), Configuracion!$B$4, 0)))</f>
        <v/>
      </c>
      <c r="L561" s="11" t="n"/>
      <c r="M561" s="11" t="n"/>
      <c r="N561" s="11" t="n"/>
      <c r="O561" s="11" t="n"/>
      <c r="P561" s="11" t="n"/>
      <c r="Q561" s="11" t="n"/>
    </row>
    <row r="562">
      <c r="A562" s="8">
        <f>B562&amp;"_"&amp;C562</f>
        <v/>
      </c>
      <c r="B562" s="8" t="n"/>
      <c r="C562" s="8" t="n"/>
      <c r="D562" s="8" t="n"/>
      <c r="E562" s="11" t="n"/>
      <c r="F562" s="11" t="n"/>
      <c r="G562" s="8" t="n"/>
      <c r="H562" s="8" t="n"/>
      <c r="I562" s="8" t="n"/>
      <c r="J562" s="8" t="n"/>
      <c r="K562" s="12">
        <f>IF(OR(ISERROR(VLOOKUP(C562, Resultados_Reales!$A$4:$I$107, 5, FALSE)), ISERROR(VLOOKUP(C562, Resultados_Reales!$A$4:$I$107, 6, FALSE)), VLOOKUP(C562, Resultados_Reales!$A$4:$I$107, 5, FALSE)="", VLOOKUP(C562, Resultados_Reales!$A$4:$I$107, 6, FALSE)=""), 0, IF(AND(VLOOKUP(C562, Resultados_Reales!$A$4:$I$107, 5, FALSE)=G562, VLOOKUP(C562, Resultados_Reales!$A$4:$I$107, 6, FALSE)=H562), Configuracion!$B$5, IF(SIGN(VLOOKUP(C562, Resultados_Reales!$A$4:$I$107, 5, FALSE)-VLOOKUP(C562, Resultados_Reales!$A$4:$I$107, 6, FALSE)) = SIGN(G562-H562), Configuracion!$B$4, 0)))</f>
        <v/>
      </c>
      <c r="L562" s="11" t="n"/>
      <c r="M562" s="11" t="n"/>
      <c r="N562" s="11" t="n"/>
      <c r="O562" s="11" t="n"/>
      <c r="P562" s="11" t="n"/>
      <c r="Q562" s="11" t="n"/>
    </row>
    <row r="563">
      <c r="A563" s="8">
        <f>B563&amp;"_"&amp;C563</f>
        <v/>
      </c>
      <c r="B563" s="8" t="n"/>
      <c r="C563" s="8" t="n"/>
      <c r="D563" s="8" t="n"/>
      <c r="E563" s="11" t="n"/>
      <c r="F563" s="11" t="n"/>
      <c r="G563" s="8" t="n"/>
      <c r="H563" s="8" t="n"/>
      <c r="I563" s="8" t="n"/>
      <c r="J563" s="8" t="n"/>
      <c r="K563" s="12">
        <f>IF(OR(ISERROR(VLOOKUP(C563, Resultados_Reales!$A$4:$I$107, 5, FALSE)), ISERROR(VLOOKUP(C563, Resultados_Reales!$A$4:$I$107, 6, FALSE)), VLOOKUP(C563, Resultados_Reales!$A$4:$I$107, 5, FALSE)="", VLOOKUP(C563, Resultados_Reales!$A$4:$I$107, 6, FALSE)=""), 0, IF(AND(VLOOKUP(C563, Resultados_Reales!$A$4:$I$107, 5, FALSE)=G563, VLOOKUP(C563, Resultados_Reales!$A$4:$I$107, 6, FALSE)=H563), Configuracion!$B$5, IF(SIGN(VLOOKUP(C563, Resultados_Reales!$A$4:$I$107, 5, FALSE)-VLOOKUP(C563, Resultados_Reales!$A$4:$I$107, 6, FALSE)) = SIGN(G563-H563), Configuracion!$B$4, 0)))</f>
        <v/>
      </c>
      <c r="L563" s="11" t="n"/>
      <c r="M563" s="11" t="n"/>
      <c r="N563" s="11" t="n"/>
      <c r="O563" s="11" t="n"/>
      <c r="P563" s="11" t="n"/>
      <c r="Q563" s="11" t="n"/>
    </row>
    <row r="564">
      <c r="A564" s="8">
        <f>B564&amp;"_"&amp;C564</f>
        <v/>
      </c>
      <c r="B564" s="8" t="n"/>
      <c r="C564" s="8" t="n"/>
      <c r="D564" s="8" t="n"/>
      <c r="E564" s="11" t="n"/>
      <c r="F564" s="11" t="n"/>
      <c r="G564" s="8" t="n"/>
      <c r="H564" s="8" t="n"/>
      <c r="I564" s="8" t="n"/>
      <c r="J564" s="8" t="n"/>
      <c r="K564" s="12">
        <f>IF(OR(ISERROR(VLOOKUP(C564, Resultados_Reales!$A$4:$I$107, 5, FALSE)), ISERROR(VLOOKUP(C564, Resultados_Reales!$A$4:$I$107, 6, FALSE)), VLOOKUP(C564, Resultados_Reales!$A$4:$I$107, 5, FALSE)="", VLOOKUP(C564, Resultados_Reales!$A$4:$I$107, 6, FALSE)=""), 0, IF(AND(VLOOKUP(C564, Resultados_Reales!$A$4:$I$107, 5, FALSE)=G564, VLOOKUP(C564, Resultados_Reales!$A$4:$I$107, 6, FALSE)=H564), Configuracion!$B$5, IF(SIGN(VLOOKUP(C564, Resultados_Reales!$A$4:$I$107, 5, FALSE)-VLOOKUP(C564, Resultados_Reales!$A$4:$I$107, 6, FALSE)) = SIGN(G564-H564), Configuracion!$B$4, 0)))</f>
        <v/>
      </c>
      <c r="L564" s="11" t="n"/>
      <c r="M564" s="11" t="n"/>
      <c r="N564" s="11" t="n"/>
      <c r="O564" s="11" t="n"/>
      <c r="P564" s="11" t="n"/>
      <c r="Q564" s="11" t="n"/>
    </row>
    <row r="565">
      <c r="A565" s="8">
        <f>B565&amp;"_"&amp;C565</f>
        <v/>
      </c>
      <c r="B565" s="8" t="n"/>
      <c r="C565" s="8" t="n"/>
      <c r="D565" s="8" t="n"/>
      <c r="E565" s="11" t="n"/>
      <c r="F565" s="11" t="n"/>
      <c r="G565" s="8" t="n"/>
      <c r="H565" s="8" t="n"/>
      <c r="I565" s="8" t="n"/>
      <c r="J565" s="8" t="n"/>
      <c r="K565" s="12">
        <f>IF(OR(ISERROR(VLOOKUP(C565, Resultados_Reales!$A$4:$I$107, 5, FALSE)), ISERROR(VLOOKUP(C565, Resultados_Reales!$A$4:$I$107, 6, FALSE)), VLOOKUP(C565, Resultados_Reales!$A$4:$I$107, 5, FALSE)="", VLOOKUP(C565, Resultados_Reales!$A$4:$I$107, 6, FALSE)=""), 0, IF(AND(VLOOKUP(C565, Resultados_Reales!$A$4:$I$107, 5, FALSE)=G565, VLOOKUP(C565, Resultados_Reales!$A$4:$I$107, 6, FALSE)=H565), Configuracion!$B$5, IF(SIGN(VLOOKUP(C565, Resultados_Reales!$A$4:$I$107, 5, FALSE)-VLOOKUP(C565, Resultados_Reales!$A$4:$I$107, 6, FALSE)) = SIGN(G565-H565), Configuracion!$B$4, 0)))</f>
        <v/>
      </c>
      <c r="L565" s="11" t="n"/>
      <c r="M565" s="11" t="n"/>
      <c r="N565" s="11" t="n"/>
      <c r="O565" s="11" t="n"/>
      <c r="P565" s="11" t="n"/>
      <c r="Q565" s="11" t="n"/>
    </row>
    <row r="566">
      <c r="A566" s="8">
        <f>B566&amp;"_"&amp;C566</f>
        <v/>
      </c>
      <c r="B566" s="8" t="n"/>
      <c r="C566" s="8" t="n"/>
      <c r="D566" s="8" t="n"/>
      <c r="E566" s="11" t="n"/>
      <c r="F566" s="11" t="n"/>
      <c r="G566" s="8" t="n"/>
      <c r="H566" s="8" t="n"/>
      <c r="I566" s="8" t="n"/>
      <c r="J566" s="8" t="n"/>
      <c r="K566" s="12">
        <f>IF(OR(ISERROR(VLOOKUP(C566, Resultados_Reales!$A$4:$I$107, 5, FALSE)), ISERROR(VLOOKUP(C566, Resultados_Reales!$A$4:$I$107, 6, FALSE)), VLOOKUP(C566, Resultados_Reales!$A$4:$I$107, 5, FALSE)="", VLOOKUP(C566, Resultados_Reales!$A$4:$I$107, 6, FALSE)=""), 0, IF(AND(VLOOKUP(C566, Resultados_Reales!$A$4:$I$107, 5, FALSE)=G566, VLOOKUP(C566, Resultados_Reales!$A$4:$I$107, 6, FALSE)=H566), Configuracion!$B$5, IF(SIGN(VLOOKUP(C566, Resultados_Reales!$A$4:$I$107, 5, FALSE)-VLOOKUP(C566, Resultados_Reales!$A$4:$I$107, 6, FALSE)) = SIGN(G566-H566), Configuracion!$B$4, 0)))</f>
        <v/>
      </c>
      <c r="L566" s="11" t="n"/>
      <c r="M566" s="11" t="n"/>
      <c r="N566" s="11" t="n"/>
      <c r="O566" s="11" t="n"/>
      <c r="P566" s="11" t="n"/>
      <c r="Q566" s="11" t="n"/>
    </row>
    <row r="567">
      <c r="A567" s="8">
        <f>B567&amp;"_"&amp;C567</f>
        <v/>
      </c>
      <c r="B567" s="8" t="n"/>
      <c r="C567" s="8" t="n"/>
      <c r="D567" s="8" t="n"/>
      <c r="E567" s="11" t="n"/>
      <c r="F567" s="11" t="n"/>
      <c r="G567" s="8" t="n"/>
      <c r="H567" s="8" t="n"/>
      <c r="I567" s="8" t="n"/>
      <c r="J567" s="8" t="n"/>
      <c r="K567" s="12">
        <f>IF(OR(ISERROR(VLOOKUP(C567, Resultados_Reales!$A$4:$I$107, 5, FALSE)), ISERROR(VLOOKUP(C567, Resultados_Reales!$A$4:$I$107, 6, FALSE)), VLOOKUP(C567, Resultados_Reales!$A$4:$I$107, 5, FALSE)="", VLOOKUP(C567, Resultados_Reales!$A$4:$I$107, 6, FALSE)=""), 0, IF(AND(VLOOKUP(C567, Resultados_Reales!$A$4:$I$107, 5, FALSE)=G567, VLOOKUP(C567, Resultados_Reales!$A$4:$I$107, 6, FALSE)=H567), Configuracion!$B$5, IF(SIGN(VLOOKUP(C567, Resultados_Reales!$A$4:$I$107, 5, FALSE)-VLOOKUP(C567, Resultados_Reales!$A$4:$I$107, 6, FALSE)) = SIGN(G567-H567), Configuracion!$B$4, 0)))</f>
        <v/>
      </c>
      <c r="L567" s="11" t="n"/>
      <c r="M567" s="11" t="n"/>
      <c r="N567" s="11" t="n"/>
      <c r="O567" s="11" t="n"/>
      <c r="P567" s="11" t="n"/>
      <c r="Q567" s="11" t="n"/>
    </row>
    <row r="568">
      <c r="A568" s="8">
        <f>B568&amp;"_"&amp;C568</f>
        <v/>
      </c>
      <c r="B568" s="8" t="n"/>
      <c r="C568" s="8" t="n"/>
      <c r="D568" s="8" t="n"/>
      <c r="E568" s="11" t="n"/>
      <c r="F568" s="11" t="n"/>
      <c r="G568" s="8" t="n"/>
      <c r="H568" s="8" t="n"/>
      <c r="I568" s="8" t="n"/>
      <c r="J568" s="8" t="n"/>
      <c r="K568" s="12">
        <f>IF(OR(ISERROR(VLOOKUP(C568, Resultados_Reales!$A$4:$I$107, 5, FALSE)), ISERROR(VLOOKUP(C568, Resultados_Reales!$A$4:$I$107, 6, FALSE)), VLOOKUP(C568, Resultados_Reales!$A$4:$I$107, 5, FALSE)="", VLOOKUP(C568, Resultados_Reales!$A$4:$I$107, 6, FALSE)=""), 0, IF(AND(VLOOKUP(C568, Resultados_Reales!$A$4:$I$107, 5, FALSE)=G568, VLOOKUP(C568, Resultados_Reales!$A$4:$I$107, 6, FALSE)=H568), Configuracion!$B$5, IF(SIGN(VLOOKUP(C568, Resultados_Reales!$A$4:$I$107, 5, FALSE)-VLOOKUP(C568, Resultados_Reales!$A$4:$I$107, 6, FALSE)) = SIGN(G568-H568), Configuracion!$B$4, 0)))</f>
        <v/>
      </c>
      <c r="L568" s="11" t="n"/>
      <c r="M568" s="11" t="n"/>
      <c r="N568" s="11" t="n"/>
      <c r="O568" s="11" t="n"/>
      <c r="P568" s="11" t="n"/>
      <c r="Q568" s="11" t="n"/>
    </row>
    <row r="569">
      <c r="A569" s="8">
        <f>B569&amp;"_"&amp;C569</f>
        <v/>
      </c>
      <c r="B569" s="8" t="n"/>
      <c r="C569" s="8" t="n"/>
      <c r="D569" s="8" t="n"/>
      <c r="E569" s="11" t="n"/>
      <c r="F569" s="11" t="n"/>
      <c r="G569" s="8" t="n"/>
      <c r="H569" s="8" t="n"/>
      <c r="I569" s="8" t="n"/>
      <c r="J569" s="8" t="n"/>
      <c r="K569" s="12">
        <f>IF(OR(ISERROR(VLOOKUP(C569, Resultados_Reales!$A$4:$I$107, 5, FALSE)), ISERROR(VLOOKUP(C569, Resultados_Reales!$A$4:$I$107, 6, FALSE)), VLOOKUP(C569, Resultados_Reales!$A$4:$I$107, 5, FALSE)="", VLOOKUP(C569, Resultados_Reales!$A$4:$I$107, 6, FALSE)=""), 0, IF(AND(VLOOKUP(C569, Resultados_Reales!$A$4:$I$107, 5, FALSE)=G569, VLOOKUP(C569, Resultados_Reales!$A$4:$I$107, 6, FALSE)=H569), Configuracion!$B$5, IF(SIGN(VLOOKUP(C569, Resultados_Reales!$A$4:$I$107, 5, FALSE)-VLOOKUP(C569, Resultados_Reales!$A$4:$I$107, 6, FALSE)) = SIGN(G569-H569), Configuracion!$B$4, 0)))</f>
        <v/>
      </c>
      <c r="L569" s="11" t="n"/>
      <c r="M569" s="11" t="n"/>
      <c r="N569" s="11" t="n"/>
      <c r="O569" s="11" t="n"/>
      <c r="P569" s="11" t="n"/>
      <c r="Q569" s="11" t="n"/>
    </row>
    <row r="570">
      <c r="A570" s="8">
        <f>B570&amp;"_"&amp;C570</f>
        <v/>
      </c>
      <c r="B570" s="8" t="n"/>
      <c r="C570" s="8" t="n"/>
      <c r="D570" s="8" t="n"/>
      <c r="E570" s="11" t="n"/>
      <c r="F570" s="11" t="n"/>
      <c r="G570" s="8" t="n"/>
      <c r="H570" s="8" t="n"/>
      <c r="I570" s="8" t="n"/>
      <c r="J570" s="8" t="n"/>
      <c r="K570" s="12">
        <f>IF(OR(ISERROR(VLOOKUP(C570, Resultados_Reales!$A$4:$I$107, 5, FALSE)), ISERROR(VLOOKUP(C570, Resultados_Reales!$A$4:$I$107, 6, FALSE)), VLOOKUP(C570, Resultados_Reales!$A$4:$I$107, 5, FALSE)="", VLOOKUP(C570, Resultados_Reales!$A$4:$I$107, 6, FALSE)=""), 0, IF(AND(VLOOKUP(C570, Resultados_Reales!$A$4:$I$107, 5, FALSE)=G570, VLOOKUP(C570, Resultados_Reales!$A$4:$I$107, 6, FALSE)=H570), Configuracion!$B$5, IF(SIGN(VLOOKUP(C570, Resultados_Reales!$A$4:$I$107, 5, FALSE)-VLOOKUP(C570, Resultados_Reales!$A$4:$I$107, 6, FALSE)) = SIGN(G570-H570), Configuracion!$B$4, 0)))</f>
        <v/>
      </c>
      <c r="L570" s="11" t="n"/>
      <c r="M570" s="11" t="n"/>
      <c r="N570" s="11" t="n"/>
      <c r="O570" s="11" t="n"/>
      <c r="P570" s="11" t="n"/>
      <c r="Q570" s="11" t="n"/>
    </row>
    <row r="571">
      <c r="A571" s="8">
        <f>B571&amp;"_"&amp;C571</f>
        <v/>
      </c>
      <c r="B571" s="8" t="n"/>
      <c r="C571" s="8" t="n"/>
      <c r="D571" s="8" t="n"/>
      <c r="E571" s="11" t="n"/>
      <c r="F571" s="11" t="n"/>
      <c r="G571" s="8" t="n"/>
      <c r="H571" s="8" t="n"/>
      <c r="I571" s="8" t="n"/>
      <c r="J571" s="8" t="n"/>
      <c r="K571" s="12">
        <f>IF(OR(ISERROR(VLOOKUP(C571, Resultados_Reales!$A$4:$I$107, 5, FALSE)), ISERROR(VLOOKUP(C571, Resultados_Reales!$A$4:$I$107, 6, FALSE)), VLOOKUP(C571, Resultados_Reales!$A$4:$I$107, 5, FALSE)="", VLOOKUP(C571, Resultados_Reales!$A$4:$I$107, 6, FALSE)=""), 0, IF(AND(VLOOKUP(C571, Resultados_Reales!$A$4:$I$107, 5, FALSE)=G571, VLOOKUP(C571, Resultados_Reales!$A$4:$I$107, 6, FALSE)=H571), Configuracion!$B$5, IF(SIGN(VLOOKUP(C571, Resultados_Reales!$A$4:$I$107, 5, FALSE)-VLOOKUP(C571, Resultados_Reales!$A$4:$I$107, 6, FALSE)) = SIGN(G571-H571), Configuracion!$B$4, 0)))</f>
        <v/>
      </c>
      <c r="L571" s="11" t="n"/>
      <c r="M571" s="11" t="n"/>
      <c r="N571" s="11" t="n"/>
      <c r="O571" s="11" t="n"/>
      <c r="P571" s="11" t="n"/>
      <c r="Q571" s="11" t="n"/>
    </row>
    <row r="572">
      <c r="A572" s="8">
        <f>B572&amp;"_"&amp;C572</f>
        <v/>
      </c>
      <c r="B572" s="8" t="n"/>
      <c r="C572" s="8" t="n"/>
      <c r="D572" s="8" t="n"/>
      <c r="E572" s="11" t="n"/>
      <c r="F572" s="11" t="n"/>
      <c r="G572" s="8" t="n"/>
      <c r="H572" s="8" t="n"/>
      <c r="I572" s="8" t="n"/>
      <c r="J572" s="8" t="n"/>
      <c r="K572" s="12">
        <f>IF(OR(ISERROR(VLOOKUP(C572, Resultados_Reales!$A$4:$I$107, 5, FALSE)), ISERROR(VLOOKUP(C572, Resultados_Reales!$A$4:$I$107, 6, FALSE)), VLOOKUP(C572, Resultados_Reales!$A$4:$I$107, 5, FALSE)="", VLOOKUP(C572, Resultados_Reales!$A$4:$I$107, 6, FALSE)=""), 0, IF(AND(VLOOKUP(C572, Resultados_Reales!$A$4:$I$107, 5, FALSE)=G572, VLOOKUP(C572, Resultados_Reales!$A$4:$I$107, 6, FALSE)=H572), Configuracion!$B$5, IF(SIGN(VLOOKUP(C572, Resultados_Reales!$A$4:$I$107, 5, FALSE)-VLOOKUP(C572, Resultados_Reales!$A$4:$I$107, 6, FALSE)) = SIGN(G572-H572), Configuracion!$B$4, 0)))</f>
        <v/>
      </c>
      <c r="L572" s="11" t="n"/>
      <c r="M572" s="11" t="n"/>
      <c r="N572" s="11" t="n"/>
      <c r="O572" s="11" t="n"/>
      <c r="P572" s="11" t="n"/>
      <c r="Q572" s="11" t="n"/>
    </row>
    <row r="573">
      <c r="A573" s="8">
        <f>B573&amp;"_"&amp;C573</f>
        <v/>
      </c>
      <c r="B573" s="8" t="n"/>
      <c r="C573" s="8" t="n"/>
      <c r="D573" s="8" t="n"/>
      <c r="E573" s="11" t="n"/>
      <c r="F573" s="11" t="n"/>
      <c r="G573" s="8" t="n"/>
      <c r="H573" s="8" t="n"/>
      <c r="I573" s="8" t="n"/>
      <c r="J573" s="8" t="n"/>
      <c r="K573" s="12">
        <f>IF(OR(ISERROR(VLOOKUP(C573, Resultados_Reales!$A$4:$I$107, 5, FALSE)), ISERROR(VLOOKUP(C573, Resultados_Reales!$A$4:$I$107, 6, FALSE)), VLOOKUP(C573, Resultados_Reales!$A$4:$I$107, 5, FALSE)="", VLOOKUP(C573, Resultados_Reales!$A$4:$I$107, 6, FALSE)=""), 0, IF(AND(VLOOKUP(C573, Resultados_Reales!$A$4:$I$107, 5, FALSE)=G573, VLOOKUP(C573, Resultados_Reales!$A$4:$I$107, 6, FALSE)=H573), Configuracion!$B$5, IF(SIGN(VLOOKUP(C573, Resultados_Reales!$A$4:$I$107, 5, FALSE)-VLOOKUP(C573, Resultados_Reales!$A$4:$I$107, 6, FALSE)) = SIGN(G573-H573), Configuracion!$B$4, 0)))</f>
        <v/>
      </c>
      <c r="L573" s="11" t="n"/>
      <c r="M573" s="11" t="n"/>
      <c r="N573" s="11" t="n"/>
      <c r="O573" s="11" t="n"/>
      <c r="P573" s="11" t="n"/>
      <c r="Q573" s="11" t="n"/>
    </row>
    <row r="574">
      <c r="A574" s="8">
        <f>B574&amp;"_"&amp;C574</f>
        <v/>
      </c>
      <c r="B574" s="8" t="n"/>
      <c r="C574" s="8" t="n"/>
      <c r="D574" s="8" t="n"/>
      <c r="E574" s="11" t="n"/>
      <c r="F574" s="11" t="n"/>
      <c r="G574" s="8" t="n"/>
      <c r="H574" s="8" t="n"/>
      <c r="I574" s="8" t="n"/>
      <c r="J574" s="8" t="n"/>
      <c r="K574" s="12">
        <f>IF(OR(ISERROR(VLOOKUP(C574, Resultados_Reales!$A$4:$I$107, 5, FALSE)), ISERROR(VLOOKUP(C574, Resultados_Reales!$A$4:$I$107, 6, FALSE)), VLOOKUP(C574, Resultados_Reales!$A$4:$I$107, 5, FALSE)="", VLOOKUP(C574, Resultados_Reales!$A$4:$I$107, 6, FALSE)=""), 0, IF(AND(VLOOKUP(C574, Resultados_Reales!$A$4:$I$107, 5, FALSE)=G574, VLOOKUP(C574, Resultados_Reales!$A$4:$I$107, 6, FALSE)=H574), Configuracion!$B$5, IF(SIGN(VLOOKUP(C574, Resultados_Reales!$A$4:$I$107, 5, FALSE)-VLOOKUP(C574, Resultados_Reales!$A$4:$I$107, 6, FALSE)) = SIGN(G574-H574), Configuracion!$B$4, 0)))</f>
        <v/>
      </c>
      <c r="L574" s="11" t="n"/>
      <c r="M574" s="11" t="n"/>
      <c r="N574" s="11" t="n"/>
      <c r="O574" s="11" t="n"/>
      <c r="P574" s="11" t="n"/>
      <c r="Q574" s="11" t="n"/>
    </row>
    <row r="575">
      <c r="A575" s="8">
        <f>B575&amp;"_"&amp;C575</f>
        <v/>
      </c>
      <c r="B575" s="8" t="n"/>
      <c r="C575" s="8" t="n"/>
      <c r="D575" s="8" t="n"/>
      <c r="E575" s="11" t="n"/>
      <c r="F575" s="11" t="n"/>
      <c r="G575" s="8" t="n"/>
      <c r="H575" s="8" t="n"/>
      <c r="I575" s="8" t="n"/>
      <c r="J575" s="8" t="n"/>
      <c r="K575" s="12">
        <f>IF(OR(ISERROR(VLOOKUP(C575, Resultados_Reales!$A$4:$I$107, 5, FALSE)), ISERROR(VLOOKUP(C575, Resultados_Reales!$A$4:$I$107, 6, FALSE)), VLOOKUP(C575, Resultados_Reales!$A$4:$I$107, 5, FALSE)="", VLOOKUP(C575, Resultados_Reales!$A$4:$I$107, 6, FALSE)=""), 0, IF(AND(VLOOKUP(C575, Resultados_Reales!$A$4:$I$107, 5, FALSE)=G575, VLOOKUP(C575, Resultados_Reales!$A$4:$I$107, 6, FALSE)=H575), Configuracion!$B$5, IF(SIGN(VLOOKUP(C575, Resultados_Reales!$A$4:$I$107, 5, FALSE)-VLOOKUP(C575, Resultados_Reales!$A$4:$I$107, 6, FALSE)) = SIGN(G575-H575), Configuracion!$B$4, 0)))</f>
        <v/>
      </c>
      <c r="L575" s="11" t="n"/>
      <c r="M575" s="11" t="n"/>
      <c r="N575" s="11" t="n"/>
      <c r="O575" s="11" t="n"/>
      <c r="P575" s="11" t="n"/>
      <c r="Q575" s="11" t="n"/>
    </row>
    <row r="576">
      <c r="A576" s="8">
        <f>B576&amp;"_"&amp;C576</f>
        <v/>
      </c>
      <c r="B576" s="8" t="n"/>
      <c r="C576" s="8" t="n"/>
      <c r="D576" s="8" t="n"/>
      <c r="E576" s="11" t="n"/>
      <c r="F576" s="11" t="n"/>
      <c r="G576" s="8" t="n"/>
      <c r="H576" s="8" t="n"/>
      <c r="I576" s="8" t="n"/>
      <c r="J576" s="8" t="n"/>
      <c r="K576" s="12">
        <f>IF(OR(ISERROR(VLOOKUP(C576, Resultados_Reales!$A$4:$I$107, 5, FALSE)), ISERROR(VLOOKUP(C576, Resultados_Reales!$A$4:$I$107, 6, FALSE)), VLOOKUP(C576, Resultados_Reales!$A$4:$I$107, 5, FALSE)="", VLOOKUP(C576, Resultados_Reales!$A$4:$I$107, 6, FALSE)=""), 0, IF(AND(VLOOKUP(C576, Resultados_Reales!$A$4:$I$107, 5, FALSE)=G576, VLOOKUP(C576, Resultados_Reales!$A$4:$I$107, 6, FALSE)=H576), Configuracion!$B$5, IF(SIGN(VLOOKUP(C576, Resultados_Reales!$A$4:$I$107, 5, FALSE)-VLOOKUP(C576, Resultados_Reales!$A$4:$I$107, 6, FALSE)) = SIGN(G576-H576), Configuracion!$B$4, 0)))</f>
        <v/>
      </c>
      <c r="L576" s="11" t="n"/>
      <c r="M576" s="11" t="n"/>
      <c r="N576" s="11" t="n"/>
      <c r="O576" s="11" t="n"/>
      <c r="P576" s="11" t="n"/>
      <c r="Q576" s="11" t="n"/>
    </row>
    <row r="577">
      <c r="A577" s="8">
        <f>B577&amp;"_"&amp;C577</f>
        <v/>
      </c>
      <c r="B577" s="8" t="n"/>
      <c r="C577" s="8" t="n"/>
      <c r="D577" s="8" t="n"/>
      <c r="E577" s="11" t="n"/>
      <c r="F577" s="11" t="n"/>
      <c r="G577" s="8" t="n"/>
      <c r="H577" s="8" t="n"/>
      <c r="I577" s="8" t="n"/>
      <c r="J577" s="8" t="n"/>
      <c r="K577" s="12">
        <f>IF(OR(ISERROR(VLOOKUP(C577, Resultados_Reales!$A$4:$I$107, 5, FALSE)), ISERROR(VLOOKUP(C577, Resultados_Reales!$A$4:$I$107, 6, FALSE)), VLOOKUP(C577, Resultados_Reales!$A$4:$I$107, 5, FALSE)="", VLOOKUP(C577, Resultados_Reales!$A$4:$I$107, 6, FALSE)=""), 0, IF(AND(VLOOKUP(C577, Resultados_Reales!$A$4:$I$107, 5, FALSE)=G577, VLOOKUP(C577, Resultados_Reales!$A$4:$I$107, 6, FALSE)=H577), Configuracion!$B$5, IF(SIGN(VLOOKUP(C577, Resultados_Reales!$A$4:$I$107, 5, FALSE)-VLOOKUP(C577, Resultados_Reales!$A$4:$I$107, 6, FALSE)) = SIGN(G577-H577), Configuracion!$B$4, 0)))</f>
        <v/>
      </c>
      <c r="L577" s="11" t="n"/>
      <c r="M577" s="11" t="n"/>
      <c r="N577" s="11" t="n"/>
      <c r="O577" s="11" t="n"/>
      <c r="P577" s="11" t="n"/>
      <c r="Q577" s="11" t="n"/>
    </row>
    <row r="578">
      <c r="A578" s="8">
        <f>B578&amp;"_"&amp;C578</f>
        <v/>
      </c>
      <c r="B578" s="8" t="n"/>
      <c r="C578" s="8" t="n"/>
      <c r="D578" s="8" t="n"/>
      <c r="E578" s="11" t="n"/>
      <c r="F578" s="11" t="n"/>
      <c r="G578" s="8" t="n"/>
      <c r="H578" s="8" t="n"/>
      <c r="I578" s="8" t="n"/>
      <c r="J578" s="8" t="n"/>
      <c r="K578" s="12">
        <f>IF(OR(ISERROR(VLOOKUP(C578, Resultados_Reales!$A$4:$I$107, 5, FALSE)), ISERROR(VLOOKUP(C578, Resultados_Reales!$A$4:$I$107, 6, FALSE)), VLOOKUP(C578, Resultados_Reales!$A$4:$I$107, 5, FALSE)="", VLOOKUP(C578, Resultados_Reales!$A$4:$I$107, 6, FALSE)=""), 0, IF(AND(VLOOKUP(C578, Resultados_Reales!$A$4:$I$107, 5, FALSE)=G578, VLOOKUP(C578, Resultados_Reales!$A$4:$I$107, 6, FALSE)=H578), Configuracion!$B$5, IF(SIGN(VLOOKUP(C578, Resultados_Reales!$A$4:$I$107, 5, FALSE)-VLOOKUP(C578, Resultados_Reales!$A$4:$I$107, 6, FALSE)) = SIGN(G578-H578), Configuracion!$B$4, 0)))</f>
        <v/>
      </c>
      <c r="L578" s="11" t="n"/>
      <c r="M578" s="11" t="n"/>
      <c r="N578" s="11" t="n"/>
      <c r="O578" s="11" t="n"/>
      <c r="P578" s="11" t="n"/>
      <c r="Q578" s="11" t="n"/>
    </row>
    <row r="579">
      <c r="A579" s="8">
        <f>B579&amp;"_"&amp;C579</f>
        <v/>
      </c>
      <c r="B579" s="8" t="n"/>
      <c r="C579" s="8" t="n"/>
      <c r="D579" s="8" t="n"/>
      <c r="E579" s="11" t="n"/>
      <c r="F579" s="11" t="n"/>
      <c r="G579" s="8" t="n"/>
      <c r="H579" s="8" t="n"/>
      <c r="I579" s="8" t="n"/>
      <c r="J579" s="8" t="n"/>
      <c r="K579" s="12">
        <f>IF(OR(ISERROR(VLOOKUP(C579, Resultados_Reales!$A$4:$I$107, 5, FALSE)), ISERROR(VLOOKUP(C579, Resultados_Reales!$A$4:$I$107, 6, FALSE)), VLOOKUP(C579, Resultados_Reales!$A$4:$I$107, 5, FALSE)="", VLOOKUP(C579, Resultados_Reales!$A$4:$I$107, 6, FALSE)=""), 0, IF(AND(VLOOKUP(C579, Resultados_Reales!$A$4:$I$107, 5, FALSE)=G579, VLOOKUP(C579, Resultados_Reales!$A$4:$I$107, 6, FALSE)=H579), Configuracion!$B$5, IF(SIGN(VLOOKUP(C579, Resultados_Reales!$A$4:$I$107, 5, FALSE)-VLOOKUP(C579, Resultados_Reales!$A$4:$I$107, 6, FALSE)) = SIGN(G579-H579), Configuracion!$B$4, 0)))</f>
        <v/>
      </c>
      <c r="L579" s="11" t="n"/>
      <c r="M579" s="11" t="n"/>
      <c r="N579" s="11" t="n"/>
      <c r="O579" s="11" t="n"/>
      <c r="P579" s="11" t="n"/>
      <c r="Q579" s="11" t="n"/>
    </row>
    <row r="580">
      <c r="A580" s="8">
        <f>B580&amp;"_"&amp;C580</f>
        <v/>
      </c>
      <c r="B580" s="8" t="n"/>
      <c r="C580" s="8" t="n"/>
      <c r="D580" s="8" t="n"/>
      <c r="E580" s="11" t="n"/>
      <c r="F580" s="11" t="n"/>
      <c r="G580" s="8" t="n"/>
      <c r="H580" s="8" t="n"/>
      <c r="I580" s="8" t="n"/>
      <c r="J580" s="8" t="n"/>
      <c r="K580" s="12">
        <f>IF(OR(ISERROR(VLOOKUP(C580, Resultados_Reales!$A$4:$I$107, 5, FALSE)), ISERROR(VLOOKUP(C580, Resultados_Reales!$A$4:$I$107, 6, FALSE)), VLOOKUP(C580, Resultados_Reales!$A$4:$I$107, 5, FALSE)="", VLOOKUP(C580, Resultados_Reales!$A$4:$I$107, 6, FALSE)=""), 0, IF(AND(VLOOKUP(C580, Resultados_Reales!$A$4:$I$107, 5, FALSE)=G580, VLOOKUP(C580, Resultados_Reales!$A$4:$I$107, 6, FALSE)=H580), Configuracion!$B$5, IF(SIGN(VLOOKUP(C580, Resultados_Reales!$A$4:$I$107, 5, FALSE)-VLOOKUP(C580, Resultados_Reales!$A$4:$I$107, 6, FALSE)) = SIGN(G580-H580), Configuracion!$B$4, 0)))</f>
        <v/>
      </c>
      <c r="L580" s="11" t="n"/>
      <c r="M580" s="11" t="n"/>
      <c r="N580" s="11" t="n"/>
      <c r="O580" s="11" t="n"/>
      <c r="P580" s="11" t="n"/>
      <c r="Q580" s="11" t="n"/>
    </row>
    <row r="581">
      <c r="A581" s="8">
        <f>B581&amp;"_"&amp;C581</f>
        <v/>
      </c>
      <c r="B581" s="8" t="n"/>
      <c r="C581" s="8" t="n"/>
      <c r="D581" s="8" t="n"/>
      <c r="E581" s="11" t="n"/>
      <c r="F581" s="11" t="n"/>
      <c r="G581" s="8" t="n"/>
      <c r="H581" s="8" t="n"/>
      <c r="I581" s="8" t="n"/>
      <c r="J581" s="8" t="n"/>
      <c r="K581" s="12">
        <f>IF(OR(ISERROR(VLOOKUP(C581, Resultados_Reales!$A$4:$I$107, 5, FALSE)), ISERROR(VLOOKUP(C581, Resultados_Reales!$A$4:$I$107, 6, FALSE)), VLOOKUP(C581, Resultados_Reales!$A$4:$I$107, 5, FALSE)="", VLOOKUP(C581, Resultados_Reales!$A$4:$I$107, 6, FALSE)=""), 0, IF(AND(VLOOKUP(C581, Resultados_Reales!$A$4:$I$107, 5, FALSE)=G581, VLOOKUP(C581, Resultados_Reales!$A$4:$I$107, 6, FALSE)=H581), Configuracion!$B$5, IF(SIGN(VLOOKUP(C581, Resultados_Reales!$A$4:$I$107, 5, FALSE)-VLOOKUP(C581, Resultados_Reales!$A$4:$I$107, 6, FALSE)) = SIGN(G581-H581), Configuracion!$B$4, 0)))</f>
        <v/>
      </c>
      <c r="L581" s="11" t="n"/>
      <c r="M581" s="11" t="n"/>
      <c r="N581" s="11" t="n"/>
      <c r="O581" s="11" t="n"/>
      <c r="P581" s="11" t="n"/>
      <c r="Q581" s="11" t="n"/>
    </row>
    <row r="582">
      <c r="A582" s="8">
        <f>B582&amp;"_"&amp;C582</f>
        <v/>
      </c>
      <c r="B582" s="8" t="n"/>
      <c r="C582" s="8" t="n"/>
      <c r="D582" s="8" t="n"/>
      <c r="E582" s="11" t="n"/>
      <c r="F582" s="11" t="n"/>
      <c r="G582" s="8" t="n"/>
      <c r="H582" s="8" t="n"/>
      <c r="I582" s="8" t="n"/>
      <c r="J582" s="8" t="n"/>
      <c r="K582" s="12">
        <f>IF(OR(ISERROR(VLOOKUP(C582, Resultados_Reales!$A$4:$I$107, 5, FALSE)), ISERROR(VLOOKUP(C582, Resultados_Reales!$A$4:$I$107, 6, FALSE)), VLOOKUP(C582, Resultados_Reales!$A$4:$I$107, 5, FALSE)="", VLOOKUP(C582, Resultados_Reales!$A$4:$I$107, 6, FALSE)=""), 0, IF(AND(VLOOKUP(C582, Resultados_Reales!$A$4:$I$107, 5, FALSE)=G582, VLOOKUP(C582, Resultados_Reales!$A$4:$I$107, 6, FALSE)=H582), Configuracion!$B$5, IF(SIGN(VLOOKUP(C582, Resultados_Reales!$A$4:$I$107, 5, FALSE)-VLOOKUP(C582, Resultados_Reales!$A$4:$I$107, 6, FALSE)) = SIGN(G582-H582), Configuracion!$B$4, 0)))</f>
        <v/>
      </c>
      <c r="L582" s="11" t="n"/>
      <c r="M582" s="11" t="n"/>
      <c r="N582" s="11" t="n"/>
      <c r="O582" s="11" t="n"/>
      <c r="P582" s="11" t="n"/>
      <c r="Q582" s="11" t="n"/>
    </row>
    <row r="583">
      <c r="A583" s="8">
        <f>B583&amp;"_"&amp;C583</f>
        <v/>
      </c>
      <c r="B583" s="8" t="n"/>
      <c r="C583" s="8" t="n"/>
      <c r="D583" s="8" t="n"/>
      <c r="E583" s="11" t="n"/>
      <c r="F583" s="11" t="n"/>
      <c r="G583" s="8" t="n"/>
      <c r="H583" s="8" t="n"/>
      <c r="I583" s="8" t="n"/>
      <c r="J583" s="8" t="n"/>
      <c r="K583" s="12">
        <f>IF(OR(ISERROR(VLOOKUP(C583, Resultados_Reales!$A$4:$I$107, 5, FALSE)), ISERROR(VLOOKUP(C583, Resultados_Reales!$A$4:$I$107, 6, FALSE)), VLOOKUP(C583, Resultados_Reales!$A$4:$I$107, 5, FALSE)="", VLOOKUP(C583, Resultados_Reales!$A$4:$I$107, 6, FALSE)=""), 0, IF(AND(VLOOKUP(C583, Resultados_Reales!$A$4:$I$107, 5, FALSE)=G583, VLOOKUP(C583, Resultados_Reales!$A$4:$I$107, 6, FALSE)=H583), Configuracion!$B$5, IF(SIGN(VLOOKUP(C583, Resultados_Reales!$A$4:$I$107, 5, FALSE)-VLOOKUP(C583, Resultados_Reales!$A$4:$I$107, 6, FALSE)) = SIGN(G583-H583), Configuracion!$B$4, 0)))</f>
        <v/>
      </c>
      <c r="L583" s="11" t="n"/>
      <c r="M583" s="11" t="n"/>
      <c r="N583" s="11" t="n"/>
      <c r="O583" s="11" t="n"/>
      <c r="P583" s="11" t="n"/>
      <c r="Q583" s="11" t="n"/>
    </row>
    <row r="584">
      <c r="A584" s="8">
        <f>B584&amp;"_"&amp;C584</f>
        <v/>
      </c>
      <c r="B584" s="8" t="n"/>
      <c r="C584" s="8" t="n"/>
      <c r="D584" s="8" t="n"/>
      <c r="E584" s="11" t="n"/>
      <c r="F584" s="11" t="n"/>
      <c r="G584" s="8" t="n"/>
      <c r="H584" s="8" t="n"/>
      <c r="I584" s="8" t="n"/>
      <c r="J584" s="8" t="n"/>
      <c r="K584" s="12">
        <f>IF(OR(ISERROR(VLOOKUP(C584, Resultados_Reales!$A$4:$I$107, 5, FALSE)), ISERROR(VLOOKUP(C584, Resultados_Reales!$A$4:$I$107, 6, FALSE)), VLOOKUP(C584, Resultados_Reales!$A$4:$I$107, 5, FALSE)="", VLOOKUP(C584, Resultados_Reales!$A$4:$I$107, 6, FALSE)=""), 0, IF(AND(VLOOKUP(C584, Resultados_Reales!$A$4:$I$107, 5, FALSE)=G584, VLOOKUP(C584, Resultados_Reales!$A$4:$I$107, 6, FALSE)=H584), Configuracion!$B$5, IF(SIGN(VLOOKUP(C584, Resultados_Reales!$A$4:$I$107, 5, FALSE)-VLOOKUP(C584, Resultados_Reales!$A$4:$I$107, 6, FALSE)) = SIGN(G584-H584), Configuracion!$B$4, 0)))</f>
        <v/>
      </c>
      <c r="L584" s="11" t="n"/>
      <c r="M584" s="11" t="n"/>
      <c r="N584" s="11" t="n"/>
      <c r="O584" s="11" t="n"/>
      <c r="P584" s="11" t="n"/>
      <c r="Q584" s="11" t="n"/>
    </row>
    <row r="585">
      <c r="A585" s="8">
        <f>B585&amp;"_"&amp;C585</f>
        <v/>
      </c>
      <c r="B585" s="8" t="n"/>
      <c r="C585" s="8" t="n"/>
      <c r="D585" s="8" t="n"/>
      <c r="E585" s="11" t="n"/>
      <c r="F585" s="11" t="n"/>
      <c r="G585" s="8" t="n"/>
      <c r="H585" s="8" t="n"/>
      <c r="I585" s="8" t="n"/>
      <c r="J585" s="8" t="n"/>
      <c r="K585" s="12">
        <f>IF(OR(ISERROR(VLOOKUP(C585, Resultados_Reales!$A$4:$I$107, 5, FALSE)), ISERROR(VLOOKUP(C585, Resultados_Reales!$A$4:$I$107, 6, FALSE)), VLOOKUP(C585, Resultados_Reales!$A$4:$I$107, 5, FALSE)="", VLOOKUP(C585, Resultados_Reales!$A$4:$I$107, 6, FALSE)=""), 0, IF(AND(VLOOKUP(C585, Resultados_Reales!$A$4:$I$107, 5, FALSE)=G585, VLOOKUP(C585, Resultados_Reales!$A$4:$I$107, 6, FALSE)=H585), Configuracion!$B$5, IF(SIGN(VLOOKUP(C585, Resultados_Reales!$A$4:$I$107, 5, FALSE)-VLOOKUP(C585, Resultados_Reales!$A$4:$I$107, 6, FALSE)) = SIGN(G585-H585), Configuracion!$B$4, 0)))</f>
        <v/>
      </c>
      <c r="L585" s="11" t="n"/>
      <c r="M585" s="11" t="n"/>
      <c r="N585" s="11" t="n"/>
      <c r="O585" s="11" t="n"/>
      <c r="P585" s="11" t="n"/>
      <c r="Q585" s="11" t="n"/>
    </row>
    <row r="586">
      <c r="A586" s="8">
        <f>B586&amp;"_"&amp;C586</f>
        <v/>
      </c>
      <c r="B586" s="8" t="n"/>
      <c r="C586" s="8" t="n"/>
      <c r="D586" s="8" t="n"/>
      <c r="E586" s="11" t="n"/>
      <c r="F586" s="11" t="n"/>
      <c r="G586" s="8" t="n"/>
      <c r="H586" s="8" t="n"/>
      <c r="I586" s="8" t="n"/>
      <c r="J586" s="8" t="n"/>
      <c r="K586" s="12">
        <f>IF(OR(ISERROR(VLOOKUP(C586, Resultados_Reales!$A$4:$I$107, 5, FALSE)), ISERROR(VLOOKUP(C586, Resultados_Reales!$A$4:$I$107, 6, FALSE)), VLOOKUP(C586, Resultados_Reales!$A$4:$I$107, 5, FALSE)="", VLOOKUP(C586, Resultados_Reales!$A$4:$I$107, 6, FALSE)=""), 0, IF(AND(VLOOKUP(C586, Resultados_Reales!$A$4:$I$107, 5, FALSE)=G586, VLOOKUP(C586, Resultados_Reales!$A$4:$I$107, 6, FALSE)=H586), Configuracion!$B$5, IF(SIGN(VLOOKUP(C586, Resultados_Reales!$A$4:$I$107, 5, FALSE)-VLOOKUP(C586, Resultados_Reales!$A$4:$I$107, 6, FALSE)) = SIGN(G586-H586), Configuracion!$B$4, 0)))</f>
        <v/>
      </c>
      <c r="L586" s="11" t="n"/>
      <c r="M586" s="11" t="n"/>
      <c r="N586" s="11" t="n"/>
      <c r="O586" s="11" t="n"/>
      <c r="P586" s="11" t="n"/>
      <c r="Q586" s="11" t="n"/>
    </row>
    <row r="587">
      <c r="A587" s="8">
        <f>B587&amp;"_"&amp;C587</f>
        <v/>
      </c>
      <c r="B587" s="8" t="n"/>
      <c r="C587" s="8" t="n"/>
      <c r="D587" s="8" t="n"/>
      <c r="E587" s="11" t="n"/>
      <c r="F587" s="11" t="n"/>
      <c r="G587" s="8" t="n"/>
      <c r="H587" s="8" t="n"/>
      <c r="I587" s="8" t="n"/>
      <c r="J587" s="8" t="n"/>
      <c r="K587" s="12">
        <f>IF(OR(ISERROR(VLOOKUP(C587, Resultados_Reales!$A$4:$I$107, 5, FALSE)), ISERROR(VLOOKUP(C587, Resultados_Reales!$A$4:$I$107, 6, FALSE)), VLOOKUP(C587, Resultados_Reales!$A$4:$I$107, 5, FALSE)="", VLOOKUP(C587, Resultados_Reales!$A$4:$I$107, 6, FALSE)=""), 0, IF(AND(VLOOKUP(C587, Resultados_Reales!$A$4:$I$107, 5, FALSE)=G587, VLOOKUP(C587, Resultados_Reales!$A$4:$I$107, 6, FALSE)=H587), Configuracion!$B$5, IF(SIGN(VLOOKUP(C587, Resultados_Reales!$A$4:$I$107, 5, FALSE)-VLOOKUP(C587, Resultados_Reales!$A$4:$I$107, 6, FALSE)) = SIGN(G587-H587), Configuracion!$B$4, 0)))</f>
        <v/>
      </c>
      <c r="L587" s="11" t="n"/>
      <c r="M587" s="11" t="n"/>
      <c r="N587" s="11" t="n"/>
      <c r="O587" s="11" t="n"/>
      <c r="P587" s="11" t="n"/>
      <c r="Q587" s="11" t="n"/>
    </row>
    <row r="588">
      <c r="A588" s="8">
        <f>B588&amp;"_"&amp;C588</f>
        <v/>
      </c>
      <c r="B588" s="8" t="n"/>
      <c r="C588" s="8" t="n"/>
      <c r="D588" s="8" t="n"/>
      <c r="E588" s="11" t="n"/>
      <c r="F588" s="11" t="n"/>
      <c r="G588" s="8" t="n"/>
      <c r="H588" s="8" t="n"/>
      <c r="I588" s="8" t="n"/>
      <c r="J588" s="8" t="n"/>
      <c r="K588" s="12">
        <f>IF(OR(ISERROR(VLOOKUP(C588, Resultados_Reales!$A$4:$I$107, 5, FALSE)), ISERROR(VLOOKUP(C588, Resultados_Reales!$A$4:$I$107, 6, FALSE)), VLOOKUP(C588, Resultados_Reales!$A$4:$I$107, 5, FALSE)="", VLOOKUP(C588, Resultados_Reales!$A$4:$I$107, 6, FALSE)=""), 0, IF(AND(VLOOKUP(C588, Resultados_Reales!$A$4:$I$107, 5, FALSE)=G588, VLOOKUP(C588, Resultados_Reales!$A$4:$I$107, 6, FALSE)=H588), Configuracion!$B$5, IF(SIGN(VLOOKUP(C588, Resultados_Reales!$A$4:$I$107, 5, FALSE)-VLOOKUP(C588, Resultados_Reales!$A$4:$I$107, 6, FALSE)) = SIGN(G588-H588), Configuracion!$B$4, 0)))</f>
        <v/>
      </c>
      <c r="L588" s="11" t="n"/>
      <c r="M588" s="11" t="n"/>
      <c r="N588" s="11" t="n"/>
      <c r="O588" s="11" t="n"/>
      <c r="P588" s="11" t="n"/>
      <c r="Q588" s="11" t="n"/>
    </row>
    <row r="589">
      <c r="A589" s="8">
        <f>B589&amp;"_"&amp;C589</f>
        <v/>
      </c>
      <c r="B589" s="8" t="n"/>
      <c r="C589" s="8" t="n"/>
      <c r="D589" s="8" t="n"/>
      <c r="E589" s="11" t="n"/>
      <c r="F589" s="11" t="n"/>
      <c r="G589" s="8" t="n"/>
      <c r="H589" s="8" t="n"/>
      <c r="I589" s="8" t="n"/>
      <c r="J589" s="8" t="n"/>
      <c r="K589" s="12">
        <f>IF(OR(ISERROR(VLOOKUP(C589, Resultados_Reales!$A$4:$I$107, 5, FALSE)), ISERROR(VLOOKUP(C589, Resultados_Reales!$A$4:$I$107, 6, FALSE)), VLOOKUP(C589, Resultados_Reales!$A$4:$I$107, 5, FALSE)="", VLOOKUP(C589, Resultados_Reales!$A$4:$I$107, 6, FALSE)=""), 0, IF(AND(VLOOKUP(C589, Resultados_Reales!$A$4:$I$107, 5, FALSE)=G589, VLOOKUP(C589, Resultados_Reales!$A$4:$I$107, 6, FALSE)=H589), Configuracion!$B$5, IF(SIGN(VLOOKUP(C589, Resultados_Reales!$A$4:$I$107, 5, FALSE)-VLOOKUP(C589, Resultados_Reales!$A$4:$I$107, 6, FALSE)) = SIGN(G589-H589), Configuracion!$B$4, 0)))</f>
        <v/>
      </c>
      <c r="L589" s="11" t="n"/>
      <c r="M589" s="11" t="n"/>
      <c r="N589" s="11" t="n"/>
      <c r="O589" s="11" t="n"/>
      <c r="P589" s="11" t="n"/>
      <c r="Q589" s="11" t="n"/>
    </row>
    <row r="590">
      <c r="A590" s="8">
        <f>B590&amp;"_"&amp;C590</f>
        <v/>
      </c>
      <c r="B590" s="8" t="n"/>
      <c r="C590" s="8" t="n"/>
      <c r="D590" s="8" t="n"/>
      <c r="E590" s="11" t="n"/>
      <c r="F590" s="11" t="n"/>
      <c r="G590" s="8" t="n"/>
      <c r="H590" s="8" t="n"/>
      <c r="I590" s="8" t="n"/>
      <c r="J590" s="8" t="n"/>
      <c r="K590" s="12">
        <f>IF(OR(ISERROR(VLOOKUP(C590, Resultados_Reales!$A$4:$I$107, 5, FALSE)), ISERROR(VLOOKUP(C590, Resultados_Reales!$A$4:$I$107, 6, FALSE)), VLOOKUP(C590, Resultados_Reales!$A$4:$I$107, 5, FALSE)="", VLOOKUP(C590, Resultados_Reales!$A$4:$I$107, 6, FALSE)=""), 0, IF(AND(VLOOKUP(C590, Resultados_Reales!$A$4:$I$107, 5, FALSE)=G590, VLOOKUP(C590, Resultados_Reales!$A$4:$I$107, 6, FALSE)=H590), Configuracion!$B$5, IF(SIGN(VLOOKUP(C590, Resultados_Reales!$A$4:$I$107, 5, FALSE)-VLOOKUP(C590, Resultados_Reales!$A$4:$I$107, 6, FALSE)) = SIGN(G590-H590), Configuracion!$B$4, 0)))</f>
        <v/>
      </c>
      <c r="L590" s="11" t="n"/>
      <c r="M590" s="11" t="n"/>
      <c r="N590" s="11" t="n"/>
      <c r="O590" s="11" t="n"/>
      <c r="P590" s="11" t="n"/>
      <c r="Q590" s="11" t="n"/>
    </row>
    <row r="591">
      <c r="A591" s="8">
        <f>B591&amp;"_"&amp;C591</f>
        <v/>
      </c>
      <c r="B591" s="8" t="n"/>
      <c r="C591" s="8" t="n"/>
      <c r="D591" s="8" t="n"/>
      <c r="E591" s="11" t="n"/>
      <c r="F591" s="11" t="n"/>
      <c r="G591" s="8" t="n"/>
      <c r="H591" s="8" t="n"/>
      <c r="I591" s="8" t="n"/>
      <c r="J591" s="8" t="n"/>
      <c r="K591" s="12">
        <f>IF(OR(ISERROR(VLOOKUP(C591, Resultados_Reales!$A$4:$I$107, 5, FALSE)), ISERROR(VLOOKUP(C591, Resultados_Reales!$A$4:$I$107, 6, FALSE)), VLOOKUP(C591, Resultados_Reales!$A$4:$I$107, 5, FALSE)="", VLOOKUP(C591, Resultados_Reales!$A$4:$I$107, 6, FALSE)=""), 0, IF(AND(VLOOKUP(C591, Resultados_Reales!$A$4:$I$107, 5, FALSE)=G591, VLOOKUP(C591, Resultados_Reales!$A$4:$I$107, 6, FALSE)=H591), Configuracion!$B$5, IF(SIGN(VLOOKUP(C591, Resultados_Reales!$A$4:$I$107, 5, FALSE)-VLOOKUP(C591, Resultados_Reales!$A$4:$I$107, 6, FALSE)) = SIGN(G591-H591), Configuracion!$B$4, 0)))</f>
        <v/>
      </c>
      <c r="L591" s="11" t="n"/>
      <c r="M591" s="11" t="n"/>
      <c r="N591" s="11" t="n"/>
      <c r="O591" s="11" t="n"/>
      <c r="P591" s="11" t="n"/>
      <c r="Q591" s="11" t="n"/>
    </row>
    <row r="592">
      <c r="A592" s="8">
        <f>B592&amp;"_"&amp;C592</f>
        <v/>
      </c>
      <c r="B592" s="8" t="n"/>
      <c r="C592" s="8" t="n"/>
      <c r="D592" s="8" t="n"/>
      <c r="E592" s="11" t="n"/>
      <c r="F592" s="11" t="n"/>
      <c r="G592" s="8" t="n"/>
      <c r="H592" s="8" t="n"/>
      <c r="I592" s="8" t="n"/>
      <c r="J592" s="8" t="n"/>
      <c r="K592" s="12">
        <f>IF(OR(ISERROR(VLOOKUP(C592, Resultados_Reales!$A$4:$I$107, 5, FALSE)), ISERROR(VLOOKUP(C592, Resultados_Reales!$A$4:$I$107, 6, FALSE)), VLOOKUP(C592, Resultados_Reales!$A$4:$I$107, 5, FALSE)="", VLOOKUP(C592, Resultados_Reales!$A$4:$I$107, 6, FALSE)=""), 0, IF(AND(VLOOKUP(C592, Resultados_Reales!$A$4:$I$107, 5, FALSE)=G592, VLOOKUP(C592, Resultados_Reales!$A$4:$I$107, 6, FALSE)=H592), Configuracion!$B$5, IF(SIGN(VLOOKUP(C592, Resultados_Reales!$A$4:$I$107, 5, FALSE)-VLOOKUP(C592, Resultados_Reales!$A$4:$I$107, 6, FALSE)) = SIGN(G592-H592), Configuracion!$B$4, 0)))</f>
        <v/>
      </c>
      <c r="L592" s="11" t="n"/>
      <c r="M592" s="11" t="n"/>
      <c r="N592" s="11" t="n"/>
      <c r="O592" s="11" t="n"/>
      <c r="P592" s="11" t="n"/>
      <c r="Q592" s="11" t="n"/>
    </row>
    <row r="593">
      <c r="A593" s="8">
        <f>B593&amp;"_"&amp;C593</f>
        <v/>
      </c>
      <c r="B593" s="8" t="n"/>
      <c r="C593" s="8" t="n"/>
      <c r="D593" s="8" t="n"/>
      <c r="E593" s="11" t="n"/>
      <c r="F593" s="11" t="n"/>
      <c r="G593" s="8" t="n"/>
      <c r="H593" s="8" t="n"/>
      <c r="I593" s="8" t="n"/>
      <c r="J593" s="8" t="n"/>
      <c r="K593" s="12">
        <f>IF(OR(ISERROR(VLOOKUP(C593, Resultados_Reales!$A$4:$I$107, 5, FALSE)), ISERROR(VLOOKUP(C593, Resultados_Reales!$A$4:$I$107, 6, FALSE)), VLOOKUP(C593, Resultados_Reales!$A$4:$I$107, 5, FALSE)="", VLOOKUP(C593, Resultados_Reales!$A$4:$I$107, 6, FALSE)=""), 0, IF(AND(VLOOKUP(C593, Resultados_Reales!$A$4:$I$107, 5, FALSE)=G593, VLOOKUP(C593, Resultados_Reales!$A$4:$I$107, 6, FALSE)=H593), Configuracion!$B$5, IF(SIGN(VLOOKUP(C593, Resultados_Reales!$A$4:$I$107, 5, FALSE)-VLOOKUP(C593, Resultados_Reales!$A$4:$I$107, 6, FALSE)) = SIGN(G593-H593), Configuracion!$B$4, 0)))</f>
        <v/>
      </c>
      <c r="L593" s="11" t="n"/>
      <c r="M593" s="11" t="n"/>
      <c r="N593" s="11" t="n"/>
      <c r="O593" s="11" t="n"/>
      <c r="P593" s="11" t="n"/>
      <c r="Q593" s="11" t="n"/>
    </row>
    <row r="594">
      <c r="A594" s="8">
        <f>B594&amp;"_"&amp;C594</f>
        <v/>
      </c>
      <c r="B594" s="8" t="n"/>
      <c r="C594" s="8" t="n"/>
      <c r="D594" s="8" t="n"/>
      <c r="E594" s="11" t="n"/>
      <c r="F594" s="11" t="n"/>
      <c r="G594" s="8" t="n"/>
      <c r="H594" s="8" t="n"/>
      <c r="I594" s="8" t="n"/>
      <c r="J594" s="8" t="n"/>
      <c r="K594" s="12">
        <f>IF(OR(ISERROR(VLOOKUP(C594, Resultados_Reales!$A$4:$I$107, 5, FALSE)), ISERROR(VLOOKUP(C594, Resultados_Reales!$A$4:$I$107, 6, FALSE)), VLOOKUP(C594, Resultados_Reales!$A$4:$I$107, 5, FALSE)="", VLOOKUP(C594, Resultados_Reales!$A$4:$I$107, 6, FALSE)=""), 0, IF(AND(VLOOKUP(C594, Resultados_Reales!$A$4:$I$107, 5, FALSE)=G594, VLOOKUP(C594, Resultados_Reales!$A$4:$I$107, 6, FALSE)=H594), Configuracion!$B$5, IF(SIGN(VLOOKUP(C594, Resultados_Reales!$A$4:$I$107, 5, FALSE)-VLOOKUP(C594, Resultados_Reales!$A$4:$I$107, 6, FALSE)) = SIGN(G594-H594), Configuracion!$B$4, 0)))</f>
        <v/>
      </c>
      <c r="L594" s="11" t="n"/>
      <c r="M594" s="11" t="n"/>
      <c r="N594" s="11" t="n"/>
      <c r="O594" s="11" t="n"/>
      <c r="P594" s="11" t="n"/>
      <c r="Q594" s="11" t="n"/>
    </row>
    <row r="595">
      <c r="A595" s="8">
        <f>B595&amp;"_"&amp;C595</f>
        <v/>
      </c>
      <c r="B595" s="8" t="n"/>
      <c r="C595" s="8" t="n"/>
      <c r="D595" s="8" t="n"/>
      <c r="E595" s="11" t="n"/>
      <c r="F595" s="11" t="n"/>
      <c r="G595" s="8" t="n"/>
      <c r="H595" s="8" t="n"/>
      <c r="I595" s="8" t="n"/>
      <c r="J595" s="8" t="n"/>
      <c r="K595" s="12">
        <f>IF(OR(ISERROR(VLOOKUP(C595, Resultados_Reales!$A$4:$I$107, 5, FALSE)), ISERROR(VLOOKUP(C595, Resultados_Reales!$A$4:$I$107, 6, FALSE)), VLOOKUP(C595, Resultados_Reales!$A$4:$I$107, 5, FALSE)="", VLOOKUP(C595, Resultados_Reales!$A$4:$I$107, 6, FALSE)=""), 0, IF(AND(VLOOKUP(C595, Resultados_Reales!$A$4:$I$107, 5, FALSE)=G595, VLOOKUP(C595, Resultados_Reales!$A$4:$I$107, 6, FALSE)=H595), Configuracion!$B$5, IF(SIGN(VLOOKUP(C595, Resultados_Reales!$A$4:$I$107, 5, FALSE)-VLOOKUP(C595, Resultados_Reales!$A$4:$I$107, 6, FALSE)) = SIGN(G595-H595), Configuracion!$B$4, 0)))</f>
        <v/>
      </c>
      <c r="L595" s="11" t="n"/>
      <c r="M595" s="11" t="n"/>
      <c r="N595" s="11" t="n"/>
      <c r="O595" s="11" t="n"/>
      <c r="P595" s="11" t="n"/>
      <c r="Q595" s="11" t="n"/>
    </row>
    <row r="596">
      <c r="A596" s="8">
        <f>B596&amp;"_"&amp;C596</f>
        <v/>
      </c>
      <c r="B596" s="8" t="n"/>
      <c r="C596" s="8" t="n"/>
      <c r="D596" s="8" t="n"/>
      <c r="E596" s="11" t="n"/>
      <c r="F596" s="11" t="n"/>
      <c r="G596" s="8" t="n"/>
      <c r="H596" s="8" t="n"/>
      <c r="I596" s="8" t="n"/>
      <c r="J596" s="8" t="n"/>
      <c r="K596" s="12">
        <f>IF(OR(ISERROR(VLOOKUP(C596, Resultados_Reales!$A$4:$I$107, 5, FALSE)), ISERROR(VLOOKUP(C596, Resultados_Reales!$A$4:$I$107, 6, FALSE)), VLOOKUP(C596, Resultados_Reales!$A$4:$I$107, 5, FALSE)="", VLOOKUP(C596, Resultados_Reales!$A$4:$I$107, 6, FALSE)=""), 0, IF(AND(VLOOKUP(C596, Resultados_Reales!$A$4:$I$107, 5, FALSE)=G596, VLOOKUP(C596, Resultados_Reales!$A$4:$I$107, 6, FALSE)=H596), Configuracion!$B$5, IF(SIGN(VLOOKUP(C596, Resultados_Reales!$A$4:$I$107, 5, FALSE)-VLOOKUP(C596, Resultados_Reales!$A$4:$I$107, 6, FALSE)) = SIGN(G596-H596), Configuracion!$B$4, 0)))</f>
        <v/>
      </c>
      <c r="L596" s="11" t="n"/>
      <c r="M596" s="11" t="n"/>
      <c r="N596" s="11" t="n"/>
      <c r="O596" s="11" t="n"/>
      <c r="P596" s="11" t="n"/>
      <c r="Q596" s="11" t="n"/>
    </row>
    <row r="597">
      <c r="A597" s="8">
        <f>B597&amp;"_"&amp;C597</f>
        <v/>
      </c>
      <c r="B597" s="8" t="n"/>
      <c r="C597" s="8" t="n"/>
      <c r="D597" s="8" t="n"/>
      <c r="E597" s="11" t="n"/>
      <c r="F597" s="11" t="n"/>
      <c r="G597" s="8" t="n"/>
      <c r="H597" s="8" t="n"/>
      <c r="I597" s="8" t="n"/>
      <c r="J597" s="8" t="n"/>
      <c r="K597" s="12">
        <f>IF(OR(ISERROR(VLOOKUP(C597, Resultados_Reales!$A$4:$I$107, 5, FALSE)), ISERROR(VLOOKUP(C597, Resultados_Reales!$A$4:$I$107, 6, FALSE)), VLOOKUP(C597, Resultados_Reales!$A$4:$I$107, 5, FALSE)="", VLOOKUP(C597, Resultados_Reales!$A$4:$I$107, 6, FALSE)=""), 0, IF(AND(VLOOKUP(C597, Resultados_Reales!$A$4:$I$107, 5, FALSE)=G597, VLOOKUP(C597, Resultados_Reales!$A$4:$I$107, 6, FALSE)=H597), Configuracion!$B$5, IF(SIGN(VLOOKUP(C597, Resultados_Reales!$A$4:$I$107, 5, FALSE)-VLOOKUP(C597, Resultados_Reales!$A$4:$I$107, 6, FALSE)) = SIGN(G597-H597), Configuracion!$B$4, 0)))</f>
        <v/>
      </c>
      <c r="L597" s="11" t="n"/>
      <c r="M597" s="11" t="n"/>
      <c r="N597" s="11" t="n"/>
      <c r="O597" s="11" t="n"/>
      <c r="P597" s="11" t="n"/>
      <c r="Q597" s="11" t="n"/>
    </row>
    <row r="598">
      <c r="A598" s="8">
        <f>B598&amp;"_"&amp;C598</f>
        <v/>
      </c>
      <c r="B598" s="8" t="n"/>
      <c r="C598" s="8" t="n"/>
      <c r="D598" s="8" t="n"/>
      <c r="E598" s="11" t="n"/>
      <c r="F598" s="11" t="n"/>
      <c r="G598" s="8" t="n"/>
      <c r="H598" s="8" t="n"/>
      <c r="I598" s="8" t="n"/>
      <c r="J598" s="8" t="n"/>
      <c r="K598" s="12">
        <f>IF(OR(ISERROR(VLOOKUP(C598, Resultados_Reales!$A$4:$I$107, 5, FALSE)), ISERROR(VLOOKUP(C598, Resultados_Reales!$A$4:$I$107, 6, FALSE)), VLOOKUP(C598, Resultados_Reales!$A$4:$I$107, 5, FALSE)="", VLOOKUP(C598, Resultados_Reales!$A$4:$I$107, 6, FALSE)=""), 0, IF(AND(VLOOKUP(C598, Resultados_Reales!$A$4:$I$107, 5, FALSE)=G598, VLOOKUP(C598, Resultados_Reales!$A$4:$I$107, 6, FALSE)=H598), Configuracion!$B$5, IF(SIGN(VLOOKUP(C598, Resultados_Reales!$A$4:$I$107, 5, FALSE)-VLOOKUP(C598, Resultados_Reales!$A$4:$I$107, 6, FALSE)) = SIGN(G598-H598), Configuracion!$B$4, 0)))</f>
        <v/>
      </c>
      <c r="L598" s="11" t="n"/>
      <c r="M598" s="11" t="n"/>
      <c r="N598" s="11" t="n"/>
      <c r="O598" s="11" t="n"/>
      <c r="P598" s="11" t="n"/>
      <c r="Q598" s="11" t="n"/>
    </row>
    <row r="599">
      <c r="A599" s="8">
        <f>B599&amp;"_"&amp;C599</f>
        <v/>
      </c>
      <c r="B599" s="8" t="n"/>
      <c r="C599" s="8" t="n"/>
      <c r="D599" s="8" t="n"/>
      <c r="E599" s="11" t="n"/>
      <c r="F599" s="11" t="n"/>
      <c r="G599" s="8" t="n"/>
      <c r="H599" s="8" t="n"/>
      <c r="I599" s="8" t="n"/>
      <c r="J599" s="8" t="n"/>
      <c r="K599" s="12">
        <f>IF(OR(ISERROR(VLOOKUP(C599, Resultados_Reales!$A$4:$I$107, 5, FALSE)), ISERROR(VLOOKUP(C599, Resultados_Reales!$A$4:$I$107, 6, FALSE)), VLOOKUP(C599, Resultados_Reales!$A$4:$I$107, 5, FALSE)="", VLOOKUP(C599, Resultados_Reales!$A$4:$I$107, 6, FALSE)=""), 0, IF(AND(VLOOKUP(C599, Resultados_Reales!$A$4:$I$107, 5, FALSE)=G599, VLOOKUP(C599, Resultados_Reales!$A$4:$I$107, 6, FALSE)=H599), Configuracion!$B$5, IF(SIGN(VLOOKUP(C599, Resultados_Reales!$A$4:$I$107, 5, FALSE)-VLOOKUP(C599, Resultados_Reales!$A$4:$I$107, 6, FALSE)) = SIGN(G599-H599), Configuracion!$B$4, 0)))</f>
        <v/>
      </c>
      <c r="L599" s="11" t="n"/>
      <c r="M599" s="11" t="n"/>
      <c r="N599" s="11" t="n"/>
      <c r="O599" s="11" t="n"/>
      <c r="P599" s="11" t="n"/>
      <c r="Q599" s="11" t="n"/>
    </row>
    <row r="600">
      <c r="A600" s="8">
        <f>B600&amp;"_"&amp;C600</f>
        <v/>
      </c>
      <c r="B600" s="8" t="n"/>
      <c r="C600" s="8" t="n"/>
      <c r="D600" s="8" t="n"/>
      <c r="E600" s="11" t="n"/>
      <c r="F600" s="11" t="n"/>
      <c r="G600" s="8" t="n"/>
      <c r="H600" s="8" t="n"/>
      <c r="I600" s="8" t="n"/>
      <c r="J600" s="8" t="n"/>
      <c r="K600" s="12">
        <f>IF(OR(ISERROR(VLOOKUP(C600, Resultados_Reales!$A$4:$I$107, 5, FALSE)), ISERROR(VLOOKUP(C600, Resultados_Reales!$A$4:$I$107, 6, FALSE)), VLOOKUP(C600, Resultados_Reales!$A$4:$I$107, 5, FALSE)="", VLOOKUP(C600, Resultados_Reales!$A$4:$I$107, 6, FALSE)=""), 0, IF(AND(VLOOKUP(C600, Resultados_Reales!$A$4:$I$107, 5, FALSE)=G600, VLOOKUP(C600, Resultados_Reales!$A$4:$I$107, 6, FALSE)=H600), Configuracion!$B$5, IF(SIGN(VLOOKUP(C600, Resultados_Reales!$A$4:$I$107, 5, FALSE)-VLOOKUP(C600, Resultados_Reales!$A$4:$I$107, 6, FALSE)) = SIGN(G600-H600), Configuracion!$B$4, 0)))</f>
        <v/>
      </c>
      <c r="L600" s="11" t="n"/>
      <c r="M600" s="11" t="n"/>
      <c r="N600" s="11" t="n"/>
      <c r="O600" s="11" t="n"/>
      <c r="P600" s="11" t="n"/>
      <c r="Q600" s="11" t="n"/>
    </row>
    <row r="601">
      <c r="A601" s="8">
        <f>B601&amp;"_"&amp;C601</f>
        <v/>
      </c>
      <c r="B601" s="8" t="n"/>
      <c r="C601" s="8" t="n"/>
      <c r="D601" s="8" t="n"/>
      <c r="E601" s="11" t="n"/>
      <c r="F601" s="11" t="n"/>
      <c r="G601" s="8" t="n"/>
      <c r="H601" s="8" t="n"/>
      <c r="I601" s="8" t="n"/>
      <c r="J601" s="8" t="n"/>
      <c r="K601" s="12">
        <f>IF(OR(ISERROR(VLOOKUP(C601, Resultados_Reales!$A$4:$I$107, 5, FALSE)), ISERROR(VLOOKUP(C601, Resultados_Reales!$A$4:$I$107, 6, FALSE)), VLOOKUP(C601, Resultados_Reales!$A$4:$I$107, 5, FALSE)="", VLOOKUP(C601, Resultados_Reales!$A$4:$I$107, 6, FALSE)=""), 0, IF(AND(VLOOKUP(C601, Resultados_Reales!$A$4:$I$107, 5, FALSE)=G601, VLOOKUP(C601, Resultados_Reales!$A$4:$I$107, 6, FALSE)=H601), Configuracion!$B$5, IF(SIGN(VLOOKUP(C601, Resultados_Reales!$A$4:$I$107, 5, FALSE)-VLOOKUP(C601, Resultados_Reales!$A$4:$I$107, 6, FALSE)) = SIGN(G601-H601), Configuracion!$B$4, 0)))</f>
        <v/>
      </c>
      <c r="L601" s="11" t="n"/>
      <c r="M601" s="11" t="n"/>
      <c r="N601" s="11" t="n"/>
      <c r="O601" s="11" t="n"/>
      <c r="P601" s="11" t="n"/>
      <c r="Q601" s="11" t="n"/>
    </row>
    <row r="602">
      <c r="A602" s="8">
        <f>B602&amp;"_"&amp;C602</f>
        <v/>
      </c>
      <c r="B602" s="8" t="n"/>
      <c r="C602" s="8" t="n"/>
      <c r="D602" s="8" t="n"/>
      <c r="E602" s="11" t="n"/>
      <c r="F602" s="11" t="n"/>
      <c r="G602" s="8" t="n"/>
      <c r="H602" s="8" t="n"/>
      <c r="I602" s="8" t="n"/>
      <c r="J602" s="8" t="n"/>
      <c r="K602" s="12">
        <f>IF(OR(ISERROR(VLOOKUP(C602, Resultados_Reales!$A$4:$I$107, 5, FALSE)), ISERROR(VLOOKUP(C602, Resultados_Reales!$A$4:$I$107, 6, FALSE)), VLOOKUP(C602, Resultados_Reales!$A$4:$I$107, 5, FALSE)="", VLOOKUP(C602, Resultados_Reales!$A$4:$I$107, 6, FALSE)=""), 0, IF(AND(VLOOKUP(C602, Resultados_Reales!$A$4:$I$107, 5, FALSE)=G602, VLOOKUP(C602, Resultados_Reales!$A$4:$I$107, 6, FALSE)=H602), Configuracion!$B$5, IF(SIGN(VLOOKUP(C602, Resultados_Reales!$A$4:$I$107, 5, FALSE)-VLOOKUP(C602, Resultados_Reales!$A$4:$I$107, 6, FALSE)) = SIGN(G602-H602), Configuracion!$B$4, 0)))</f>
        <v/>
      </c>
      <c r="L602" s="11" t="n"/>
      <c r="M602" s="11" t="n"/>
      <c r="N602" s="11" t="n"/>
      <c r="O602" s="11" t="n"/>
      <c r="P602" s="11" t="n"/>
      <c r="Q602" s="11" t="n"/>
    </row>
    <row r="603">
      <c r="A603" s="8">
        <f>B603&amp;"_"&amp;C603</f>
        <v/>
      </c>
      <c r="B603" s="8" t="n"/>
      <c r="C603" s="8" t="n"/>
      <c r="D603" s="8" t="n"/>
      <c r="E603" s="11" t="n"/>
      <c r="F603" s="11" t="n"/>
      <c r="G603" s="8" t="n"/>
      <c r="H603" s="8" t="n"/>
      <c r="I603" s="8" t="n"/>
      <c r="J603" s="8" t="n"/>
      <c r="K603" s="12">
        <f>IF(OR(ISERROR(VLOOKUP(C603, Resultados_Reales!$A$4:$I$107, 5, FALSE)), ISERROR(VLOOKUP(C603, Resultados_Reales!$A$4:$I$107, 6, FALSE)), VLOOKUP(C603, Resultados_Reales!$A$4:$I$107, 5, FALSE)="", VLOOKUP(C603, Resultados_Reales!$A$4:$I$107, 6, FALSE)=""), 0, IF(AND(VLOOKUP(C603, Resultados_Reales!$A$4:$I$107, 5, FALSE)=G603, VLOOKUP(C603, Resultados_Reales!$A$4:$I$107, 6, FALSE)=H603), Configuracion!$B$5, IF(SIGN(VLOOKUP(C603, Resultados_Reales!$A$4:$I$107, 5, FALSE)-VLOOKUP(C603, Resultados_Reales!$A$4:$I$107, 6, FALSE)) = SIGN(G603-H603), Configuracion!$B$4, 0)))</f>
        <v/>
      </c>
      <c r="L603" s="11" t="n"/>
      <c r="M603" s="11" t="n"/>
      <c r="N603" s="11" t="n"/>
      <c r="O603" s="11" t="n"/>
      <c r="P603" s="11" t="n"/>
      <c r="Q603" s="11" t="n"/>
    </row>
    <row r="604">
      <c r="A604" s="8">
        <f>B604&amp;"_"&amp;C604</f>
        <v/>
      </c>
      <c r="B604" s="8" t="n"/>
      <c r="C604" s="8" t="n"/>
      <c r="D604" s="8" t="n"/>
      <c r="E604" s="11" t="n"/>
      <c r="F604" s="11" t="n"/>
      <c r="G604" s="8" t="n"/>
      <c r="H604" s="8" t="n"/>
      <c r="I604" s="8" t="n"/>
      <c r="J604" s="8" t="n"/>
      <c r="K604" s="12">
        <f>IF(OR(ISERROR(VLOOKUP(C604, Resultados_Reales!$A$4:$I$107, 5, FALSE)), ISERROR(VLOOKUP(C604, Resultados_Reales!$A$4:$I$107, 6, FALSE)), VLOOKUP(C604, Resultados_Reales!$A$4:$I$107, 5, FALSE)="", VLOOKUP(C604, Resultados_Reales!$A$4:$I$107, 6, FALSE)=""), 0, IF(AND(VLOOKUP(C604, Resultados_Reales!$A$4:$I$107, 5, FALSE)=G604, VLOOKUP(C604, Resultados_Reales!$A$4:$I$107, 6, FALSE)=H604), Configuracion!$B$5, IF(SIGN(VLOOKUP(C604, Resultados_Reales!$A$4:$I$107, 5, FALSE)-VLOOKUP(C604, Resultados_Reales!$A$4:$I$107, 6, FALSE)) = SIGN(G604-H604), Configuracion!$B$4, 0)))</f>
        <v/>
      </c>
      <c r="L604" s="11" t="n"/>
      <c r="M604" s="11" t="n"/>
      <c r="N604" s="11" t="n"/>
      <c r="O604" s="11" t="n"/>
      <c r="P604" s="11" t="n"/>
      <c r="Q604" s="11" t="n"/>
    </row>
    <row r="605">
      <c r="A605" s="8">
        <f>B605&amp;"_"&amp;C605</f>
        <v/>
      </c>
      <c r="B605" s="8" t="n"/>
      <c r="C605" s="8" t="n"/>
      <c r="D605" s="8" t="n"/>
      <c r="E605" s="11" t="n"/>
      <c r="F605" s="11" t="n"/>
      <c r="G605" s="8" t="n"/>
      <c r="H605" s="8" t="n"/>
      <c r="I605" s="8" t="n"/>
      <c r="J605" s="8" t="n"/>
      <c r="K605" s="12">
        <f>IF(OR(ISERROR(VLOOKUP(C605, Resultados_Reales!$A$4:$I$107, 5, FALSE)), ISERROR(VLOOKUP(C605, Resultados_Reales!$A$4:$I$107, 6, FALSE)), VLOOKUP(C605, Resultados_Reales!$A$4:$I$107, 5, FALSE)="", VLOOKUP(C605, Resultados_Reales!$A$4:$I$107, 6, FALSE)=""), 0, IF(AND(VLOOKUP(C605, Resultados_Reales!$A$4:$I$107, 5, FALSE)=G605, VLOOKUP(C605, Resultados_Reales!$A$4:$I$107, 6, FALSE)=H605), Configuracion!$B$5, IF(SIGN(VLOOKUP(C605, Resultados_Reales!$A$4:$I$107, 5, FALSE)-VLOOKUP(C605, Resultados_Reales!$A$4:$I$107, 6, FALSE)) = SIGN(G605-H605), Configuracion!$B$4, 0)))</f>
        <v/>
      </c>
      <c r="L605" s="11" t="n"/>
      <c r="M605" s="11" t="n"/>
      <c r="N605" s="11" t="n"/>
      <c r="O605" s="11" t="n"/>
      <c r="P605" s="11" t="n"/>
      <c r="Q605" s="11" t="n"/>
    </row>
    <row r="606">
      <c r="A606" s="8">
        <f>B606&amp;"_"&amp;C606</f>
        <v/>
      </c>
      <c r="B606" s="8" t="n"/>
      <c r="C606" s="8" t="n"/>
      <c r="D606" s="8" t="n"/>
      <c r="E606" s="11" t="n"/>
      <c r="F606" s="11" t="n"/>
      <c r="G606" s="8" t="n"/>
      <c r="H606" s="8" t="n"/>
      <c r="I606" s="8" t="n"/>
      <c r="J606" s="8" t="n"/>
      <c r="K606" s="12">
        <f>IF(OR(ISERROR(VLOOKUP(C606, Resultados_Reales!$A$4:$I$107, 5, FALSE)), ISERROR(VLOOKUP(C606, Resultados_Reales!$A$4:$I$107, 6, FALSE)), VLOOKUP(C606, Resultados_Reales!$A$4:$I$107, 5, FALSE)="", VLOOKUP(C606, Resultados_Reales!$A$4:$I$107, 6, FALSE)=""), 0, IF(AND(VLOOKUP(C606, Resultados_Reales!$A$4:$I$107, 5, FALSE)=G606, VLOOKUP(C606, Resultados_Reales!$A$4:$I$107, 6, FALSE)=H606), Configuracion!$B$5, IF(SIGN(VLOOKUP(C606, Resultados_Reales!$A$4:$I$107, 5, FALSE)-VLOOKUP(C606, Resultados_Reales!$A$4:$I$107, 6, FALSE)) = SIGN(G606-H606), Configuracion!$B$4, 0)))</f>
        <v/>
      </c>
      <c r="L606" s="11" t="n"/>
      <c r="M606" s="11" t="n"/>
      <c r="N606" s="11" t="n"/>
      <c r="O606" s="11" t="n"/>
      <c r="P606" s="11" t="n"/>
      <c r="Q606" s="11" t="n"/>
    </row>
    <row r="607">
      <c r="A607" s="8">
        <f>B607&amp;"_"&amp;C607</f>
        <v/>
      </c>
      <c r="B607" s="8" t="n"/>
      <c r="C607" s="8" t="n"/>
      <c r="D607" s="8" t="n"/>
      <c r="E607" s="11" t="n"/>
      <c r="F607" s="11" t="n"/>
      <c r="G607" s="8" t="n"/>
      <c r="H607" s="8" t="n"/>
      <c r="I607" s="8" t="n"/>
      <c r="J607" s="8" t="n"/>
      <c r="K607" s="12">
        <f>IF(OR(ISERROR(VLOOKUP(C607, Resultados_Reales!$A$4:$I$107, 5, FALSE)), ISERROR(VLOOKUP(C607, Resultados_Reales!$A$4:$I$107, 6, FALSE)), VLOOKUP(C607, Resultados_Reales!$A$4:$I$107, 5, FALSE)="", VLOOKUP(C607, Resultados_Reales!$A$4:$I$107, 6, FALSE)=""), 0, IF(AND(VLOOKUP(C607, Resultados_Reales!$A$4:$I$107, 5, FALSE)=G607, VLOOKUP(C607, Resultados_Reales!$A$4:$I$107, 6, FALSE)=H607), Configuracion!$B$5, IF(SIGN(VLOOKUP(C607, Resultados_Reales!$A$4:$I$107, 5, FALSE)-VLOOKUP(C607, Resultados_Reales!$A$4:$I$107, 6, FALSE)) = SIGN(G607-H607), Configuracion!$B$4, 0)))</f>
        <v/>
      </c>
      <c r="L607" s="11" t="n"/>
      <c r="M607" s="11" t="n"/>
      <c r="N607" s="11" t="n"/>
      <c r="O607" s="11" t="n"/>
      <c r="P607" s="11" t="n"/>
      <c r="Q607" s="11" t="n"/>
    </row>
    <row r="608">
      <c r="A608" s="8">
        <f>B608&amp;"_"&amp;C608</f>
        <v/>
      </c>
      <c r="B608" s="8" t="n"/>
      <c r="C608" s="8" t="n"/>
      <c r="D608" s="8" t="n"/>
      <c r="E608" s="11" t="n"/>
      <c r="F608" s="11" t="n"/>
      <c r="G608" s="8" t="n"/>
      <c r="H608" s="8" t="n"/>
      <c r="I608" s="8" t="n"/>
      <c r="J608" s="8" t="n"/>
      <c r="K608" s="12">
        <f>IF(OR(ISERROR(VLOOKUP(C608, Resultados_Reales!$A$4:$I$107, 5, FALSE)), ISERROR(VLOOKUP(C608, Resultados_Reales!$A$4:$I$107, 6, FALSE)), VLOOKUP(C608, Resultados_Reales!$A$4:$I$107, 5, FALSE)="", VLOOKUP(C608, Resultados_Reales!$A$4:$I$107, 6, FALSE)=""), 0, IF(AND(VLOOKUP(C608, Resultados_Reales!$A$4:$I$107, 5, FALSE)=G608, VLOOKUP(C608, Resultados_Reales!$A$4:$I$107, 6, FALSE)=H608), Configuracion!$B$5, IF(SIGN(VLOOKUP(C608, Resultados_Reales!$A$4:$I$107, 5, FALSE)-VLOOKUP(C608, Resultados_Reales!$A$4:$I$107, 6, FALSE)) = SIGN(G608-H608), Configuracion!$B$4, 0)))</f>
        <v/>
      </c>
      <c r="L608" s="11" t="n"/>
      <c r="M608" s="11" t="n"/>
      <c r="N608" s="11" t="n"/>
      <c r="O608" s="11" t="n"/>
      <c r="P608" s="11" t="n"/>
      <c r="Q608" s="11" t="n"/>
    </row>
    <row r="609">
      <c r="A609" s="8">
        <f>B609&amp;"_"&amp;C609</f>
        <v/>
      </c>
      <c r="B609" s="8" t="n"/>
      <c r="C609" s="8" t="n"/>
      <c r="D609" s="8" t="n"/>
      <c r="E609" s="11" t="n"/>
      <c r="F609" s="11" t="n"/>
      <c r="G609" s="8" t="n"/>
      <c r="H609" s="8" t="n"/>
      <c r="I609" s="8" t="n"/>
      <c r="J609" s="8" t="n"/>
      <c r="K609" s="12">
        <f>IF(OR(ISERROR(VLOOKUP(C609, Resultados_Reales!$A$4:$I$107, 5, FALSE)), ISERROR(VLOOKUP(C609, Resultados_Reales!$A$4:$I$107, 6, FALSE)), VLOOKUP(C609, Resultados_Reales!$A$4:$I$107, 5, FALSE)="", VLOOKUP(C609, Resultados_Reales!$A$4:$I$107, 6, FALSE)=""), 0, IF(AND(VLOOKUP(C609, Resultados_Reales!$A$4:$I$107, 5, FALSE)=G609, VLOOKUP(C609, Resultados_Reales!$A$4:$I$107, 6, FALSE)=H609), Configuracion!$B$5, IF(SIGN(VLOOKUP(C609, Resultados_Reales!$A$4:$I$107, 5, FALSE)-VLOOKUP(C609, Resultados_Reales!$A$4:$I$107, 6, FALSE)) = SIGN(G609-H609), Configuracion!$B$4, 0)))</f>
        <v/>
      </c>
      <c r="L609" s="11" t="n"/>
      <c r="M609" s="11" t="n"/>
      <c r="N609" s="11" t="n"/>
      <c r="O609" s="11" t="n"/>
      <c r="P609" s="11" t="n"/>
      <c r="Q609" s="11" t="n"/>
    </row>
    <row r="610">
      <c r="A610" s="8">
        <f>B610&amp;"_"&amp;C610</f>
        <v/>
      </c>
      <c r="B610" s="8" t="n"/>
      <c r="C610" s="8" t="n"/>
      <c r="D610" s="8" t="n"/>
      <c r="E610" s="11" t="n"/>
      <c r="F610" s="11" t="n"/>
      <c r="G610" s="8" t="n"/>
      <c r="H610" s="8" t="n"/>
      <c r="I610" s="8" t="n"/>
      <c r="J610" s="8" t="n"/>
      <c r="K610" s="12">
        <f>IF(OR(ISERROR(VLOOKUP(C610, Resultados_Reales!$A$4:$I$107, 5, FALSE)), ISERROR(VLOOKUP(C610, Resultados_Reales!$A$4:$I$107, 6, FALSE)), VLOOKUP(C610, Resultados_Reales!$A$4:$I$107, 5, FALSE)="", VLOOKUP(C610, Resultados_Reales!$A$4:$I$107, 6, FALSE)=""), 0, IF(AND(VLOOKUP(C610, Resultados_Reales!$A$4:$I$107, 5, FALSE)=G610, VLOOKUP(C610, Resultados_Reales!$A$4:$I$107, 6, FALSE)=H610), Configuracion!$B$5, IF(SIGN(VLOOKUP(C610, Resultados_Reales!$A$4:$I$107, 5, FALSE)-VLOOKUP(C610, Resultados_Reales!$A$4:$I$107, 6, FALSE)) = SIGN(G610-H610), Configuracion!$B$4, 0)))</f>
        <v/>
      </c>
      <c r="L610" s="11" t="n"/>
      <c r="M610" s="11" t="n"/>
      <c r="N610" s="11" t="n"/>
      <c r="O610" s="11" t="n"/>
      <c r="P610" s="11" t="n"/>
      <c r="Q610" s="11" t="n"/>
    </row>
    <row r="611">
      <c r="A611" s="8">
        <f>B611&amp;"_"&amp;C611</f>
        <v/>
      </c>
      <c r="B611" s="8" t="n"/>
      <c r="C611" s="8" t="n"/>
      <c r="D611" s="8" t="n"/>
      <c r="E611" s="11" t="n"/>
      <c r="F611" s="11" t="n"/>
      <c r="G611" s="8" t="n"/>
      <c r="H611" s="8" t="n"/>
      <c r="I611" s="8" t="n"/>
      <c r="J611" s="8" t="n"/>
      <c r="K611" s="12">
        <f>IF(OR(ISERROR(VLOOKUP(C611, Resultados_Reales!$A$4:$I$107, 5, FALSE)), ISERROR(VLOOKUP(C611, Resultados_Reales!$A$4:$I$107, 6, FALSE)), VLOOKUP(C611, Resultados_Reales!$A$4:$I$107, 5, FALSE)="", VLOOKUP(C611, Resultados_Reales!$A$4:$I$107, 6, FALSE)=""), 0, IF(AND(VLOOKUP(C611, Resultados_Reales!$A$4:$I$107, 5, FALSE)=G611, VLOOKUP(C611, Resultados_Reales!$A$4:$I$107, 6, FALSE)=H611), Configuracion!$B$5, IF(SIGN(VLOOKUP(C611, Resultados_Reales!$A$4:$I$107, 5, FALSE)-VLOOKUP(C611, Resultados_Reales!$A$4:$I$107, 6, FALSE)) = SIGN(G611-H611), Configuracion!$B$4, 0)))</f>
        <v/>
      </c>
      <c r="L611" s="11" t="n"/>
      <c r="M611" s="11" t="n"/>
      <c r="N611" s="11" t="n"/>
      <c r="O611" s="11" t="n"/>
      <c r="P611" s="11" t="n"/>
      <c r="Q611" s="11" t="n"/>
    </row>
    <row r="612">
      <c r="A612" s="8">
        <f>B612&amp;"_"&amp;C612</f>
        <v/>
      </c>
      <c r="B612" s="8" t="n"/>
      <c r="C612" s="8" t="n"/>
      <c r="D612" s="8" t="n"/>
      <c r="E612" s="11" t="n"/>
      <c r="F612" s="11" t="n"/>
      <c r="G612" s="8" t="n"/>
      <c r="H612" s="8" t="n"/>
      <c r="I612" s="8" t="n"/>
      <c r="J612" s="8" t="n"/>
      <c r="K612" s="12">
        <f>IF(OR(ISERROR(VLOOKUP(C612, Resultados_Reales!$A$4:$I$107, 5, FALSE)), ISERROR(VLOOKUP(C612, Resultados_Reales!$A$4:$I$107, 6, FALSE)), VLOOKUP(C612, Resultados_Reales!$A$4:$I$107, 5, FALSE)="", VLOOKUP(C612, Resultados_Reales!$A$4:$I$107, 6, FALSE)=""), 0, IF(AND(VLOOKUP(C612, Resultados_Reales!$A$4:$I$107, 5, FALSE)=G612, VLOOKUP(C612, Resultados_Reales!$A$4:$I$107, 6, FALSE)=H612), Configuracion!$B$5, IF(SIGN(VLOOKUP(C612, Resultados_Reales!$A$4:$I$107, 5, FALSE)-VLOOKUP(C612, Resultados_Reales!$A$4:$I$107, 6, FALSE)) = SIGN(G612-H612), Configuracion!$B$4, 0)))</f>
        <v/>
      </c>
      <c r="L612" s="11" t="n"/>
      <c r="M612" s="11" t="n"/>
      <c r="N612" s="11" t="n"/>
      <c r="O612" s="11" t="n"/>
      <c r="P612" s="11" t="n"/>
      <c r="Q612" s="11" t="n"/>
    </row>
    <row r="613">
      <c r="A613" s="8">
        <f>B613&amp;"_"&amp;C613</f>
        <v/>
      </c>
      <c r="B613" s="8" t="n"/>
      <c r="C613" s="8" t="n"/>
      <c r="D613" s="8" t="n"/>
      <c r="E613" s="11" t="n"/>
      <c r="F613" s="11" t="n"/>
      <c r="G613" s="8" t="n"/>
      <c r="H613" s="8" t="n"/>
      <c r="I613" s="8" t="n"/>
      <c r="J613" s="8" t="n"/>
      <c r="K613" s="12">
        <f>IF(OR(ISERROR(VLOOKUP(C613, Resultados_Reales!$A$4:$I$107, 5, FALSE)), ISERROR(VLOOKUP(C613, Resultados_Reales!$A$4:$I$107, 6, FALSE)), VLOOKUP(C613, Resultados_Reales!$A$4:$I$107, 5, FALSE)="", VLOOKUP(C613, Resultados_Reales!$A$4:$I$107, 6, FALSE)=""), 0, IF(AND(VLOOKUP(C613, Resultados_Reales!$A$4:$I$107, 5, FALSE)=G613, VLOOKUP(C613, Resultados_Reales!$A$4:$I$107, 6, FALSE)=H613), Configuracion!$B$5, IF(SIGN(VLOOKUP(C613, Resultados_Reales!$A$4:$I$107, 5, FALSE)-VLOOKUP(C613, Resultados_Reales!$A$4:$I$107, 6, FALSE)) = SIGN(G613-H613), Configuracion!$B$4, 0)))</f>
        <v/>
      </c>
      <c r="L613" s="11" t="n"/>
      <c r="M613" s="11" t="n"/>
      <c r="N613" s="11" t="n"/>
      <c r="O613" s="11" t="n"/>
      <c r="P613" s="11" t="n"/>
      <c r="Q613" s="11" t="n"/>
    </row>
    <row r="614">
      <c r="A614" s="8">
        <f>B614&amp;"_"&amp;C614</f>
        <v/>
      </c>
      <c r="B614" s="8" t="n"/>
      <c r="C614" s="8" t="n"/>
      <c r="D614" s="8" t="n"/>
      <c r="E614" s="11" t="n"/>
      <c r="F614" s="11" t="n"/>
      <c r="G614" s="8" t="n"/>
      <c r="H614" s="8" t="n"/>
      <c r="I614" s="8" t="n"/>
      <c r="J614" s="8" t="n"/>
      <c r="K614" s="12">
        <f>IF(OR(ISERROR(VLOOKUP(C614, Resultados_Reales!$A$4:$I$107, 5, FALSE)), ISERROR(VLOOKUP(C614, Resultados_Reales!$A$4:$I$107, 6, FALSE)), VLOOKUP(C614, Resultados_Reales!$A$4:$I$107, 5, FALSE)="", VLOOKUP(C614, Resultados_Reales!$A$4:$I$107, 6, FALSE)=""), 0, IF(AND(VLOOKUP(C614, Resultados_Reales!$A$4:$I$107, 5, FALSE)=G614, VLOOKUP(C614, Resultados_Reales!$A$4:$I$107, 6, FALSE)=H614), Configuracion!$B$5, IF(SIGN(VLOOKUP(C614, Resultados_Reales!$A$4:$I$107, 5, FALSE)-VLOOKUP(C614, Resultados_Reales!$A$4:$I$107, 6, FALSE)) = SIGN(G614-H614), Configuracion!$B$4, 0)))</f>
        <v/>
      </c>
      <c r="L614" s="11" t="n"/>
      <c r="M614" s="11" t="n"/>
      <c r="N614" s="11" t="n"/>
      <c r="O614" s="11" t="n"/>
      <c r="P614" s="11" t="n"/>
      <c r="Q614" s="11" t="n"/>
    </row>
    <row r="615">
      <c r="A615" s="8">
        <f>B615&amp;"_"&amp;C615</f>
        <v/>
      </c>
      <c r="B615" s="8" t="n"/>
      <c r="C615" s="8" t="n"/>
      <c r="D615" s="8" t="n"/>
      <c r="E615" s="11" t="n"/>
      <c r="F615" s="11" t="n"/>
      <c r="G615" s="8" t="n"/>
      <c r="H615" s="8" t="n"/>
      <c r="I615" s="8" t="n"/>
      <c r="J615" s="8" t="n"/>
      <c r="K615" s="12">
        <f>IF(OR(ISERROR(VLOOKUP(C615, Resultados_Reales!$A$4:$I$107, 5, FALSE)), ISERROR(VLOOKUP(C615, Resultados_Reales!$A$4:$I$107, 6, FALSE)), VLOOKUP(C615, Resultados_Reales!$A$4:$I$107, 5, FALSE)="", VLOOKUP(C615, Resultados_Reales!$A$4:$I$107, 6, FALSE)=""), 0, IF(AND(VLOOKUP(C615, Resultados_Reales!$A$4:$I$107, 5, FALSE)=G615, VLOOKUP(C615, Resultados_Reales!$A$4:$I$107, 6, FALSE)=H615), Configuracion!$B$5, IF(SIGN(VLOOKUP(C615, Resultados_Reales!$A$4:$I$107, 5, FALSE)-VLOOKUP(C615, Resultados_Reales!$A$4:$I$107, 6, FALSE)) = SIGN(G615-H615), Configuracion!$B$4, 0)))</f>
        <v/>
      </c>
      <c r="L615" s="11" t="n"/>
      <c r="M615" s="11" t="n"/>
      <c r="N615" s="11" t="n"/>
      <c r="O615" s="11" t="n"/>
      <c r="P615" s="11" t="n"/>
      <c r="Q615" s="11" t="n"/>
    </row>
    <row r="616">
      <c r="A616" s="8">
        <f>B616&amp;"_"&amp;C616</f>
        <v/>
      </c>
      <c r="B616" s="8" t="n"/>
      <c r="C616" s="8" t="n"/>
      <c r="D616" s="8" t="n"/>
      <c r="E616" s="11" t="n"/>
      <c r="F616" s="11" t="n"/>
      <c r="G616" s="8" t="n"/>
      <c r="H616" s="8" t="n"/>
      <c r="I616" s="8" t="n"/>
      <c r="J616" s="8" t="n"/>
      <c r="K616" s="12">
        <f>IF(OR(ISERROR(VLOOKUP(C616, Resultados_Reales!$A$4:$I$107, 5, FALSE)), ISERROR(VLOOKUP(C616, Resultados_Reales!$A$4:$I$107, 6, FALSE)), VLOOKUP(C616, Resultados_Reales!$A$4:$I$107, 5, FALSE)="", VLOOKUP(C616, Resultados_Reales!$A$4:$I$107, 6, FALSE)=""), 0, IF(AND(VLOOKUP(C616, Resultados_Reales!$A$4:$I$107, 5, FALSE)=G616, VLOOKUP(C616, Resultados_Reales!$A$4:$I$107, 6, FALSE)=H616), Configuracion!$B$5, IF(SIGN(VLOOKUP(C616, Resultados_Reales!$A$4:$I$107, 5, FALSE)-VLOOKUP(C616, Resultados_Reales!$A$4:$I$107, 6, FALSE)) = SIGN(G616-H616), Configuracion!$B$4, 0)))</f>
        <v/>
      </c>
      <c r="L616" s="11" t="n"/>
      <c r="M616" s="11" t="n"/>
      <c r="N616" s="11" t="n"/>
      <c r="O616" s="11" t="n"/>
      <c r="P616" s="11" t="n"/>
      <c r="Q616" s="11" t="n"/>
    </row>
    <row r="617">
      <c r="A617" s="8">
        <f>B617&amp;"_"&amp;C617</f>
        <v/>
      </c>
      <c r="B617" s="8" t="n"/>
      <c r="C617" s="8" t="n"/>
      <c r="D617" s="8" t="n"/>
      <c r="E617" s="11" t="n"/>
      <c r="F617" s="11" t="n"/>
      <c r="G617" s="8" t="n"/>
      <c r="H617" s="8" t="n"/>
      <c r="I617" s="8" t="n"/>
      <c r="J617" s="8" t="n"/>
      <c r="K617" s="12">
        <f>IF(OR(ISERROR(VLOOKUP(C617, Resultados_Reales!$A$4:$I$107, 5, FALSE)), ISERROR(VLOOKUP(C617, Resultados_Reales!$A$4:$I$107, 6, FALSE)), VLOOKUP(C617, Resultados_Reales!$A$4:$I$107, 5, FALSE)="", VLOOKUP(C617, Resultados_Reales!$A$4:$I$107, 6, FALSE)=""), 0, IF(AND(VLOOKUP(C617, Resultados_Reales!$A$4:$I$107, 5, FALSE)=G617, VLOOKUP(C617, Resultados_Reales!$A$4:$I$107, 6, FALSE)=H617), Configuracion!$B$5, IF(SIGN(VLOOKUP(C617, Resultados_Reales!$A$4:$I$107, 5, FALSE)-VLOOKUP(C617, Resultados_Reales!$A$4:$I$107, 6, FALSE)) = SIGN(G617-H617), Configuracion!$B$4, 0)))</f>
        <v/>
      </c>
      <c r="L617" s="11" t="n"/>
      <c r="M617" s="11" t="n"/>
      <c r="N617" s="11" t="n"/>
      <c r="O617" s="11" t="n"/>
      <c r="P617" s="11" t="n"/>
      <c r="Q617" s="11" t="n"/>
    </row>
    <row r="618">
      <c r="A618" s="8">
        <f>B618&amp;"_"&amp;C618</f>
        <v/>
      </c>
      <c r="B618" s="8" t="n"/>
      <c r="C618" s="8" t="n"/>
      <c r="D618" s="8" t="n"/>
      <c r="E618" s="11" t="n"/>
      <c r="F618" s="11" t="n"/>
      <c r="G618" s="8" t="n"/>
      <c r="H618" s="8" t="n"/>
      <c r="I618" s="8" t="n"/>
      <c r="J618" s="8" t="n"/>
      <c r="K618" s="12">
        <f>IF(OR(ISERROR(VLOOKUP(C618, Resultados_Reales!$A$4:$I$107, 5, FALSE)), ISERROR(VLOOKUP(C618, Resultados_Reales!$A$4:$I$107, 6, FALSE)), VLOOKUP(C618, Resultados_Reales!$A$4:$I$107, 5, FALSE)="", VLOOKUP(C618, Resultados_Reales!$A$4:$I$107, 6, FALSE)=""), 0, IF(AND(VLOOKUP(C618, Resultados_Reales!$A$4:$I$107, 5, FALSE)=G618, VLOOKUP(C618, Resultados_Reales!$A$4:$I$107, 6, FALSE)=H618), Configuracion!$B$5, IF(SIGN(VLOOKUP(C618, Resultados_Reales!$A$4:$I$107, 5, FALSE)-VLOOKUP(C618, Resultados_Reales!$A$4:$I$107, 6, FALSE)) = SIGN(G618-H618), Configuracion!$B$4, 0)))</f>
        <v/>
      </c>
      <c r="L618" s="11" t="n"/>
      <c r="M618" s="11" t="n"/>
      <c r="N618" s="11" t="n"/>
      <c r="O618" s="11" t="n"/>
      <c r="P618" s="11" t="n"/>
      <c r="Q618" s="11" t="n"/>
    </row>
    <row r="619">
      <c r="A619" s="8">
        <f>B619&amp;"_"&amp;C619</f>
        <v/>
      </c>
      <c r="B619" s="8" t="n"/>
      <c r="C619" s="8" t="n"/>
      <c r="D619" s="8" t="n"/>
      <c r="E619" s="11" t="n"/>
      <c r="F619" s="11" t="n"/>
      <c r="G619" s="8" t="n"/>
      <c r="H619" s="8" t="n"/>
      <c r="I619" s="8" t="n"/>
      <c r="J619" s="8" t="n"/>
      <c r="K619" s="12">
        <f>IF(OR(ISERROR(VLOOKUP(C619, Resultados_Reales!$A$4:$I$107, 5, FALSE)), ISERROR(VLOOKUP(C619, Resultados_Reales!$A$4:$I$107, 6, FALSE)), VLOOKUP(C619, Resultados_Reales!$A$4:$I$107, 5, FALSE)="", VLOOKUP(C619, Resultados_Reales!$A$4:$I$107, 6, FALSE)=""), 0, IF(AND(VLOOKUP(C619, Resultados_Reales!$A$4:$I$107, 5, FALSE)=G619, VLOOKUP(C619, Resultados_Reales!$A$4:$I$107, 6, FALSE)=H619), Configuracion!$B$5, IF(SIGN(VLOOKUP(C619, Resultados_Reales!$A$4:$I$107, 5, FALSE)-VLOOKUP(C619, Resultados_Reales!$A$4:$I$107, 6, FALSE)) = SIGN(G619-H619), Configuracion!$B$4, 0)))</f>
        <v/>
      </c>
      <c r="L619" s="11" t="n"/>
      <c r="M619" s="11" t="n"/>
      <c r="N619" s="11" t="n"/>
      <c r="O619" s="11" t="n"/>
      <c r="P619" s="11" t="n"/>
      <c r="Q619" s="11" t="n"/>
    </row>
    <row r="620">
      <c r="A620" s="8">
        <f>B620&amp;"_"&amp;C620</f>
        <v/>
      </c>
      <c r="B620" s="8" t="n"/>
      <c r="C620" s="8" t="n"/>
      <c r="D620" s="8" t="n"/>
      <c r="E620" s="11" t="n"/>
      <c r="F620" s="11" t="n"/>
      <c r="G620" s="8" t="n"/>
      <c r="H620" s="8" t="n"/>
      <c r="I620" s="8" t="n"/>
      <c r="J620" s="8" t="n"/>
      <c r="K620" s="12">
        <f>IF(OR(ISERROR(VLOOKUP(C620, Resultados_Reales!$A$4:$I$107, 5, FALSE)), ISERROR(VLOOKUP(C620, Resultados_Reales!$A$4:$I$107, 6, FALSE)), VLOOKUP(C620, Resultados_Reales!$A$4:$I$107, 5, FALSE)="", VLOOKUP(C620, Resultados_Reales!$A$4:$I$107, 6, FALSE)=""), 0, IF(AND(VLOOKUP(C620, Resultados_Reales!$A$4:$I$107, 5, FALSE)=G620, VLOOKUP(C620, Resultados_Reales!$A$4:$I$107, 6, FALSE)=H620), Configuracion!$B$5, IF(SIGN(VLOOKUP(C620, Resultados_Reales!$A$4:$I$107, 5, FALSE)-VLOOKUP(C620, Resultados_Reales!$A$4:$I$107, 6, FALSE)) = SIGN(G620-H620), Configuracion!$B$4, 0)))</f>
        <v/>
      </c>
      <c r="L620" s="11" t="n"/>
      <c r="M620" s="11" t="n"/>
      <c r="N620" s="11" t="n"/>
      <c r="O620" s="11" t="n"/>
      <c r="P620" s="11" t="n"/>
      <c r="Q620" s="11" t="n"/>
    </row>
    <row r="621">
      <c r="A621" s="8">
        <f>B621&amp;"_"&amp;C621</f>
        <v/>
      </c>
      <c r="B621" s="8" t="n"/>
      <c r="C621" s="8" t="n"/>
      <c r="D621" s="8" t="n"/>
      <c r="E621" s="11" t="n"/>
      <c r="F621" s="11" t="n"/>
      <c r="G621" s="8" t="n"/>
      <c r="H621" s="8" t="n"/>
      <c r="I621" s="8" t="n"/>
      <c r="J621" s="8" t="n"/>
      <c r="K621" s="12">
        <f>IF(OR(ISERROR(VLOOKUP(C621, Resultados_Reales!$A$4:$I$107, 5, FALSE)), ISERROR(VLOOKUP(C621, Resultados_Reales!$A$4:$I$107, 6, FALSE)), VLOOKUP(C621, Resultados_Reales!$A$4:$I$107, 5, FALSE)="", VLOOKUP(C621, Resultados_Reales!$A$4:$I$107, 6, FALSE)=""), 0, IF(AND(VLOOKUP(C621, Resultados_Reales!$A$4:$I$107, 5, FALSE)=G621, VLOOKUP(C621, Resultados_Reales!$A$4:$I$107, 6, FALSE)=H621), Configuracion!$B$5, IF(SIGN(VLOOKUP(C621, Resultados_Reales!$A$4:$I$107, 5, FALSE)-VLOOKUP(C621, Resultados_Reales!$A$4:$I$107, 6, FALSE)) = SIGN(G621-H621), Configuracion!$B$4, 0)))</f>
        <v/>
      </c>
      <c r="L621" s="11" t="n"/>
      <c r="M621" s="11" t="n"/>
      <c r="N621" s="11" t="n"/>
      <c r="O621" s="11" t="n"/>
      <c r="P621" s="11" t="n"/>
      <c r="Q621" s="11" t="n"/>
    </row>
    <row r="622">
      <c r="A622" s="8">
        <f>B622&amp;"_"&amp;C622</f>
        <v/>
      </c>
      <c r="B622" s="8" t="n"/>
      <c r="C622" s="8" t="n"/>
      <c r="D622" s="8" t="n"/>
      <c r="E622" s="11" t="n"/>
      <c r="F622" s="11" t="n"/>
      <c r="G622" s="8" t="n"/>
      <c r="H622" s="8" t="n"/>
      <c r="I622" s="8" t="n"/>
      <c r="J622" s="8" t="n"/>
      <c r="K622" s="12">
        <f>IF(OR(ISERROR(VLOOKUP(C622, Resultados_Reales!$A$4:$I$107, 5, FALSE)), ISERROR(VLOOKUP(C622, Resultados_Reales!$A$4:$I$107, 6, FALSE)), VLOOKUP(C622, Resultados_Reales!$A$4:$I$107, 5, FALSE)="", VLOOKUP(C622, Resultados_Reales!$A$4:$I$107, 6, FALSE)=""), 0, IF(AND(VLOOKUP(C622, Resultados_Reales!$A$4:$I$107, 5, FALSE)=G622, VLOOKUP(C622, Resultados_Reales!$A$4:$I$107, 6, FALSE)=H622), Configuracion!$B$5, IF(SIGN(VLOOKUP(C622, Resultados_Reales!$A$4:$I$107, 5, FALSE)-VLOOKUP(C622, Resultados_Reales!$A$4:$I$107, 6, FALSE)) = SIGN(G622-H622), Configuracion!$B$4, 0)))</f>
        <v/>
      </c>
      <c r="L622" s="11" t="n"/>
      <c r="M622" s="11" t="n"/>
      <c r="N622" s="11" t="n"/>
      <c r="O622" s="11" t="n"/>
      <c r="P622" s="11" t="n"/>
      <c r="Q622" s="11" t="n"/>
    </row>
    <row r="623">
      <c r="A623" s="8">
        <f>B623&amp;"_"&amp;C623</f>
        <v/>
      </c>
      <c r="B623" s="8" t="n"/>
      <c r="C623" s="8" t="n"/>
      <c r="D623" s="8" t="n"/>
      <c r="E623" s="11" t="n"/>
      <c r="F623" s="11" t="n"/>
      <c r="G623" s="8" t="n"/>
      <c r="H623" s="8" t="n"/>
      <c r="I623" s="8" t="n"/>
      <c r="J623" s="8" t="n"/>
      <c r="K623" s="12">
        <f>IF(OR(ISERROR(VLOOKUP(C623, Resultados_Reales!$A$4:$I$107, 5, FALSE)), ISERROR(VLOOKUP(C623, Resultados_Reales!$A$4:$I$107, 6, FALSE)), VLOOKUP(C623, Resultados_Reales!$A$4:$I$107, 5, FALSE)="", VLOOKUP(C623, Resultados_Reales!$A$4:$I$107, 6, FALSE)=""), 0, IF(AND(VLOOKUP(C623, Resultados_Reales!$A$4:$I$107, 5, FALSE)=G623, VLOOKUP(C623, Resultados_Reales!$A$4:$I$107, 6, FALSE)=H623), Configuracion!$B$5, IF(SIGN(VLOOKUP(C623, Resultados_Reales!$A$4:$I$107, 5, FALSE)-VLOOKUP(C623, Resultados_Reales!$A$4:$I$107, 6, FALSE)) = SIGN(G623-H623), Configuracion!$B$4, 0)))</f>
        <v/>
      </c>
      <c r="L623" s="11" t="n"/>
      <c r="M623" s="11" t="n"/>
      <c r="N623" s="11" t="n"/>
      <c r="O623" s="11" t="n"/>
      <c r="P623" s="11" t="n"/>
      <c r="Q623" s="11" t="n"/>
    </row>
    <row r="624">
      <c r="A624" s="8">
        <f>B624&amp;"_"&amp;C624</f>
        <v/>
      </c>
      <c r="B624" s="8" t="n"/>
      <c r="C624" s="8" t="n"/>
      <c r="D624" s="8" t="n"/>
      <c r="E624" s="11" t="n"/>
      <c r="F624" s="11" t="n"/>
      <c r="G624" s="8" t="n"/>
      <c r="H624" s="8" t="n"/>
      <c r="I624" s="8" t="n"/>
      <c r="J624" s="8" t="n"/>
      <c r="K624" s="12">
        <f>IF(OR(ISERROR(VLOOKUP(C624, Resultados_Reales!$A$4:$I$107, 5, FALSE)), ISERROR(VLOOKUP(C624, Resultados_Reales!$A$4:$I$107, 6, FALSE)), VLOOKUP(C624, Resultados_Reales!$A$4:$I$107, 5, FALSE)="", VLOOKUP(C624, Resultados_Reales!$A$4:$I$107, 6, FALSE)=""), 0, IF(AND(VLOOKUP(C624, Resultados_Reales!$A$4:$I$107, 5, FALSE)=G624, VLOOKUP(C624, Resultados_Reales!$A$4:$I$107, 6, FALSE)=H624), Configuracion!$B$5, IF(SIGN(VLOOKUP(C624, Resultados_Reales!$A$4:$I$107, 5, FALSE)-VLOOKUP(C624, Resultados_Reales!$A$4:$I$107, 6, FALSE)) = SIGN(G624-H624), Configuracion!$B$4, 0)))</f>
        <v/>
      </c>
      <c r="L624" s="11" t="n"/>
      <c r="M624" s="11" t="n"/>
      <c r="N624" s="11" t="n"/>
      <c r="O624" s="11" t="n"/>
      <c r="P624" s="11" t="n"/>
      <c r="Q624" s="11" t="n"/>
    </row>
    <row r="625">
      <c r="A625" s="8">
        <f>B625&amp;"_"&amp;C625</f>
        <v/>
      </c>
      <c r="B625" s="8" t="n"/>
      <c r="C625" s="8" t="n"/>
      <c r="D625" s="8" t="n"/>
      <c r="E625" s="11" t="n"/>
      <c r="F625" s="11" t="n"/>
      <c r="G625" s="8" t="n"/>
      <c r="H625" s="8" t="n"/>
      <c r="I625" s="8" t="n"/>
      <c r="J625" s="8" t="n"/>
      <c r="K625" s="12">
        <f>IF(OR(ISERROR(VLOOKUP(C625, Resultados_Reales!$A$4:$I$107, 5, FALSE)), ISERROR(VLOOKUP(C625, Resultados_Reales!$A$4:$I$107, 6, FALSE)), VLOOKUP(C625, Resultados_Reales!$A$4:$I$107, 5, FALSE)="", VLOOKUP(C625, Resultados_Reales!$A$4:$I$107, 6, FALSE)=""), 0, IF(AND(VLOOKUP(C625, Resultados_Reales!$A$4:$I$107, 5, FALSE)=G625, VLOOKUP(C625, Resultados_Reales!$A$4:$I$107, 6, FALSE)=H625), Configuracion!$B$5, IF(SIGN(VLOOKUP(C625, Resultados_Reales!$A$4:$I$107, 5, FALSE)-VLOOKUP(C625, Resultados_Reales!$A$4:$I$107, 6, FALSE)) = SIGN(G625-H625), Configuracion!$B$4, 0)))</f>
        <v/>
      </c>
      <c r="L625" s="11" t="n"/>
      <c r="M625" s="11" t="n"/>
      <c r="N625" s="11" t="n"/>
      <c r="O625" s="11" t="n"/>
      <c r="P625" s="11" t="n"/>
      <c r="Q625" s="11" t="n"/>
    </row>
    <row r="626">
      <c r="A626" s="8">
        <f>B626&amp;"_"&amp;C626</f>
        <v/>
      </c>
      <c r="B626" s="8" t="n"/>
      <c r="C626" s="8" t="n"/>
      <c r="D626" s="8" t="n"/>
      <c r="E626" s="11" t="n"/>
      <c r="F626" s="11" t="n"/>
      <c r="G626" s="8" t="n"/>
      <c r="H626" s="8" t="n"/>
      <c r="I626" s="8" t="n"/>
      <c r="J626" s="8" t="n"/>
      <c r="K626" s="12">
        <f>IF(OR(ISERROR(VLOOKUP(C626, Resultados_Reales!$A$4:$I$107, 5, FALSE)), ISERROR(VLOOKUP(C626, Resultados_Reales!$A$4:$I$107, 6, FALSE)), VLOOKUP(C626, Resultados_Reales!$A$4:$I$107, 5, FALSE)="", VLOOKUP(C626, Resultados_Reales!$A$4:$I$107, 6, FALSE)=""), 0, IF(AND(VLOOKUP(C626, Resultados_Reales!$A$4:$I$107, 5, FALSE)=G626, VLOOKUP(C626, Resultados_Reales!$A$4:$I$107, 6, FALSE)=H626), Configuracion!$B$5, IF(SIGN(VLOOKUP(C626, Resultados_Reales!$A$4:$I$107, 5, FALSE)-VLOOKUP(C626, Resultados_Reales!$A$4:$I$107, 6, FALSE)) = SIGN(G626-H626), Configuracion!$B$4, 0)))</f>
        <v/>
      </c>
      <c r="L626" s="11" t="n"/>
      <c r="M626" s="11" t="n"/>
      <c r="N626" s="11" t="n"/>
      <c r="O626" s="11" t="n"/>
      <c r="P626" s="11" t="n"/>
      <c r="Q626" s="11" t="n"/>
    </row>
    <row r="627">
      <c r="A627" s="8">
        <f>B627&amp;"_"&amp;C627</f>
        <v/>
      </c>
      <c r="B627" s="8" t="n"/>
      <c r="C627" s="8" t="n"/>
      <c r="D627" s="8" t="n"/>
      <c r="E627" s="11" t="n"/>
      <c r="F627" s="11" t="n"/>
      <c r="G627" s="8" t="n"/>
      <c r="H627" s="8" t="n"/>
      <c r="I627" s="8" t="n"/>
      <c r="J627" s="8" t="n"/>
      <c r="K627" s="12">
        <f>IF(OR(ISERROR(VLOOKUP(C627, Resultados_Reales!$A$4:$I$107, 5, FALSE)), ISERROR(VLOOKUP(C627, Resultados_Reales!$A$4:$I$107, 6, FALSE)), VLOOKUP(C627, Resultados_Reales!$A$4:$I$107, 5, FALSE)="", VLOOKUP(C627, Resultados_Reales!$A$4:$I$107, 6, FALSE)=""), 0, IF(AND(VLOOKUP(C627, Resultados_Reales!$A$4:$I$107, 5, FALSE)=G627, VLOOKUP(C627, Resultados_Reales!$A$4:$I$107, 6, FALSE)=H627), Configuracion!$B$5, IF(SIGN(VLOOKUP(C627, Resultados_Reales!$A$4:$I$107, 5, FALSE)-VLOOKUP(C627, Resultados_Reales!$A$4:$I$107, 6, FALSE)) = SIGN(G627-H627), Configuracion!$B$4, 0)))</f>
        <v/>
      </c>
      <c r="L627" s="11" t="n"/>
      <c r="M627" s="11" t="n"/>
      <c r="N627" s="11" t="n"/>
      <c r="O627" s="11" t="n"/>
      <c r="P627" s="11" t="n"/>
      <c r="Q627" s="11" t="n"/>
    </row>
    <row r="628">
      <c r="A628" s="8">
        <f>B628&amp;"_"&amp;C628</f>
        <v/>
      </c>
      <c r="B628" s="8" t="n"/>
      <c r="C628" s="8" t="n"/>
      <c r="D628" s="8" t="n"/>
      <c r="E628" s="11" t="n"/>
      <c r="F628" s="11" t="n"/>
      <c r="G628" s="8" t="n"/>
      <c r="H628" s="8" t="n"/>
      <c r="I628" s="8" t="n"/>
      <c r="J628" s="8" t="n"/>
      <c r="K628" s="12">
        <f>IF(OR(ISERROR(VLOOKUP(C628, Resultados_Reales!$A$4:$I$107, 5, FALSE)), ISERROR(VLOOKUP(C628, Resultados_Reales!$A$4:$I$107, 6, FALSE)), VLOOKUP(C628, Resultados_Reales!$A$4:$I$107, 5, FALSE)="", VLOOKUP(C628, Resultados_Reales!$A$4:$I$107, 6, FALSE)=""), 0, IF(AND(VLOOKUP(C628, Resultados_Reales!$A$4:$I$107, 5, FALSE)=G628, VLOOKUP(C628, Resultados_Reales!$A$4:$I$107, 6, FALSE)=H628), Configuracion!$B$5, IF(SIGN(VLOOKUP(C628, Resultados_Reales!$A$4:$I$107, 5, FALSE)-VLOOKUP(C628, Resultados_Reales!$A$4:$I$107, 6, FALSE)) = SIGN(G628-H628), Configuracion!$B$4, 0)))</f>
        <v/>
      </c>
      <c r="L628" s="11" t="n"/>
      <c r="M628" s="11" t="n"/>
      <c r="N628" s="11" t="n"/>
      <c r="O628" s="11" t="n"/>
      <c r="P628" s="11" t="n"/>
      <c r="Q628" s="11" t="n"/>
    </row>
    <row r="629">
      <c r="A629" s="8">
        <f>B629&amp;"_"&amp;C629</f>
        <v/>
      </c>
      <c r="B629" s="8" t="n"/>
      <c r="C629" s="8" t="n"/>
      <c r="D629" s="8" t="n"/>
      <c r="E629" s="11" t="n"/>
      <c r="F629" s="11" t="n"/>
      <c r="G629" s="8" t="n"/>
      <c r="H629" s="8" t="n"/>
      <c r="I629" s="8" t="n"/>
      <c r="J629" s="8" t="n"/>
      <c r="K629" s="12">
        <f>IF(OR(ISERROR(VLOOKUP(C629, Resultados_Reales!$A$4:$I$107, 5, FALSE)), ISERROR(VLOOKUP(C629, Resultados_Reales!$A$4:$I$107, 6, FALSE)), VLOOKUP(C629, Resultados_Reales!$A$4:$I$107, 5, FALSE)="", VLOOKUP(C629, Resultados_Reales!$A$4:$I$107, 6, FALSE)=""), 0, IF(AND(VLOOKUP(C629, Resultados_Reales!$A$4:$I$107, 5, FALSE)=G629, VLOOKUP(C629, Resultados_Reales!$A$4:$I$107, 6, FALSE)=H629), Configuracion!$B$5, IF(SIGN(VLOOKUP(C629, Resultados_Reales!$A$4:$I$107, 5, FALSE)-VLOOKUP(C629, Resultados_Reales!$A$4:$I$107, 6, FALSE)) = SIGN(G629-H629), Configuracion!$B$4, 0)))</f>
        <v/>
      </c>
      <c r="L629" s="11" t="n"/>
      <c r="M629" s="11" t="n"/>
      <c r="N629" s="11" t="n"/>
      <c r="O629" s="11" t="n"/>
      <c r="P629" s="11" t="n"/>
      <c r="Q629" s="11" t="n"/>
    </row>
    <row r="630">
      <c r="A630" s="8">
        <f>B630&amp;"_"&amp;C630</f>
        <v/>
      </c>
      <c r="B630" s="8" t="n"/>
      <c r="C630" s="8" t="n"/>
      <c r="D630" s="8" t="n"/>
      <c r="E630" s="11" t="n"/>
      <c r="F630" s="11" t="n"/>
      <c r="G630" s="8" t="n"/>
      <c r="H630" s="8" t="n"/>
      <c r="I630" s="8" t="n"/>
      <c r="J630" s="8" t="n"/>
      <c r="K630" s="12">
        <f>IF(OR(ISERROR(VLOOKUP(C630, Resultados_Reales!$A$4:$I$107, 5, FALSE)), ISERROR(VLOOKUP(C630, Resultados_Reales!$A$4:$I$107, 6, FALSE)), VLOOKUP(C630, Resultados_Reales!$A$4:$I$107, 5, FALSE)="", VLOOKUP(C630, Resultados_Reales!$A$4:$I$107, 6, FALSE)=""), 0, IF(AND(VLOOKUP(C630, Resultados_Reales!$A$4:$I$107, 5, FALSE)=G630, VLOOKUP(C630, Resultados_Reales!$A$4:$I$107, 6, FALSE)=H630), Configuracion!$B$5, IF(SIGN(VLOOKUP(C630, Resultados_Reales!$A$4:$I$107, 5, FALSE)-VLOOKUP(C630, Resultados_Reales!$A$4:$I$107, 6, FALSE)) = SIGN(G630-H630), Configuracion!$B$4, 0)))</f>
        <v/>
      </c>
      <c r="L630" s="11" t="n"/>
      <c r="M630" s="11" t="n"/>
      <c r="N630" s="11" t="n"/>
      <c r="O630" s="11" t="n"/>
      <c r="P630" s="11" t="n"/>
      <c r="Q630" s="11" t="n"/>
    </row>
    <row r="631">
      <c r="A631" s="8">
        <f>B631&amp;"_"&amp;C631</f>
        <v/>
      </c>
      <c r="B631" s="8" t="n"/>
      <c r="C631" s="8" t="n"/>
      <c r="D631" s="8" t="n"/>
      <c r="E631" s="11" t="n"/>
      <c r="F631" s="11" t="n"/>
      <c r="G631" s="8" t="n"/>
      <c r="H631" s="8" t="n"/>
      <c r="I631" s="8" t="n"/>
      <c r="J631" s="8" t="n"/>
      <c r="K631" s="12">
        <f>IF(OR(ISERROR(VLOOKUP(C631, Resultados_Reales!$A$4:$I$107, 5, FALSE)), ISERROR(VLOOKUP(C631, Resultados_Reales!$A$4:$I$107, 6, FALSE)), VLOOKUP(C631, Resultados_Reales!$A$4:$I$107, 5, FALSE)="", VLOOKUP(C631, Resultados_Reales!$A$4:$I$107, 6, FALSE)=""), 0, IF(AND(VLOOKUP(C631, Resultados_Reales!$A$4:$I$107, 5, FALSE)=G631, VLOOKUP(C631, Resultados_Reales!$A$4:$I$107, 6, FALSE)=H631), Configuracion!$B$5, IF(SIGN(VLOOKUP(C631, Resultados_Reales!$A$4:$I$107, 5, FALSE)-VLOOKUP(C631, Resultados_Reales!$A$4:$I$107, 6, FALSE)) = SIGN(G631-H631), Configuracion!$B$4, 0)))</f>
        <v/>
      </c>
      <c r="L631" s="11" t="n"/>
      <c r="M631" s="11" t="n"/>
      <c r="N631" s="11" t="n"/>
      <c r="O631" s="11" t="n"/>
      <c r="P631" s="11" t="n"/>
      <c r="Q631" s="11" t="n"/>
    </row>
    <row r="632">
      <c r="A632" s="8">
        <f>B632&amp;"_"&amp;C632</f>
        <v/>
      </c>
      <c r="B632" s="8" t="n"/>
      <c r="C632" s="8" t="n"/>
      <c r="D632" s="8" t="n"/>
      <c r="E632" s="11" t="n"/>
      <c r="F632" s="11" t="n"/>
      <c r="G632" s="8" t="n"/>
      <c r="H632" s="8" t="n"/>
      <c r="I632" s="8" t="n"/>
      <c r="J632" s="8" t="n"/>
      <c r="K632" s="12">
        <f>IF(OR(ISERROR(VLOOKUP(C632, Resultados_Reales!$A$4:$I$107, 5, FALSE)), ISERROR(VLOOKUP(C632, Resultados_Reales!$A$4:$I$107, 6, FALSE)), VLOOKUP(C632, Resultados_Reales!$A$4:$I$107, 5, FALSE)="", VLOOKUP(C632, Resultados_Reales!$A$4:$I$107, 6, FALSE)=""), 0, IF(AND(VLOOKUP(C632, Resultados_Reales!$A$4:$I$107, 5, FALSE)=G632, VLOOKUP(C632, Resultados_Reales!$A$4:$I$107, 6, FALSE)=H632), Configuracion!$B$5, IF(SIGN(VLOOKUP(C632, Resultados_Reales!$A$4:$I$107, 5, FALSE)-VLOOKUP(C632, Resultados_Reales!$A$4:$I$107, 6, FALSE)) = SIGN(G632-H632), Configuracion!$B$4, 0)))</f>
        <v/>
      </c>
      <c r="L632" s="11" t="n"/>
      <c r="M632" s="11" t="n"/>
      <c r="N632" s="11" t="n"/>
      <c r="O632" s="11" t="n"/>
      <c r="P632" s="11" t="n"/>
      <c r="Q632" s="11" t="n"/>
    </row>
    <row r="633">
      <c r="A633" s="8">
        <f>B633&amp;"_"&amp;C633</f>
        <v/>
      </c>
      <c r="B633" s="8" t="n"/>
      <c r="C633" s="8" t="n"/>
      <c r="D633" s="8" t="n"/>
      <c r="E633" s="11" t="n"/>
      <c r="F633" s="11" t="n"/>
      <c r="G633" s="8" t="n"/>
      <c r="H633" s="8" t="n"/>
      <c r="I633" s="8" t="n"/>
      <c r="J633" s="8" t="n"/>
      <c r="K633" s="12">
        <f>IF(OR(ISERROR(VLOOKUP(C633, Resultados_Reales!$A$4:$I$107, 5, FALSE)), ISERROR(VLOOKUP(C633, Resultados_Reales!$A$4:$I$107, 6, FALSE)), VLOOKUP(C633, Resultados_Reales!$A$4:$I$107, 5, FALSE)="", VLOOKUP(C633, Resultados_Reales!$A$4:$I$107, 6, FALSE)=""), 0, IF(AND(VLOOKUP(C633, Resultados_Reales!$A$4:$I$107, 5, FALSE)=G633, VLOOKUP(C633, Resultados_Reales!$A$4:$I$107, 6, FALSE)=H633), Configuracion!$B$5, IF(SIGN(VLOOKUP(C633, Resultados_Reales!$A$4:$I$107, 5, FALSE)-VLOOKUP(C633, Resultados_Reales!$A$4:$I$107, 6, FALSE)) = SIGN(G633-H633), Configuracion!$B$4, 0)))</f>
        <v/>
      </c>
      <c r="L633" s="11" t="n"/>
      <c r="M633" s="11" t="n"/>
      <c r="N633" s="11" t="n"/>
      <c r="O633" s="11" t="n"/>
      <c r="P633" s="11" t="n"/>
      <c r="Q633" s="11" t="n"/>
    </row>
    <row r="634">
      <c r="A634" s="8">
        <f>B634&amp;"_"&amp;C634</f>
        <v/>
      </c>
      <c r="B634" s="8" t="n"/>
      <c r="C634" s="8" t="n"/>
      <c r="D634" s="8" t="n"/>
      <c r="E634" s="11" t="n"/>
      <c r="F634" s="11" t="n"/>
      <c r="G634" s="8" t="n"/>
      <c r="H634" s="8" t="n"/>
      <c r="I634" s="8" t="n"/>
      <c r="J634" s="8" t="n"/>
      <c r="K634" s="12">
        <f>IF(OR(ISERROR(VLOOKUP(C634, Resultados_Reales!$A$4:$I$107, 5, FALSE)), ISERROR(VLOOKUP(C634, Resultados_Reales!$A$4:$I$107, 6, FALSE)), VLOOKUP(C634, Resultados_Reales!$A$4:$I$107, 5, FALSE)="", VLOOKUP(C634, Resultados_Reales!$A$4:$I$107, 6, FALSE)=""), 0, IF(AND(VLOOKUP(C634, Resultados_Reales!$A$4:$I$107, 5, FALSE)=G634, VLOOKUP(C634, Resultados_Reales!$A$4:$I$107, 6, FALSE)=H634), Configuracion!$B$5, IF(SIGN(VLOOKUP(C634, Resultados_Reales!$A$4:$I$107, 5, FALSE)-VLOOKUP(C634, Resultados_Reales!$A$4:$I$107, 6, FALSE)) = SIGN(G634-H634), Configuracion!$B$4, 0)))</f>
        <v/>
      </c>
      <c r="L634" s="11" t="n"/>
      <c r="M634" s="11" t="n"/>
      <c r="N634" s="11" t="n"/>
      <c r="O634" s="11" t="n"/>
      <c r="P634" s="11" t="n"/>
      <c r="Q634" s="11" t="n"/>
    </row>
    <row r="635">
      <c r="A635" s="8">
        <f>B635&amp;"_"&amp;C635</f>
        <v/>
      </c>
      <c r="B635" s="8" t="n"/>
      <c r="C635" s="8" t="n"/>
      <c r="D635" s="8" t="n"/>
      <c r="E635" s="11" t="n"/>
      <c r="F635" s="11" t="n"/>
      <c r="G635" s="8" t="n"/>
      <c r="H635" s="8" t="n"/>
      <c r="I635" s="8" t="n"/>
      <c r="J635" s="8" t="n"/>
      <c r="K635" s="12">
        <f>IF(OR(ISERROR(VLOOKUP(C635, Resultados_Reales!$A$4:$I$107, 5, FALSE)), ISERROR(VLOOKUP(C635, Resultados_Reales!$A$4:$I$107, 6, FALSE)), VLOOKUP(C635, Resultados_Reales!$A$4:$I$107, 5, FALSE)="", VLOOKUP(C635, Resultados_Reales!$A$4:$I$107, 6, FALSE)=""), 0, IF(AND(VLOOKUP(C635, Resultados_Reales!$A$4:$I$107, 5, FALSE)=G635, VLOOKUP(C635, Resultados_Reales!$A$4:$I$107, 6, FALSE)=H635), Configuracion!$B$5, IF(SIGN(VLOOKUP(C635, Resultados_Reales!$A$4:$I$107, 5, FALSE)-VLOOKUP(C635, Resultados_Reales!$A$4:$I$107, 6, FALSE)) = SIGN(G635-H635), Configuracion!$B$4, 0)))</f>
        <v/>
      </c>
      <c r="L635" s="11" t="n"/>
      <c r="M635" s="11" t="n"/>
      <c r="N635" s="11" t="n"/>
      <c r="O635" s="11" t="n"/>
      <c r="P635" s="11" t="n"/>
      <c r="Q635" s="11" t="n"/>
    </row>
    <row r="636">
      <c r="A636" s="8">
        <f>B636&amp;"_"&amp;C636</f>
        <v/>
      </c>
      <c r="B636" s="8" t="n"/>
      <c r="C636" s="8" t="n"/>
      <c r="D636" s="8" t="n"/>
      <c r="E636" s="11" t="n"/>
      <c r="F636" s="11" t="n"/>
      <c r="G636" s="8" t="n"/>
      <c r="H636" s="8" t="n"/>
      <c r="I636" s="8" t="n"/>
      <c r="J636" s="8" t="n"/>
      <c r="K636" s="12">
        <f>IF(OR(ISERROR(VLOOKUP(C636, Resultados_Reales!$A$4:$I$107, 5, FALSE)), ISERROR(VLOOKUP(C636, Resultados_Reales!$A$4:$I$107, 6, FALSE)), VLOOKUP(C636, Resultados_Reales!$A$4:$I$107, 5, FALSE)="", VLOOKUP(C636, Resultados_Reales!$A$4:$I$107, 6, FALSE)=""), 0, IF(AND(VLOOKUP(C636, Resultados_Reales!$A$4:$I$107, 5, FALSE)=G636, VLOOKUP(C636, Resultados_Reales!$A$4:$I$107, 6, FALSE)=H636), Configuracion!$B$5, IF(SIGN(VLOOKUP(C636, Resultados_Reales!$A$4:$I$107, 5, FALSE)-VLOOKUP(C636, Resultados_Reales!$A$4:$I$107, 6, FALSE)) = SIGN(G636-H636), Configuracion!$B$4, 0)))</f>
        <v/>
      </c>
      <c r="L636" s="11" t="n"/>
      <c r="M636" s="11" t="n"/>
      <c r="N636" s="11" t="n"/>
      <c r="O636" s="11" t="n"/>
      <c r="P636" s="11" t="n"/>
      <c r="Q636" s="11" t="n"/>
    </row>
    <row r="637">
      <c r="A637" s="8">
        <f>B637&amp;"_"&amp;C637</f>
        <v/>
      </c>
      <c r="B637" s="8" t="n"/>
      <c r="C637" s="8" t="n"/>
      <c r="D637" s="8" t="n"/>
      <c r="E637" s="11" t="n"/>
      <c r="F637" s="11" t="n"/>
      <c r="G637" s="8" t="n"/>
      <c r="H637" s="8" t="n"/>
      <c r="I637" s="8" t="n"/>
      <c r="J637" s="8" t="n"/>
      <c r="K637" s="12">
        <f>IF(OR(ISERROR(VLOOKUP(C637, Resultados_Reales!$A$4:$I$107, 5, FALSE)), ISERROR(VLOOKUP(C637, Resultados_Reales!$A$4:$I$107, 6, FALSE)), VLOOKUP(C637, Resultados_Reales!$A$4:$I$107, 5, FALSE)="", VLOOKUP(C637, Resultados_Reales!$A$4:$I$107, 6, FALSE)=""), 0, IF(AND(VLOOKUP(C637, Resultados_Reales!$A$4:$I$107, 5, FALSE)=G637, VLOOKUP(C637, Resultados_Reales!$A$4:$I$107, 6, FALSE)=H637), Configuracion!$B$5, IF(SIGN(VLOOKUP(C637, Resultados_Reales!$A$4:$I$107, 5, FALSE)-VLOOKUP(C637, Resultados_Reales!$A$4:$I$107, 6, FALSE)) = SIGN(G637-H637), Configuracion!$B$4, 0)))</f>
        <v/>
      </c>
      <c r="L637" s="11" t="n"/>
      <c r="M637" s="11" t="n"/>
      <c r="N637" s="11" t="n"/>
      <c r="O637" s="11" t="n"/>
      <c r="P637" s="11" t="n"/>
      <c r="Q637" s="11" t="n"/>
    </row>
    <row r="638">
      <c r="A638" s="8">
        <f>B638&amp;"_"&amp;C638</f>
        <v/>
      </c>
      <c r="B638" s="8" t="n"/>
      <c r="C638" s="8" t="n"/>
      <c r="D638" s="8" t="n"/>
      <c r="E638" s="11" t="n"/>
      <c r="F638" s="11" t="n"/>
      <c r="G638" s="8" t="n"/>
      <c r="H638" s="8" t="n"/>
      <c r="I638" s="8" t="n"/>
      <c r="J638" s="8" t="n"/>
      <c r="K638" s="12">
        <f>IF(OR(ISERROR(VLOOKUP(C638, Resultados_Reales!$A$4:$I$107, 5, FALSE)), ISERROR(VLOOKUP(C638, Resultados_Reales!$A$4:$I$107, 6, FALSE)), VLOOKUP(C638, Resultados_Reales!$A$4:$I$107, 5, FALSE)="", VLOOKUP(C638, Resultados_Reales!$A$4:$I$107, 6, FALSE)=""), 0, IF(AND(VLOOKUP(C638, Resultados_Reales!$A$4:$I$107, 5, FALSE)=G638, VLOOKUP(C638, Resultados_Reales!$A$4:$I$107, 6, FALSE)=H638), Configuracion!$B$5, IF(SIGN(VLOOKUP(C638, Resultados_Reales!$A$4:$I$107, 5, FALSE)-VLOOKUP(C638, Resultados_Reales!$A$4:$I$107, 6, FALSE)) = SIGN(G638-H638), Configuracion!$B$4, 0)))</f>
        <v/>
      </c>
      <c r="L638" s="11" t="n"/>
      <c r="M638" s="11" t="n"/>
      <c r="N638" s="11" t="n"/>
      <c r="O638" s="11" t="n"/>
      <c r="P638" s="11" t="n"/>
      <c r="Q638" s="11" t="n"/>
    </row>
    <row r="639">
      <c r="A639" s="8">
        <f>B639&amp;"_"&amp;C639</f>
        <v/>
      </c>
      <c r="B639" s="8" t="n"/>
      <c r="C639" s="8" t="n"/>
      <c r="D639" s="8" t="n"/>
      <c r="E639" s="11" t="n"/>
      <c r="F639" s="11" t="n"/>
      <c r="G639" s="8" t="n"/>
      <c r="H639" s="8" t="n"/>
      <c r="I639" s="8" t="n"/>
      <c r="J639" s="8" t="n"/>
      <c r="K639" s="12">
        <f>IF(OR(ISERROR(VLOOKUP(C639, Resultados_Reales!$A$4:$I$107, 5, FALSE)), ISERROR(VLOOKUP(C639, Resultados_Reales!$A$4:$I$107, 6, FALSE)), VLOOKUP(C639, Resultados_Reales!$A$4:$I$107, 5, FALSE)="", VLOOKUP(C639, Resultados_Reales!$A$4:$I$107, 6, FALSE)=""), 0, IF(AND(VLOOKUP(C639, Resultados_Reales!$A$4:$I$107, 5, FALSE)=G639, VLOOKUP(C639, Resultados_Reales!$A$4:$I$107, 6, FALSE)=H639), Configuracion!$B$5, IF(SIGN(VLOOKUP(C639, Resultados_Reales!$A$4:$I$107, 5, FALSE)-VLOOKUP(C639, Resultados_Reales!$A$4:$I$107, 6, FALSE)) = SIGN(G639-H639), Configuracion!$B$4, 0)))</f>
        <v/>
      </c>
      <c r="L639" s="11" t="n"/>
      <c r="M639" s="11" t="n"/>
      <c r="N639" s="11" t="n"/>
      <c r="O639" s="11" t="n"/>
      <c r="P639" s="11" t="n"/>
      <c r="Q639" s="11" t="n"/>
    </row>
    <row r="640">
      <c r="A640" s="8">
        <f>B640&amp;"_"&amp;C640</f>
        <v/>
      </c>
      <c r="B640" s="8" t="n"/>
      <c r="C640" s="8" t="n"/>
      <c r="D640" s="8" t="n"/>
      <c r="E640" s="11" t="n"/>
      <c r="F640" s="11" t="n"/>
      <c r="G640" s="8" t="n"/>
      <c r="H640" s="8" t="n"/>
      <c r="I640" s="8" t="n"/>
      <c r="J640" s="8" t="n"/>
      <c r="K640" s="12">
        <f>IF(OR(ISERROR(VLOOKUP(C640, Resultados_Reales!$A$4:$I$107, 5, FALSE)), ISERROR(VLOOKUP(C640, Resultados_Reales!$A$4:$I$107, 6, FALSE)), VLOOKUP(C640, Resultados_Reales!$A$4:$I$107, 5, FALSE)="", VLOOKUP(C640, Resultados_Reales!$A$4:$I$107, 6, FALSE)=""), 0, IF(AND(VLOOKUP(C640, Resultados_Reales!$A$4:$I$107, 5, FALSE)=G640, VLOOKUP(C640, Resultados_Reales!$A$4:$I$107, 6, FALSE)=H640), Configuracion!$B$5, IF(SIGN(VLOOKUP(C640, Resultados_Reales!$A$4:$I$107, 5, FALSE)-VLOOKUP(C640, Resultados_Reales!$A$4:$I$107, 6, FALSE)) = SIGN(G640-H640), Configuracion!$B$4, 0)))</f>
        <v/>
      </c>
      <c r="L640" s="11" t="n"/>
      <c r="M640" s="11" t="n"/>
      <c r="N640" s="11" t="n"/>
      <c r="O640" s="11" t="n"/>
      <c r="P640" s="11" t="n"/>
      <c r="Q640" s="11" t="n"/>
    </row>
    <row r="641">
      <c r="A641" s="8">
        <f>B641&amp;"_"&amp;C641</f>
        <v/>
      </c>
      <c r="B641" s="8" t="n"/>
      <c r="C641" s="8" t="n"/>
      <c r="D641" s="8" t="n"/>
      <c r="E641" s="11" t="n"/>
      <c r="F641" s="11" t="n"/>
      <c r="G641" s="8" t="n"/>
      <c r="H641" s="8" t="n"/>
      <c r="I641" s="8" t="n"/>
      <c r="J641" s="8" t="n"/>
      <c r="K641" s="12">
        <f>IF(OR(ISERROR(VLOOKUP(C641, Resultados_Reales!$A$4:$I$107, 5, FALSE)), ISERROR(VLOOKUP(C641, Resultados_Reales!$A$4:$I$107, 6, FALSE)), VLOOKUP(C641, Resultados_Reales!$A$4:$I$107, 5, FALSE)="", VLOOKUP(C641, Resultados_Reales!$A$4:$I$107, 6, FALSE)=""), 0, IF(AND(VLOOKUP(C641, Resultados_Reales!$A$4:$I$107, 5, FALSE)=G641, VLOOKUP(C641, Resultados_Reales!$A$4:$I$107, 6, FALSE)=H641), Configuracion!$B$5, IF(SIGN(VLOOKUP(C641, Resultados_Reales!$A$4:$I$107, 5, FALSE)-VLOOKUP(C641, Resultados_Reales!$A$4:$I$107, 6, FALSE)) = SIGN(G641-H641), Configuracion!$B$4, 0)))</f>
        <v/>
      </c>
      <c r="L641" s="11" t="n"/>
      <c r="M641" s="11" t="n"/>
      <c r="N641" s="11" t="n"/>
      <c r="O641" s="11" t="n"/>
      <c r="P641" s="11" t="n"/>
      <c r="Q641" s="11" t="n"/>
    </row>
    <row r="642">
      <c r="A642" s="8">
        <f>B642&amp;"_"&amp;C642</f>
        <v/>
      </c>
      <c r="B642" s="8" t="n"/>
      <c r="C642" s="8" t="n"/>
      <c r="D642" s="8" t="n"/>
      <c r="E642" s="11" t="n"/>
      <c r="F642" s="11" t="n"/>
      <c r="G642" s="8" t="n"/>
      <c r="H642" s="8" t="n"/>
      <c r="I642" s="8" t="n"/>
      <c r="J642" s="8" t="n"/>
      <c r="K642" s="12">
        <f>IF(OR(ISERROR(VLOOKUP(C642, Resultados_Reales!$A$4:$I$107, 5, FALSE)), ISERROR(VLOOKUP(C642, Resultados_Reales!$A$4:$I$107, 6, FALSE)), VLOOKUP(C642, Resultados_Reales!$A$4:$I$107, 5, FALSE)="", VLOOKUP(C642, Resultados_Reales!$A$4:$I$107, 6, FALSE)=""), 0, IF(AND(VLOOKUP(C642, Resultados_Reales!$A$4:$I$107, 5, FALSE)=G642, VLOOKUP(C642, Resultados_Reales!$A$4:$I$107, 6, FALSE)=H642), Configuracion!$B$5, IF(SIGN(VLOOKUP(C642, Resultados_Reales!$A$4:$I$107, 5, FALSE)-VLOOKUP(C642, Resultados_Reales!$A$4:$I$107, 6, FALSE)) = SIGN(G642-H642), Configuracion!$B$4, 0)))</f>
        <v/>
      </c>
      <c r="L642" s="11" t="n"/>
      <c r="M642" s="11" t="n"/>
      <c r="N642" s="11" t="n"/>
      <c r="O642" s="11" t="n"/>
      <c r="P642" s="11" t="n"/>
      <c r="Q642" s="11" t="n"/>
    </row>
    <row r="643">
      <c r="A643" s="8">
        <f>B643&amp;"_"&amp;C643</f>
        <v/>
      </c>
      <c r="B643" s="8" t="n"/>
      <c r="C643" s="8" t="n"/>
      <c r="D643" s="8" t="n"/>
      <c r="E643" s="11" t="n"/>
      <c r="F643" s="11" t="n"/>
      <c r="G643" s="8" t="n"/>
      <c r="H643" s="8" t="n"/>
      <c r="I643" s="8" t="n"/>
      <c r="J643" s="8" t="n"/>
      <c r="K643" s="12">
        <f>IF(OR(ISERROR(VLOOKUP(C643, Resultados_Reales!$A$4:$I$107, 5, FALSE)), ISERROR(VLOOKUP(C643, Resultados_Reales!$A$4:$I$107, 6, FALSE)), VLOOKUP(C643, Resultados_Reales!$A$4:$I$107, 5, FALSE)="", VLOOKUP(C643, Resultados_Reales!$A$4:$I$107, 6, FALSE)=""), 0, IF(AND(VLOOKUP(C643, Resultados_Reales!$A$4:$I$107, 5, FALSE)=G643, VLOOKUP(C643, Resultados_Reales!$A$4:$I$107, 6, FALSE)=H643), Configuracion!$B$5, IF(SIGN(VLOOKUP(C643, Resultados_Reales!$A$4:$I$107, 5, FALSE)-VLOOKUP(C643, Resultados_Reales!$A$4:$I$107, 6, FALSE)) = SIGN(G643-H643), Configuracion!$B$4, 0)))</f>
        <v/>
      </c>
      <c r="L643" s="11" t="n"/>
      <c r="M643" s="11" t="n"/>
      <c r="N643" s="11" t="n"/>
      <c r="O643" s="11" t="n"/>
      <c r="P643" s="11" t="n"/>
      <c r="Q643" s="11" t="n"/>
    </row>
    <row r="644">
      <c r="A644" s="8">
        <f>B644&amp;"_"&amp;C644</f>
        <v/>
      </c>
      <c r="B644" s="8" t="n"/>
      <c r="C644" s="8" t="n"/>
      <c r="D644" s="8" t="n"/>
      <c r="E644" s="11" t="n"/>
      <c r="F644" s="11" t="n"/>
      <c r="G644" s="8" t="n"/>
      <c r="H644" s="8" t="n"/>
      <c r="I644" s="8" t="n"/>
      <c r="J644" s="8" t="n"/>
      <c r="K644" s="12">
        <f>IF(OR(ISERROR(VLOOKUP(C644, Resultados_Reales!$A$4:$I$107, 5, FALSE)), ISERROR(VLOOKUP(C644, Resultados_Reales!$A$4:$I$107, 6, FALSE)), VLOOKUP(C644, Resultados_Reales!$A$4:$I$107, 5, FALSE)="", VLOOKUP(C644, Resultados_Reales!$A$4:$I$107, 6, FALSE)=""), 0, IF(AND(VLOOKUP(C644, Resultados_Reales!$A$4:$I$107, 5, FALSE)=G644, VLOOKUP(C644, Resultados_Reales!$A$4:$I$107, 6, FALSE)=H644), Configuracion!$B$5, IF(SIGN(VLOOKUP(C644, Resultados_Reales!$A$4:$I$107, 5, FALSE)-VLOOKUP(C644, Resultados_Reales!$A$4:$I$107, 6, FALSE)) = SIGN(G644-H644), Configuracion!$B$4, 0)))</f>
        <v/>
      </c>
      <c r="L644" s="11" t="n"/>
      <c r="M644" s="11" t="n"/>
      <c r="N644" s="11" t="n"/>
      <c r="O644" s="11" t="n"/>
      <c r="P644" s="11" t="n"/>
      <c r="Q644" s="11" t="n"/>
    </row>
    <row r="645">
      <c r="A645" s="8">
        <f>B645&amp;"_"&amp;C645</f>
        <v/>
      </c>
      <c r="B645" s="8" t="n"/>
      <c r="C645" s="8" t="n"/>
      <c r="D645" s="8" t="n"/>
      <c r="E645" s="11" t="n"/>
      <c r="F645" s="11" t="n"/>
      <c r="G645" s="8" t="n"/>
      <c r="H645" s="8" t="n"/>
      <c r="I645" s="8" t="n"/>
      <c r="J645" s="8" t="n"/>
      <c r="K645" s="12">
        <f>IF(OR(ISERROR(VLOOKUP(C645, Resultados_Reales!$A$4:$I$107, 5, FALSE)), ISERROR(VLOOKUP(C645, Resultados_Reales!$A$4:$I$107, 6, FALSE)), VLOOKUP(C645, Resultados_Reales!$A$4:$I$107, 5, FALSE)="", VLOOKUP(C645, Resultados_Reales!$A$4:$I$107, 6, FALSE)=""), 0, IF(AND(VLOOKUP(C645, Resultados_Reales!$A$4:$I$107, 5, FALSE)=G645, VLOOKUP(C645, Resultados_Reales!$A$4:$I$107, 6, FALSE)=H645), Configuracion!$B$5, IF(SIGN(VLOOKUP(C645, Resultados_Reales!$A$4:$I$107, 5, FALSE)-VLOOKUP(C645, Resultados_Reales!$A$4:$I$107, 6, FALSE)) = SIGN(G645-H645), Configuracion!$B$4, 0)))</f>
        <v/>
      </c>
      <c r="L645" s="11" t="n"/>
      <c r="M645" s="11" t="n"/>
      <c r="N645" s="11" t="n"/>
      <c r="O645" s="11" t="n"/>
      <c r="P645" s="11" t="n"/>
      <c r="Q645" s="11" t="n"/>
    </row>
    <row r="646">
      <c r="A646" s="8">
        <f>B646&amp;"_"&amp;C646</f>
        <v/>
      </c>
      <c r="B646" s="8" t="n"/>
      <c r="C646" s="8" t="n"/>
      <c r="D646" s="8" t="n"/>
      <c r="E646" s="11" t="n"/>
      <c r="F646" s="11" t="n"/>
      <c r="G646" s="8" t="n"/>
      <c r="H646" s="8" t="n"/>
      <c r="I646" s="8" t="n"/>
      <c r="J646" s="8" t="n"/>
      <c r="K646" s="12">
        <f>IF(OR(ISERROR(VLOOKUP(C646, Resultados_Reales!$A$4:$I$107, 5, FALSE)), ISERROR(VLOOKUP(C646, Resultados_Reales!$A$4:$I$107, 6, FALSE)), VLOOKUP(C646, Resultados_Reales!$A$4:$I$107, 5, FALSE)="", VLOOKUP(C646, Resultados_Reales!$A$4:$I$107, 6, FALSE)=""), 0, IF(AND(VLOOKUP(C646, Resultados_Reales!$A$4:$I$107, 5, FALSE)=G646, VLOOKUP(C646, Resultados_Reales!$A$4:$I$107, 6, FALSE)=H646), Configuracion!$B$5, IF(SIGN(VLOOKUP(C646, Resultados_Reales!$A$4:$I$107, 5, FALSE)-VLOOKUP(C646, Resultados_Reales!$A$4:$I$107, 6, FALSE)) = SIGN(G646-H646), Configuracion!$B$4, 0)))</f>
        <v/>
      </c>
      <c r="L646" s="11" t="n"/>
      <c r="M646" s="11" t="n"/>
      <c r="N646" s="11" t="n"/>
      <c r="O646" s="11" t="n"/>
      <c r="P646" s="11" t="n"/>
      <c r="Q646" s="11" t="n"/>
    </row>
    <row r="647">
      <c r="A647" s="8">
        <f>B647&amp;"_"&amp;C647</f>
        <v/>
      </c>
      <c r="B647" s="8" t="n"/>
      <c r="C647" s="8" t="n"/>
      <c r="D647" s="8" t="n"/>
      <c r="E647" s="11" t="n"/>
      <c r="F647" s="11" t="n"/>
      <c r="G647" s="8" t="n"/>
      <c r="H647" s="8" t="n"/>
      <c r="I647" s="8" t="n"/>
      <c r="J647" s="8" t="n"/>
      <c r="K647" s="12">
        <f>IF(OR(ISERROR(VLOOKUP(C647, Resultados_Reales!$A$4:$I$107, 5, FALSE)), ISERROR(VLOOKUP(C647, Resultados_Reales!$A$4:$I$107, 6, FALSE)), VLOOKUP(C647, Resultados_Reales!$A$4:$I$107, 5, FALSE)="", VLOOKUP(C647, Resultados_Reales!$A$4:$I$107, 6, FALSE)=""), 0, IF(AND(VLOOKUP(C647, Resultados_Reales!$A$4:$I$107, 5, FALSE)=G647, VLOOKUP(C647, Resultados_Reales!$A$4:$I$107, 6, FALSE)=H647), Configuracion!$B$5, IF(SIGN(VLOOKUP(C647, Resultados_Reales!$A$4:$I$107, 5, FALSE)-VLOOKUP(C647, Resultados_Reales!$A$4:$I$107, 6, FALSE)) = SIGN(G647-H647), Configuracion!$B$4, 0)))</f>
        <v/>
      </c>
      <c r="L647" s="11" t="n"/>
      <c r="M647" s="11" t="n"/>
      <c r="N647" s="11" t="n"/>
      <c r="O647" s="11" t="n"/>
      <c r="P647" s="11" t="n"/>
      <c r="Q647" s="11" t="n"/>
    </row>
    <row r="648">
      <c r="A648" s="8">
        <f>B648&amp;"_"&amp;C648</f>
        <v/>
      </c>
      <c r="B648" s="8" t="n"/>
      <c r="C648" s="8" t="n"/>
      <c r="D648" s="8" t="n"/>
      <c r="E648" s="11" t="n"/>
      <c r="F648" s="11" t="n"/>
      <c r="G648" s="8" t="n"/>
      <c r="H648" s="8" t="n"/>
      <c r="I648" s="8" t="n"/>
      <c r="J648" s="8" t="n"/>
      <c r="K648" s="12">
        <f>IF(OR(ISERROR(VLOOKUP(C648, Resultados_Reales!$A$4:$I$107, 5, FALSE)), ISERROR(VLOOKUP(C648, Resultados_Reales!$A$4:$I$107, 6, FALSE)), VLOOKUP(C648, Resultados_Reales!$A$4:$I$107, 5, FALSE)="", VLOOKUP(C648, Resultados_Reales!$A$4:$I$107, 6, FALSE)=""), 0, IF(AND(VLOOKUP(C648, Resultados_Reales!$A$4:$I$107, 5, FALSE)=G648, VLOOKUP(C648, Resultados_Reales!$A$4:$I$107, 6, FALSE)=H648), Configuracion!$B$5, IF(SIGN(VLOOKUP(C648, Resultados_Reales!$A$4:$I$107, 5, FALSE)-VLOOKUP(C648, Resultados_Reales!$A$4:$I$107, 6, FALSE)) = SIGN(G648-H648), Configuracion!$B$4, 0)))</f>
        <v/>
      </c>
      <c r="L648" s="11" t="n"/>
      <c r="M648" s="11" t="n"/>
      <c r="N648" s="11" t="n"/>
      <c r="O648" s="11" t="n"/>
      <c r="P648" s="11" t="n"/>
      <c r="Q648" s="11" t="n"/>
    </row>
    <row r="649">
      <c r="A649" s="8">
        <f>B649&amp;"_"&amp;C649</f>
        <v/>
      </c>
      <c r="B649" s="8" t="n"/>
      <c r="C649" s="8" t="n"/>
      <c r="D649" s="8" t="n"/>
      <c r="E649" s="11" t="n"/>
      <c r="F649" s="11" t="n"/>
      <c r="G649" s="8" t="n"/>
      <c r="H649" s="8" t="n"/>
      <c r="I649" s="8" t="n"/>
      <c r="J649" s="8" t="n"/>
      <c r="K649" s="12">
        <f>IF(OR(ISERROR(VLOOKUP(C649, Resultados_Reales!$A$4:$I$107, 5, FALSE)), ISERROR(VLOOKUP(C649, Resultados_Reales!$A$4:$I$107, 6, FALSE)), VLOOKUP(C649, Resultados_Reales!$A$4:$I$107, 5, FALSE)="", VLOOKUP(C649, Resultados_Reales!$A$4:$I$107, 6, FALSE)=""), 0, IF(AND(VLOOKUP(C649, Resultados_Reales!$A$4:$I$107, 5, FALSE)=G649, VLOOKUP(C649, Resultados_Reales!$A$4:$I$107, 6, FALSE)=H649), Configuracion!$B$5, IF(SIGN(VLOOKUP(C649, Resultados_Reales!$A$4:$I$107, 5, FALSE)-VLOOKUP(C649, Resultados_Reales!$A$4:$I$107, 6, FALSE)) = SIGN(G649-H649), Configuracion!$B$4, 0)))</f>
        <v/>
      </c>
      <c r="L649" s="11" t="n"/>
      <c r="M649" s="11" t="n"/>
      <c r="N649" s="11" t="n"/>
      <c r="O649" s="11" t="n"/>
      <c r="P649" s="11" t="n"/>
      <c r="Q649" s="11" t="n"/>
    </row>
    <row r="650">
      <c r="A650" s="8">
        <f>B650&amp;"_"&amp;C650</f>
        <v/>
      </c>
      <c r="B650" s="8" t="n"/>
      <c r="C650" s="8" t="n"/>
      <c r="D650" s="8" t="n"/>
      <c r="E650" s="11" t="n"/>
      <c r="F650" s="11" t="n"/>
      <c r="G650" s="8" t="n"/>
      <c r="H650" s="8" t="n"/>
      <c r="I650" s="8" t="n"/>
      <c r="J650" s="8" t="n"/>
      <c r="K650" s="12">
        <f>IF(OR(ISERROR(VLOOKUP(C650, Resultados_Reales!$A$4:$I$107, 5, FALSE)), ISERROR(VLOOKUP(C650, Resultados_Reales!$A$4:$I$107, 6, FALSE)), VLOOKUP(C650, Resultados_Reales!$A$4:$I$107, 5, FALSE)="", VLOOKUP(C650, Resultados_Reales!$A$4:$I$107, 6, FALSE)=""), 0, IF(AND(VLOOKUP(C650, Resultados_Reales!$A$4:$I$107, 5, FALSE)=G650, VLOOKUP(C650, Resultados_Reales!$A$4:$I$107, 6, FALSE)=H650), Configuracion!$B$5, IF(SIGN(VLOOKUP(C650, Resultados_Reales!$A$4:$I$107, 5, FALSE)-VLOOKUP(C650, Resultados_Reales!$A$4:$I$107, 6, FALSE)) = SIGN(G650-H650), Configuracion!$B$4, 0)))</f>
        <v/>
      </c>
      <c r="L650" s="11" t="n"/>
      <c r="M650" s="11" t="n"/>
      <c r="N650" s="11" t="n"/>
      <c r="O650" s="11" t="n"/>
      <c r="P650" s="11" t="n"/>
      <c r="Q650" s="11" t="n"/>
    </row>
    <row r="651">
      <c r="A651" s="8">
        <f>B651&amp;"_"&amp;C651</f>
        <v/>
      </c>
      <c r="B651" s="8" t="n"/>
      <c r="C651" s="8" t="n"/>
      <c r="D651" s="8" t="n"/>
      <c r="E651" s="11" t="n"/>
      <c r="F651" s="11" t="n"/>
      <c r="G651" s="8" t="n"/>
      <c r="H651" s="8" t="n"/>
      <c r="I651" s="8" t="n"/>
      <c r="J651" s="8" t="n"/>
      <c r="K651" s="12">
        <f>IF(OR(ISERROR(VLOOKUP(C651, Resultados_Reales!$A$4:$I$107, 5, FALSE)), ISERROR(VLOOKUP(C651, Resultados_Reales!$A$4:$I$107, 6, FALSE)), VLOOKUP(C651, Resultados_Reales!$A$4:$I$107, 5, FALSE)="", VLOOKUP(C651, Resultados_Reales!$A$4:$I$107, 6, FALSE)=""), 0, IF(AND(VLOOKUP(C651, Resultados_Reales!$A$4:$I$107, 5, FALSE)=G651, VLOOKUP(C651, Resultados_Reales!$A$4:$I$107, 6, FALSE)=H651), Configuracion!$B$5, IF(SIGN(VLOOKUP(C651, Resultados_Reales!$A$4:$I$107, 5, FALSE)-VLOOKUP(C651, Resultados_Reales!$A$4:$I$107, 6, FALSE)) = SIGN(G651-H651), Configuracion!$B$4, 0)))</f>
        <v/>
      </c>
      <c r="L651" s="11" t="n"/>
      <c r="M651" s="11" t="n"/>
      <c r="N651" s="11" t="n"/>
      <c r="O651" s="11" t="n"/>
      <c r="P651" s="11" t="n"/>
      <c r="Q651" s="11" t="n"/>
    </row>
    <row r="652">
      <c r="A652" s="8">
        <f>B652&amp;"_"&amp;C652</f>
        <v/>
      </c>
      <c r="B652" s="8" t="n"/>
      <c r="C652" s="8" t="n"/>
      <c r="D652" s="8" t="n"/>
      <c r="E652" s="11" t="n"/>
      <c r="F652" s="11" t="n"/>
      <c r="G652" s="8" t="n"/>
      <c r="H652" s="8" t="n"/>
      <c r="I652" s="8" t="n"/>
      <c r="J652" s="8" t="n"/>
      <c r="K652" s="12">
        <f>IF(OR(ISERROR(VLOOKUP(C652, Resultados_Reales!$A$4:$I$107, 5, FALSE)), ISERROR(VLOOKUP(C652, Resultados_Reales!$A$4:$I$107, 6, FALSE)), VLOOKUP(C652, Resultados_Reales!$A$4:$I$107, 5, FALSE)="", VLOOKUP(C652, Resultados_Reales!$A$4:$I$107, 6, FALSE)=""), 0, IF(AND(VLOOKUP(C652, Resultados_Reales!$A$4:$I$107, 5, FALSE)=G652, VLOOKUP(C652, Resultados_Reales!$A$4:$I$107, 6, FALSE)=H652), Configuracion!$B$5, IF(SIGN(VLOOKUP(C652, Resultados_Reales!$A$4:$I$107, 5, FALSE)-VLOOKUP(C652, Resultados_Reales!$A$4:$I$107, 6, FALSE)) = SIGN(G652-H652), Configuracion!$B$4, 0)))</f>
        <v/>
      </c>
      <c r="L652" s="11" t="n"/>
      <c r="M652" s="11" t="n"/>
      <c r="N652" s="11" t="n"/>
      <c r="O652" s="11" t="n"/>
      <c r="P652" s="11" t="n"/>
      <c r="Q652" s="11" t="n"/>
    </row>
    <row r="653">
      <c r="A653" s="8">
        <f>B653&amp;"_"&amp;C653</f>
        <v/>
      </c>
      <c r="B653" s="8" t="n"/>
      <c r="C653" s="8" t="n"/>
      <c r="D653" s="8" t="n"/>
      <c r="E653" s="11" t="n"/>
      <c r="F653" s="11" t="n"/>
      <c r="G653" s="8" t="n"/>
      <c r="H653" s="8" t="n"/>
      <c r="I653" s="8" t="n"/>
      <c r="J653" s="8" t="n"/>
      <c r="K653" s="12">
        <f>IF(OR(ISERROR(VLOOKUP(C653, Resultados_Reales!$A$4:$I$107, 5, FALSE)), ISERROR(VLOOKUP(C653, Resultados_Reales!$A$4:$I$107, 6, FALSE)), VLOOKUP(C653, Resultados_Reales!$A$4:$I$107, 5, FALSE)="", VLOOKUP(C653, Resultados_Reales!$A$4:$I$107, 6, FALSE)=""), 0, IF(AND(VLOOKUP(C653, Resultados_Reales!$A$4:$I$107, 5, FALSE)=G653, VLOOKUP(C653, Resultados_Reales!$A$4:$I$107, 6, FALSE)=H653), Configuracion!$B$5, IF(SIGN(VLOOKUP(C653, Resultados_Reales!$A$4:$I$107, 5, FALSE)-VLOOKUP(C653, Resultados_Reales!$A$4:$I$107, 6, FALSE)) = SIGN(G653-H653), Configuracion!$B$4, 0)))</f>
        <v/>
      </c>
      <c r="L653" s="11" t="n"/>
      <c r="M653" s="11" t="n"/>
      <c r="N653" s="11" t="n"/>
      <c r="O653" s="11" t="n"/>
      <c r="P653" s="11" t="n"/>
      <c r="Q653" s="11" t="n"/>
    </row>
    <row r="654">
      <c r="A654" s="8">
        <f>B654&amp;"_"&amp;C654</f>
        <v/>
      </c>
      <c r="B654" s="8" t="n"/>
      <c r="C654" s="8" t="n"/>
      <c r="D654" s="8" t="n"/>
      <c r="E654" s="11" t="n"/>
      <c r="F654" s="11" t="n"/>
      <c r="G654" s="8" t="n"/>
      <c r="H654" s="8" t="n"/>
      <c r="I654" s="8" t="n"/>
      <c r="J654" s="8" t="n"/>
      <c r="K654" s="12">
        <f>IF(OR(ISERROR(VLOOKUP(C654, Resultados_Reales!$A$4:$I$107, 5, FALSE)), ISERROR(VLOOKUP(C654, Resultados_Reales!$A$4:$I$107, 6, FALSE)), VLOOKUP(C654, Resultados_Reales!$A$4:$I$107, 5, FALSE)="", VLOOKUP(C654, Resultados_Reales!$A$4:$I$107, 6, FALSE)=""), 0, IF(AND(VLOOKUP(C654, Resultados_Reales!$A$4:$I$107, 5, FALSE)=G654, VLOOKUP(C654, Resultados_Reales!$A$4:$I$107, 6, FALSE)=H654), Configuracion!$B$5, IF(SIGN(VLOOKUP(C654, Resultados_Reales!$A$4:$I$107, 5, FALSE)-VLOOKUP(C654, Resultados_Reales!$A$4:$I$107, 6, FALSE)) = SIGN(G654-H654), Configuracion!$B$4, 0)))</f>
        <v/>
      </c>
      <c r="L654" s="11" t="n"/>
      <c r="M654" s="11" t="n"/>
      <c r="N654" s="11" t="n"/>
      <c r="O654" s="11" t="n"/>
      <c r="P654" s="11" t="n"/>
      <c r="Q654" s="11" t="n"/>
    </row>
    <row r="655">
      <c r="A655" s="8">
        <f>B655&amp;"_"&amp;C655</f>
        <v/>
      </c>
      <c r="B655" s="8" t="n"/>
      <c r="C655" s="8" t="n"/>
      <c r="D655" s="8" t="n"/>
      <c r="E655" s="11" t="n"/>
      <c r="F655" s="11" t="n"/>
      <c r="G655" s="8" t="n"/>
      <c r="H655" s="8" t="n"/>
      <c r="I655" s="8" t="n"/>
      <c r="J655" s="8" t="n"/>
      <c r="K655" s="12">
        <f>IF(OR(ISERROR(VLOOKUP(C655, Resultados_Reales!$A$4:$I$107, 5, FALSE)), ISERROR(VLOOKUP(C655, Resultados_Reales!$A$4:$I$107, 6, FALSE)), VLOOKUP(C655, Resultados_Reales!$A$4:$I$107, 5, FALSE)="", VLOOKUP(C655, Resultados_Reales!$A$4:$I$107, 6, FALSE)=""), 0, IF(AND(VLOOKUP(C655, Resultados_Reales!$A$4:$I$107, 5, FALSE)=G655, VLOOKUP(C655, Resultados_Reales!$A$4:$I$107, 6, FALSE)=H655), Configuracion!$B$5, IF(SIGN(VLOOKUP(C655, Resultados_Reales!$A$4:$I$107, 5, FALSE)-VLOOKUP(C655, Resultados_Reales!$A$4:$I$107, 6, FALSE)) = SIGN(G655-H655), Configuracion!$B$4, 0)))</f>
        <v/>
      </c>
      <c r="L655" s="11" t="n"/>
      <c r="M655" s="11" t="n"/>
      <c r="N655" s="11" t="n"/>
      <c r="O655" s="11" t="n"/>
      <c r="P655" s="11" t="n"/>
      <c r="Q655" s="11" t="n"/>
    </row>
    <row r="656">
      <c r="A656" s="8">
        <f>B656&amp;"_"&amp;C656</f>
        <v/>
      </c>
      <c r="B656" s="8" t="n"/>
      <c r="C656" s="8" t="n"/>
      <c r="D656" s="8" t="n"/>
      <c r="E656" s="11" t="n"/>
      <c r="F656" s="11" t="n"/>
      <c r="G656" s="8" t="n"/>
      <c r="H656" s="8" t="n"/>
      <c r="I656" s="8" t="n"/>
      <c r="J656" s="8" t="n"/>
      <c r="K656" s="12">
        <f>IF(OR(ISERROR(VLOOKUP(C656, Resultados_Reales!$A$4:$I$107, 5, FALSE)), ISERROR(VLOOKUP(C656, Resultados_Reales!$A$4:$I$107, 6, FALSE)), VLOOKUP(C656, Resultados_Reales!$A$4:$I$107, 5, FALSE)="", VLOOKUP(C656, Resultados_Reales!$A$4:$I$107, 6, FALSE)=""), 0, IF(AND(VLOOKUP(C656, Resultados_Reales!$A$4:$I$107, 5, FALSE)=G656, VLOOKUP(C656, Resultados_Reales!$A$4:$I$107, 6, FALSE)=H656), Configuracion!$B$5, IF(SIGN(VLOOKUP(C656, Resultados_Reales!$A$4:$I$107, 5, FALSE)-VLOOKUP(C656, Resultados_Reales!$A$4:$I$107, 6, FALSE)) = SIGN(G656-H656), Configuracion!$B$4, 0)))</f>
        <v/>
      </c>
      <c r="L656" s="11" t="n"/>
      <c r="M656" s="11" t="n"/>
      <c r="N656" s="11" t="n"/>
      <c r="O656" s="11" t="n"/>
      <c r="P656" s="11" t="n"/>
      <c r="Q656" s="11" t="n"/>
    </row>
    <row r="657">
      <c r="A657" s="8">
        <f>B657&amp;"_"&amp;C657</f>
        <v/>
      </c>
      <c r="B657" s="8" t="n"/>
      <c r="C657" s="8" t="n"/>
      <c r="D657" s="8" t="n"/>
      <c r="E657" s="11" t="n"/>
      <c r="F657" s="11" t="n"/>
      <c r="G657" s="8" t="n"/>
      <c r="H657" s="8" t="n"/>
      <c r="I657" s="8" t="n"/>
      <c r="J657" s="8" t="n"/>
      <c r="K657" s="12">
        <f>IF(OR(ISERROR(VLOOKUP(C657, Resultados_Reales!$A$4:$I$107, 5, FALSE)), ISERROR(VLOOKUP(C657, Resultados_Reales!$A$4:$I$107, 6, FALSE)), VLOOKUP(C657, Resultados_Reales!$A$4:$I$107, 5, FALSE)="", VLOOKUP(C657, Resultados_Reales!$A$4:$I$107, 6, FALSE)=""), 0, IF(AND(VLOOKUP(C657, Resultados_Reales!$A$4:$I$107, 5, FALSE)=G657, VLOOKUP(C657, Resultados_Reales!$A$4:$I$107, 6, FALSE)=H657), Configuracion!$B$5, IF(SIGN(VLOOKUP(C657, Resultados_Reales!$A$4:$I$107, 5, FALSE)-VLOOKUP(C657, Resultados_Reales!$A$4:$I$107, 6, FALSE)) = SIGN(G657-H657), Configuracion!$B$4, 0)))</f>
        <v/>
      </c>
      <c r="L657" s="11" t="n"/>
      <c r="M657" s="11" t="n"/>
      <c r="N657" s="11" t="n"/>
      <c r="O657" s="11" t="n"/>
      <c r="P657" s="11" t="n"/>
      <c r="Q657" s="11" t="n"/>
    </row>
    <row r="658">
      <c r="A658" s="8">
        <f>B658&amp;"_"&amp;C658</f>
        <v/>
      </c>
      <c r="B658" s="8" t="n"/>
      <c r="C658" s="8" t="n"/>
      <c r="D658" s="8" t="n"/>
      <c r="E658" s="11" t="n"/>
      <c r="F658" s="11" t="n"/>
      <c r="G658" s="8" t="n"/>
      <c r="H658" s="8" t="n"/>
      <c r="I658" s="8" t="n"/>
      <c r="J658" s="8" t="n"/>
      <c r="K658" s="12">
        <f>IF(OR(ISERROR(VLOOKUP(C658, Resultados_Reales!$A$4:$I$107, 5, FALSE)), ISERROR(VLOOKUP(C658, Resultados_Reales!$A$4:$I$107, 6, FALSE)), VLOOKUP(C658, Resultados_Reales!$A$4:$I$107, 5, FALSE)="", VLOOKUP(C658, Resultados_Reales!$A$4:$I$107, 6, FALSE)=""), 0, IF(AND(VLOOKUP(C658, Resultados_Reales!$A$4:$I$107, 5, FALSE)=G658, VLOOKUP(C658, Resultados_Reales!$A$4:$I$107, 6, FALSE)=H658), Configuracion!$B$5, IF(SIGN(VLOOKUP(C658, Resultados_Reales!$A$4:$I$107, 5, FALSE)-VLOOKUP(C658, Resultados_Reales!$A$4:$I$107, 6, FALSE)) = SIGN(G658-H658), Configuracion!$B$4, 0)))</f>
        <v/>
      </c>
      <c r="L658" s="11" t="n"/>
      <c r="M658" s="11" t="n"/>
      <c r="N658" s="11" t="n"/>
      <c r="O658" s="11" t="n"/>
      <c r="P658" s="11" t="n"/>
      <c r="Q658" s="11" t="n"/>
    </row>
    <row r="659">
      <c r="A659" s="8">
        <f>B659&amp;"_"&amp;C659</f>
        <v/>
      </c>
      <c r="B659" s="8" t="n"/>
      <c r="C659" s="8" t="n"/>
      <c r="D659" s="8" t="n"/>
      <c r="E659" s="11" t="n"/>
      <c r="F659" s="11" t="n"/>
      <c r="G659" s="8" t="n"/>
      <c r="H659" s="8" t="n"/>
      <c r="I659" s="8" t="n"/>
      <c r="J659" s="8" t="n"/>
      <c r="K659" s="12">
        <f>IF(OR(ISERROR(VLOOKUP(C659, Resultados_Reales!$A$4:$I$107, 5, FALSE)), ISERROR(VLOOKUP(C659, Resultados_Reales!$A$4:$I$107, 6, FALSE)), VLOOKUP(C659, Resultados_Reales!$A$4:$I$107, 5, FALSE)="", VLOOKUP(C659, Resultados_Reales!$A$4:$I$107, 6, FALSE)=""), 0, IF(AND(VLOOKUP(C659, Resultados_Reales!$A$4:$I$107, 5, FALSE)=G659, VLOOKUP(C659, Resultados_Reales!$A$4:$I$107, 6, FALSE)=H659), Configuracion!$B$5, IF(SIGN(VLOOKUP(C659, Resultados_Reales!$A$4:$I$107, 5, FALSE)-VLOOKUP(C659, Resultados_Reales!$A$4:$I$107, 6, FALSE)) = SIGN(G659-H659), Configuracion!$B$4, 0)))</f>
        <v/>
      </c>
      <c r="L659" s="11" t="n"/>
      <c r="M659" s="11" t="n"/>
      <c r="N659" s="11" t="n"/>
      <c r="O659" s="11" t="n"/>
      <c r="P659" s="11" t="n"/>
      <c r="Q659" s="11" t="n"/>
    </row>
    <row r="660">
      <c r="A660" s="8">
        <f>B660&amp;"_"&amp;C660</f>
        <v/>
      </c>
      <c r="B660" s="8" t="n"/>
      <c r="C660" s="8" t="n"/>
      <c r="D660" s="8" t="n"/>
      <c r="E660" s="11" t="n"/>
      <c r="F660" s="11" t="n"/>
      <c r="G660" s="8" t="n"/>
      <c r="H660" s="8" t="n"/>
      <c r="I660" s="8" t="n"/>
      <c r="J660" s="8" t="n"/>
      <c r="K660" s="12">
        <f>IF(OR(ISERROR(VLOOKUP(C660, Resultados_Reales!$A$4:$I$107, 5, FALSE)), ISERROR(VLOOKUP(C660, Resultados_Reales!$A$4:$I$107, 6, FALSE)), VLOOKUP(C660, Resultados_Reales!$A$4:$I$107, 5, FALSE)="", VLOOKUP(C660, Resultados_Reales!$A$4:$I$107, 6, FALSE)=""), 0, IF(AND(VLOOKUP(C660, Resultados_Reales!$A$4:$I$107, 5, FALSE)=G660, VLOOKUP(C660, Resultados_Reales!$A$4:$I$107, 6, FALSE)=H660), Configuracion!$B$5, IF(SIGN(VLOOKUP(C660, Resultados_Reales!$A$4:$I$107, 5, FALSE)-VLOOKUP(C660, Resultados_Reales!$A$4:$I$107, 6, FALSE)) = SIGN(G660-H660), Configuracion!$B$4, 0)))</f>
        <v/>
      </c>
      <c r="L660" s="11" t="n"/>
      <c r="M660" s="11" t="n"/>
      <c r="N660" s="11" t="n"/>
      <c r="O660" s="11" t="n"/>
      <c r="P660" s="11" t="n"/>
      <c r="Q660" s="11" t="n"/>
    </row>
    <row r="661">
      <c r="A661" s="8">
        <f>B661&amp;"_"&amp;C661</f>
        <v/>
      </c>
      <c r="B661" s="8" t="n"/>
      <c r="C661" s="8" t="n"/>
      <c r="D661" s="8" t="n"/>
      <c r="E661" s="11" t="n"/>
      <c r="F661" s="11" t="n"/>
      <c r="G661" s="8" t="n"/>
      <c r="H661" s="8" t="n"/>
      <c r="I661" s="8" t="n"/>
      <c r="J661" s="8" t="n"/>
      <c r="K661" s="12">
        <f>IF(OR(ISERROR(VLOOKUP(C661, Resultados_Reales!$A$4:$I$107, 5, FALSE)), ISERROR(VLOOKUP(C661, Resultados_Reales!$A$4:$I$107, 6, FALSE)), VLOOKUP(C661, Resultados_Reales!$A$4:$I$107, 5, FALSE)="", VLOOKUP(C661, Resultados_Reales!$A$4:$I$107, 6, FALSE)=""), 0, IF(AND(VLOOKUP(C661, Resultados_Reales!$A$4:$I$107, 5, FALSE)=G661, VLOOKUP(C661, Resultados_Reales!$A$4:$I$107, 6, FALSE)=H661), Configuracion!$B$5, IF(SIGN(VLOOKUP(C661, Resultados_Reales!$A$4:$I$107, 5, FALSE)-VLOOKUP(C661, Resultados_Reales!$A$4:$I$107, 6, FALSE)) = SIGN(G661-H661), Configuracion!$B$4, 0)))</f>
        <v/>
      </c>
      <c r="L661" s="11" t="n"/>
      <c r="M661" s="11" t="n"/>
      <c r="N661" s="11" t="n"/>
      <c r="O661" s="11" t="n"/>
      <c r="P661" s="11" t="n"/>
      <c r="Q661" s="11" t="n"/>
    </row>
    <row r="662">
      <c r="A662" s="8">
        <f>B662&amp;"_"&amp;C662</f>
        <v/>
      </c>
      <c r="B662" s="8" t="n"/>
      <c r="C662" s="8" t="n"/>
      <c r="D662" s="8" t="n"/>
      <c r="E662" s="11" t="n"/>
      <c r="F662" s="11" t="n"/>
      <c r="G662" s="8" t="n"/>
      <c r="H662" s="8" t="n"/>
      <c r="I662" s="8" t="n"/>
      <c r="J662" s="8" t="n"/>
      <c r="K662" s="12">
        <f>IF(OR(ISERROR(VLOOKUP(C662, Resultados_Reales!$A$4:$I$107, 5, FALSE)), ISERROR(VLOOKUP(C662, Resultados_Reales!$A$4:$I$107, 6, FALSE)), VLOOKUP(C662, Resultados_Reales!$A$4:$I$107, 5, FALSE)="", VLOOKUP(C662, Resultados_Reales!$A$4:$I$107, 6, FALSE)=""), 0, IF(AND(VLOOKUP(C662, Resultados_Reales!$A$4:$I$107, 5, FALSE)=G662, VLOOKUP(C662, Resultados_Reales!$A$4:$I$107, 6, FALSE)=H662), Configuracion!$B$5, IF(SIGN(VLOOKUP(C662, Resultados_Reales!$A$4:$I$107, 5, FALSE)-VLOOKUP(C662, Resultados_Reales!$A$4:$I$107, 6, FALSE)) = SIGN(G662-H662), Configuracion!$B$4, 0)))</f>
        <v/>
      </c>
      <c r="L662" s="11" t="n"/>
      <c r="M662" s="11" t="n"/>
      <c r="N662" s="11" t="n"/>
      <c r="O662" s="11" t="n"/>
      <c r="P662" s="11" t="n"/>
      <c r="Q662" s="11" t="n"/>
    </row>
    <row r="663">
      <c r="A663" s="8">
        <f>B663&amp;"_"&amp;C663</f>
        <v/>
      </c>
      <c r="B663" s="8" t="n"/>
      <c r="C663" s="8" t="n"/>
      <c r="D663" s="8" t="n"/>
      <c r="E663" s="11" t="n"/>
      <c r="F663" s="11" t="n"/>
      <c r="G663" s="8" t="n"/>
      <c r="H663" s="8" t="n"/>
      <c r="I663" s="8" t="n"/>
      <c r="J663" s="8" t="n"/>
      <c r="K663" s="12">
        <f>IF(OR(ISERROR(VLOOKUP(C663, Resultados_Reales!$A$4:$I$107, 5, FALSE)), ISERROR(VLOOKUP(C663, Resultados_Reales!$A$4:$I$107, 6, FALSE)), VLOOKUP(C663, Resultados_Reales!$A$4:$I$107, 5, FALSE)="", VLOOKUP(C663, Resultados_Reales!$A$4:$I$107, 6, FALSE)=""), 0, IF(AND(VLOOKUP(C663, Resultados_Reales!$A$4:$I$107, 5, FALSE)=G663, VLOOKUP(C663, Resultados_Reales!$A$4:$I$107, 6, FALSE)=H663), Configuracion!$B$5, IF(SIGN(VLOOKUP(C663, Resultados_Reales!$A$4:$I$107, 5, FALSE)-VLOOKUP(C663, Resultados_Reales!$A$4:$I$107, 6, FALSE)) = SIGN(G663-H663), Configuracion!$B$4, 0)))</f>
        <v/>
      </c>
      <c r="L663" s="11" t="n"/>
      <c r="M663" s="11" t="n"/>
      <c r="N663" s="11" t="n"/>
      <c r="O663" s="11" t="n"/>
      <c r="P663" s="11" t="n"/>
      <c r="Q663" s="11" t="n"/>
    </row>
    <row r="664">
      <c r="A664" s="8">
        <f>B664&amp;"_"&amp;C664</f>
        <v/>
      </c>
      <c r="B664" s="8" t="n"/>
      <c r="C664" s="8" t="n"/>
      <c r="D664" s="8" t="n"/>
      <c r="E664" s="11" t="n"/>
      <c r="F664" s="11" t="n"/>
      <c r="G664" s="8" t="n"/>
      <c r="H664" s="8" t="n"/>
      <c r="I664" s="8" t="n"/>
      <c r="J664" s="8" t="n"/>
      <c r="K664" s="12">
        <f>IF(OR(ISERROR(VLOOKUP(C664, Resultados_Reales!$A$4:$I$107, 5, FALSE)), ISERROR(VLOOKUP(C664, Resultados_Reales!$A$4:$I$107, 6, FALSE)), VLOOKUP(C664, Resultados_Reales!$A$4:$I$107, 5, FALSE)="", VLOOKUP(C664, Resultados_Reales!$A$4:$I$107, 6, FALSE)=""), 0, IF(AND(VLOOKUP(C664, Resultados_Reales!$A$4:$I$107, 5, FALSE)=G664, VLOOKUP(C664, Resultados_Reales!$A$4:$I$107, 6, FALSE)=H664), Configuracion!$B$5, IF(SIGN(VLOOKUP(C664, Resultados_Reales!$A$4:$I$107, 5, FALSE)-VLOOKUP(C664, Resultados_Reales!$A$4:$I$107, 6, FALSE)) = SIGN(G664-H664), Configuracion!$B$4, 0)))</f>
        <v/>
      </c>
      <c r="L664" s="11" t="n"/>
      <c r="M664" s="11" t="n"/>
      <c r="N664" s="11" t="n"/>
      <c r="O664" s="11" t="n"/>
      <c r="P664" s="11" t="n"/>
      <c r="Q664" s="11" t="n"/>
    </row>
    <row r="665">
      <c r="A665" s="8">
        <f>B665&amp;"_"&amp;C665</f>
        <v/>
      </c>
      <c r="B665" s="8" t="n"/>
      <c r="C665" s="8" t="n"/>
      <c r="D665" s="8" t="n"/>
      <c r="E665" s="11" t="n"/>
      <c r="F665" s="11" t="n"/>
      <c r="G665" s="8" t="n"/>
      <c r="H665" s="8" t="n"/>
      <c r="I665" s="8" t="n"/>
      <c r="J665" s="8" t="n"/>
      <c r="K665" s="12">
        <f>IF(OR(ISERROR(VLOOKUP(C665, Resultados_Reales!$A$4:$I$107, 5, FALSE)), ISERROR(VLOOKUP(C665, Resultados_Reales!$A$4:$I$107, 6, FALSE)), VLOOKUP(C665, Resultados_Reales!$A$4:$I$107, 5, FALSE)="", VLOOKUP(C665, Resultados_Reales!$A$4:$I$107, 6, FALSE)=""), 0, IF(AND(VLOOKUP(C665, Resultados_Reales!$A$4:$I$107, 5, FALSE)=G665, VLOOKUP(C665, Resultados_Reales!$A$4:$I$107, 6, FALSE)=H665), Configuracion!$B$5, IF(SIGN(VLOOKUP(C665, Resultados_Reales!$A$4:$I$107, 5, FALSE)-VLOOKUP(C665, Resultados_Reales!$A$4:$I$107, 6, FALSE)) = SIGN(G665-H665), Configuracion!$B$4, 0)))</f>
        <v/>
      </c>
      <c r="L665" s="11" t="n"/>
      <c r="M665" s="11" t="n"/>
      <c r="N665" s="11" t="n"/>
      <c r="O665" s="11" t="n"/>
      <c r="P665" s="11" t="n"/>
      <c r="Q665" s="11" t="n"/>
    </row>
    <row r="666">
      <c r="A666" s="8">
        <f>B666&amp;"_"&amp;C666</f>
        <v/>
      </c>
      <c r="B666" s="8" t="n"/>
      <c r="C666" s="8" t="n"/>
      <c r="D666" s="8" t="n"/>
      <c r="E666" s="11" t="n"/>
      <c r="F666" s="11" t="n"/>
      <c r="G666" s="8" t="n"/>
      <c r="H666" s="8" t="n"/>
      <c r="I666" s="8" t="n"/>
      <c r="J666" s="8" t="n"/>
      <c r="K666" s="12">
        <f>IF(OR(ISERROR(VLOOKUP(C666, Resultados_Reales!$A$4:$I$107, 5, FALSE)), ISERROR(VLOOKUP(C666, Resultados_Reales!$A$4:$I$107, 6, FALSE)), VLOOKUP(C666, Resultados_Reales!$A$4:$I$107, 5, FALSE)="", VLOOKUP(C666, Resultados_Reales!$A$4:$I$107, 6, FALSE)=""), 0, IF(AND(VLOOKUP(C666, Resultados_Reales!$A$4:$I$107, 5, FALSE)=G666, VLOOKUP(C666, Resultados_Reales!$A$4:$I$107, 6, FALSE)=H666), Configuracion!$B$5, IF(SIGN(VLOOKUP(C666, Resultados_Reales!$A$4:$I$107, 5, FALSE)-VLOOKUP(C666, Resultados_Reales!$A$4:$I$107, 6, FALSE)) = SIGN(G666-H666), Configuracion!$B$4, 0)))</f>
        <v/>
      </c>
      <c r="L666" s="11" t="n"/>
      <c r="M666" s="11" t="n"/>
      <c r="N666" s="11" t="n"/>
      <c r="O666" s="11" t="n"/>
      <c r="P666" s="11" t="n"/>
      <c r="Q666" s="11" t="n"/>
    </row>
    <row r="667">
      <c r="A667" s="8">
        <f>B667&amp;"_"&amp;C667</f>
        <v/>
      </c>
      <c r="B667" s="8" t="n"/>
      <c r="C667" s="8" t="n"/>
      <c r="D667" s="8" t="n"/>
      <c r="E667" s="11" t="n"/>
      <c r="F667" s="11" t="n"/>
      <c r="G667" s="8" t="n"/>
      <c r="H667" s="8" t="n"/>
      <c r="I667" s="8" t="n"/>
      <c r="J667" s="8" t="n"/>
      <c r="K667" s="12">
        <f>IF(OR(ISERROR(VLOOKUP(C667, Resultados_Reales!$A$4:$I$107, 5, FALSE)), ISERROR(VLOOKUP(C667, Resultados_Reales!$A$4:$I$107, 6, FALSE)), VLOOKUP(C667, Resultados_Reales!$A$4:$I$107, 5, FALSE)="", VLOOKUP(C667, Resultados_Reales!$A$4:$I$107, 6, FALSE)=""), 0, IF(AND(VLOOKUP(C667, Resultados_Reales!$A$4:$I$107, 5, FALSE)=G667, VLOOKUP(C667, Resultados_Reales!$A$4:$I$107, 6, FALSE)=H667), Configuracion!$B$5, IF(SIGN(VLOOKUP(C667, Resultados_Reales!$A$4:$I$107, 5, FALSE)-VLOOKUP(C667, Resultados_Reales!$A$4:$I$107, 6, FALSE)) = SIGN(G667-H667), Configuracion!$B$4, 0)))</f>
        <v/>
      </c>
      <c r="L667" s="11" t="n"/>
      <c r="M667" s="11" t="n"/>
      <c r="N667" s="11" t="n"/>
      <c r="O667" s="11" t="n"/>
      <c r="P667" s="11" t="n"/>
      <c r="Q667" s="11" t="n"/>
    </row>
    <row r="668">
      <c r="A668" s="8">
        <f>B668&amp;"_"&amp;C668</f>
        <v/>
      </c>
      <c r="B668" s="8" t="n"/>
      <c r="C668" s="8" t="n"/>
      <c r="D668" s="8" t="n"/>
      <c r="E668" s="11" t="n"/>
      <c r="F668" s="11" t="n"/>
      <c r="G668" s="8" t="n"/>
      <c r="H668" s="8" t="n"/>
      <c r="I668" s="8" t="n"/>
      <c r="J668" s="8" t="n"/>
      <c r="K668" s="12">
        <f>IF(OR(ISERROR(VLOOKUP(C668, Resultados_Reales!$A$4:$I$107, 5, FALSE)), ISERROR(VLOOKUP(C668, Resultados_Reales!$A$4:$I$107, 6, FALSE)), VLOOKUP(C668, Resultados_Reales!$A$4:$I$107, 5, FALSE)="", VLOOKUP(C668, Resultados_Reales!$A$4:$I$107, 6, FALSE)=""), 0, IF(AND(VLOOKUP(C668, Resultados_Reales!$A$4:$I$107, 5, FALSE)=G668, VLOOKUP(C668, Resultados_Reales!$A$4:$I$107, 6, FALSE)=H668), Configuracion!$B$5, IF(SIGN(VLOOKUP(C668, Resultados_Reales!$A$4:$I$107, 5, FALSE)-VLOOKUP(C668, Resultados_Reales!$A$4:$I$107, 6, FALSE)) = SIGN(G668-H668), Configuracion!$B$4, 0)))</f>
        <v/>
      </c>
      <c r="L668" s="11" t="n"/>
      <c r="M668" s="11" t="n"/>
      <c r="N668" s="11" t="n"/>
      <c r="O668" s="11" t="n"/>
      <c r="P668" s="11" t="n"/>
      <c r="Q668" s="11" t="n"/>
    </row>
    <row r="669">
      <c r="A669" s="8">
        <f>B669&amp;"_"&amp;C669</f>
        <v/>
      </c>
      <c r="B669" s="8" t="n"/>
      <c r="C669" s="8" t="n"/>
      <c r="D669" s="8" t="n"/>
      <c r="E669" s="11" t="n"/>
      <c r="F669" s="11" t="n"/>
      <c r="G669" s="8" t="n"/>
      <c r="H669" s="8" t="n"/>
      <c r="I669" s="8" t="n"/>
      <c r="J669" s="8" t="n"/>
      <c r="K669" s="12">
        <f>IF(OR(ISERROR(VLOOKUP(C669, Resultados_Reales!$A$4:$I$107, 5, FALSE)), ISERROR(VLOOKUP(C669, Resultados_Reales!$A$4:$I$107, 6, FALSE)), VLOOKUP(C669, Resultados_Reales!$A$4:$I$107, 5, FALSE)="", VLOOKUP(C669, Resultados_Reales!$A$4:$I$107, 6, FALSE)=""), 0, IF(AND(VLOOKUP(C669, Resultados_Reales!$A$4:$I$107, 5, FALSE)=G669, VLOOKUP(C669, Resultados_Reales!$A$4:$I$107, 6, FALSE)=H669), Configuracion!$B$5, IF(SIGN(VLOOKUP(C669, Resultados_Reales!$A$4:$I$107, 5, FALSE)-VLOOKUP(C669, Resultados_Reales!$A$4:$I$107, 6, FALSE)) = SIGN(G669-H669), Configuracion!$B$4, 0)))</f>
        <v/>
      </c>
      <c r="L669" s="11" t="n"/>
      <c r="M669" s="11" t="n"/>
      <c r="N669" s="11" t="n"/>
      <c r="O669" s="11" t="n"/>
      <c r="P669" s="11" t="n"/>
      <c r="Q669" s="11" t="n"/>
    </row>
    <row r="670">
      <c r="A670" s="8">
        <f>B670&amp;"_"&amp;C670</f>
        <v/>
      </c>
      <c r="B670" s="8" t="n"/>
      <c r="C670" s="8" t="n"/>
      <c r="D670" s="8" t="n"/>
      <c r="E670" s="11" t="n"/>
      <c r="F670" s="11" t="n"/>
      <c r="G670" s="8" t="n"/>
      <c r="H670" s="8" t="n"/>
      <c r="I670" s="8" t="n"/>
      <c r="J670" s="8" t="n"/>
      <c r="K670" s="12">
        <f>IF(OR(ISERROR(VLOOKUP(C670, Resultados_Reales!$A$4:$I$107, 5, FALSE)), ISERROR(VLOOKUP(C670, Resultados_Reales!$A$4:$I$107, 6, FALSE)), VLOOKUP(C670, Resultados_Reales!$A$4:$I$107, 5, FALSE)="", VLOOKUP(C670, Resultados_Reales!$A$4:$I$107, 6, FALSE)=""), 0, IF(AND(VLOOKUP(C670, Resultados_Reales!$A$4:$I$107, 5, FALSE)=G670, VLOOKUP(C670, Resultados_Reales!$A$4:$I$107, 6, FALSE)=H670), Configuracion!$B$5, IF(SIGN(VLOOKUP(C670, Resultados_Reales!$A$4:$I$107, 5, FALSE)-VLOOKUP(C670, Resultados_Reales!$A$4:$I$107, 6, FALSE)) = SIGN(G670-H670), Configuracion!$B$4, 0)))</f>
        <v/>
      </c>
      <c r="L670" s="11" t="n"/>
      <c r="M670" s="11" t="n"/>
      <c r="N670" s="11" t="n"/>
      <c r="O670" s="11" t="n"/>
      <c r="P670" s="11" t="n"/>
      <c r="Q670" s="11" t="n"/>
    </row>
    <row r="671">
      <c r="A671" s="8">
        <f>B671&amp;"_"&amp;C671</f>
        <v/>
      </c>
      <c r="B671" s="8" t="n"/>
      <c r="C671" s="8" t="n"/>
      <c r="D671" s="8" t="n"/>
      <c r="E671" s="11" t="n"/>
      <c r="F671" s="11" t="n"/>
      <c r="G671" s="8" t="n"/>
      <c r="H671" s="8" t="n"/>
      <c r="I671" s="8" t="n"/>
      <c r="J671" s="8" t="n"/>
      <c r="K671" s="12">
        <f>IF(OR(ISERROR(VLOOKUP(C671, Resultados_Reales!$A$4:$I$107, 5, FALSE)), ISERROR(VLOOKUP(C671, Resultados_Reales!$A$4:$I$107, 6, FALSE)), VLOOKUP(C671, Resultados_Reales!$A$4:$I$107, 5, FALSE)="", VLOOKUP(C671, Resultados_Reales!$A$4:$I$107, 6, FALSE)=""), 0, IF(AND(VLOOKUP(C671, Resultados_Reales!$A$4:$I$107, 5, FALSE)=G671, VLOOKUP(C671, Resultados_Reales!$A$4:$I$107, 6, FALSE)=H671), Configuracion!$B$5, IF(SIGN(VLOOKUP(C671, Resultados_Reales!$A$4:$I$107, 5, FALSE)-VLOOKUP(C671, Resultados_Reales!$A$4:$I$107, 6, FALSE)) = SIGN(G671-H671), Configuracion!$B$4, 0)))</f>
        <v/>
      </c>
      <c r="L671" s="11" t="n"/>
      <c r="M671" s="11" t="n"/>
      <c r="N671" s="11" t="n"/>
      <c r="O671" s="11" t="n"/>
      <c r="P671" s="11" t="n"/>
      <c r="Q671" s="11" t="n"/>
    </row>
    <row r="672">
      <c r="A672" s="8">
        <f>B672&amp;"_"&amp;C672</f>
        <v/>
      </c>
      <c r="B672" s="8" t="n"/>
      <c r="C672" s="8" t="n"/>
      <c r="D672" s="8" t="n"/>
      <c r="E672" s="11" t="n"/>
      <c r="F672" s="11" t="n"/>
      <c r="G672" s="8" t="n"/>
      <c r="H672" s="8" t="n"/>
      <c r="I672" s="8" t="n"/>
      <c r="J672" s="8" t="n"/>
      <c r="K672" s="12">
        <f>IF(OR(ISERROR(VLOOKUP(C672, Resultados_Reales!$A$4:$I$107, 5, FALSE)), ISERROR(VLOOKUP(C672, Resultados_Reales!$A$4:$I$107, 6, FALSE)), VLOOKUP(C672, Resultados_Reales!$A$4:$I$107, 5, FALSE)="", VLOOKUP(C672, Resultados_Reales!$A$4:$I$107, 6, FALSE)=""), 0, IF(AND(VLOOKUP(C672, Resultados_Reales!$A$4:$I$107, 5, FALSE)=G672, VLOOKUP(C672, Resultados_Reales!$A$4:$I$107, 6, FALSE)=H672), Configuracion!$B$5, IF(SIGN(VLOOKUP(C672, Resultados_Reales!$A$4:$I$107, 5, FALSE)-VLOOKUP(C672, Resultados_Reales!$A$4:$I$107, 6, FALSE)) = SIGN(G672-H672), Configuracion!$B$4, 0)))</f>
        <v/>
      </c>
      <c r="L672" s="11" t="n"/>
      <c r="M672" s="11" t="n"/>
      <c r="N672" s="11" t="n"/>
      <c r="O672" s="11" t="n"/>
      <c r="P672" s="11" t="n"/>
      <c r="Q672" s="11" t="n"/>
    </row>
    <row r="673">
      <c r="A673" s="8">
        <f>B673&amp;"_"&amp;C673</f>
        <v/>
      </c>
      <c r="B673" s="8" t="n"/>
      <c r="C673" s="8" t="n"/>
      <c r="D673" s="8" t="n"/>
      <c r="E673" s="11" t="n"/>
      <c r="F673" s="11" t="n"/>
      <c r="G673" s="8" t="n"/>
      <c r="H673" s="8" t="n"/>
      <c r="I673" s="8" t="n"/>
      <c r="J673" s="8" t="n"/>
      <c r="K673" s="12">
        <f>IF(OR(ISERROR(VLOOKUP(C673, Resultados_Reales!$A$4:$I$107, 5, FALSE)), ISERROR(VLOOKUP(C673, Resultados_Reales!$A$4:$I$107, 6, FALSE)), VLOOKUP(C673, Resultados_Reales!$A$4:$I$107, 5, FALSE)="", VLOOKUP(C673, Resultados_Reales!$A$4:$I$107, 6, FALSE)=""), 0, IF(AND(VLOOKUP(C673, Resultados_Reales!$A$4:$I$107, 5, FALSE)=G673, VLOOKUP(C673, Resultados_Reales!$A$4:$I$107, 6, FALSE)=H673), Configuracion!$B$5, IF(SIGN(VLOOKUP(C673, Resultados_Reales!$A$4:$I$107, 5, FALSE)-VLOOKUP(C673, Resultados_Reales!$A$4:$I$107, 6, FALSE)) = SIGN(G673-H673), Configuracion!$B$4, 0)))</f>
        <v/>
      </c>
      <c r="L673" s="11" t="n"/>
      <c r="M673" s="11" t="n"/>
      <c r="N673" s="11" t="n"/>
      <c r="O673" s="11" t="n"/>
      <c r="P673" s="11" t="n"/>
      <c r="Q673" s="11" t="n"/>
    </row>
    <row r="674">
      <c r="A674" s="8">
        <f>B674&amp;"_"&amp;C674</f>
        <v/>
      </c>
      <c r="B674" s="8" t="n"/>
      <c r="C674" s="8" t="n"/>
      <c r="D674" s="8" t="n"/>
      <c r="E674" s="11" t="n"/>
      <c r="F674" s="11" t="n"/>
      <c r="G674" s="8" t="n"/>
      <c r="H674" s="8" t="n"/>
      <c r="I674" s="8" t="n"/>
      <c r="J674" s="8" t="n"/>
      <c r="K674" s="12">
        <f>IF(OR(ISERROR(VLOOKUP(C674, Resultados_Reales!$A$4:$I$107, 5, FALSE)), ISERROR(VLOOKUP(C674, Resultados_Reales!$A$4:$I$107, 6, FALSE)), VLOOKUP(C674, Resultados_Reales!$A$4:$I$107, 5, FALSE)="", VLOOKUP(C674, Resultados_Reales!$A$4:$I$107, 6, FALSE)=""), 0, IF(AND(VLOOKUP(C674, Resultados_Reales!$A$4:$I$107, 5, FALSE)=G674, VLOOKUP(C674, Resultados_Reales!$A$4:$I$107, 6, FALSE)=H674), Configuracion!$B$5, IF(SIGN(VLOOKUP(C674, Resultados_Reales!$A$4:$I$107, 5, FALSE)-VLOOKUP(C674, Resultados_Reales!$A$4:$I$107, 6, FALSE)) = SIGN(G674-H674), Configuracion!$B$4, 0)))</f>
        <v/>
      </c>
      <c r="L674" s="11" t="n"/>
      <c r="M674" s="11" t="n"/>
      <c r="N674" s="11" t="n"/>
      <c r="O674" s="11" t="n"/>
      <c r="P674" s="11" t="n"/>
      <c r="Q674" s="11" t="n"/>
    </row>
    <row r="675">
      <c r="A675" s="8">
        <f>B675&amp;"_"&amp;C675</f>
        <v/>
      </c>
      <c r="B675" s="8" t="n"/>
      <c r="C675" s="8" t="n"/>
      <c r="D675" s="8" t="n"/>
      <c r="E675" s="11" t="n"/>
      <c r="F675" s="11" t="n"/>
      <c r="G675" s="8" t="n"/>
      <c r="H675" s="8" t="n"/>
      <c r="I675" s="8" t="n"/>
      <c r="J675" s="8" t="n"/>
      <c r="K675" s="12">
        <f>IF(OR(ISERROR(VLOOKUP(C675, Resultados_Reales!$A$4:$I$107, 5, FALSE)), ISERROR(VLOOKUP(C675, Resultados_Reales!$A$4:$I$107, 6, FALSE)), VLOOKUP(C675, Resultados_Reales!$A$4:$I$107, 5, FALSE)="", VLOOKUP(C675, Resultados_Reales!$A$4:$I$107, 6, FALSE)=""), 0, IF(AND(VLOOKUP(C675, Resultados_Reales!$A$4:$I$107, 5, FALSE)=G675, VLOOKUP(C675, Resultados_Reales!$A$4:$I$107, 6, FALSE)=H675), Configuracion!$B$5, IF(SIGN(VLOOKUP(C675, Resultados_Reales!$A$4:$I$107, 5, FALSE)-VLOOKUP(C675, Resultados_Reales!$A$4:$I$107, 6, FALSE)) = SIGN(G675-H675), Configuracion!$B$4, 0)))</f>
        <v/>
      </c>
      <c r="L675" s="11" t="n"/>
      <c r="M675" s="11" t="n"/>
      <c r="N675" s="11" t="n"/>
      <c r="O675" s="11" t="n"/>
      <c r="P675" s="11" t="n"/>
      <c r="Q675" s="11" t="n"/>
    </row>
    <row r="676">
      <c r="A676" s="8">
        <f>B676&amp;"_"&amp;C676</f>
        <v/>
      </c>
      <c r="B676" s="8" t="n"/>
      <c r="C676" s="8" t="n"/>
      <c r="D676" s="8" t="n"/>
      <c r="E676" s="11" t="n"/>
      <c r="F676" s="11" t="n"/>
      <c r="G676" s="8" t="n"/>
      <c r="H676" s="8" t="n"/>
      <c r="I676" s="8" t="n"/>
      <c r="J676" s="8" t="n"/>
      <c r="K676" s="12">
        <f>IF(OR(ISERROR(VLOOKUP(C676, Resultados_Reales!$A$4:$I$107, 5, FALSE)), ISERROR(VLOOKUP(C676, Resultados_Reales!$A$4:$I$107, 6, FALSE)), VLOOKUP(C676, Resultados_Reales!$A$4:$I$107, 5, FALSE)="", VLOOKUP(C676, Resultados_Reales!$A$4:$I$107, 6, FALSE)=""), 0, IF(AND(VLOOKUP(C676, Resultados_Reales!$A$4:$I$107, 5, FALSE)=G676, VLOOKUP(C676, Resultados_Reales!$A$4:$I$107, 6, FALSE)=H676), Configuracion!$B$5, IF(SIGN(VLOOKUP(C676, Resultados_Reales!$A$4:$I$107, 5, FALSE)-VLOOKUP(C676, Resultados_Reales!$A$4:$I$107, 6, FALSE)) = SIGN(G676-H676), Configuracion!$B$4, 0)))</f>
        <v/>
      </c>
      <c r="L676" s="11" t="n"/>
      <c r="M676" s="11" t="n"/>
      <c r="N676" s="11" t="n"/>
      <c r="O676" s="11" t="n"/>
      <c r="P676" s="11" t="n"/>
      <c r="Q676" s="11" t="n"/>
    </row>
    <row r="677">
      <c r="A677" s="8">
        <f>B677&amp;"_"&amp;C677</f>
        <v/>
      </c>
      <c r="B677" s="8" t="n"/>
      <c r="C677" s="8" t="n"/>
      <c r="D677" s="8" t="n"/>
      <c r="E677" s="11" t="n"/>
      <c r="F677" s="11" t="n"/>
      <c r="G677" s="8" t="n"/>
      <c r="H677" s="8" t="n"/>
      <c r="I677" s="8" t="n"/>
      <c r="J677" s="8" t="n"/>
      <c r="K677" s="12">
        <f>IF(OR(ISERROR(VLOOKUP(C677, Resultados_Reales!$A$4:$I$107, 5, FALSE)), ISERROR(VLOOKUP(C677, Resultados_Reales!$A$4:$I$107, 6, FALSE)), VLOOKUP(C677, Resultados_Reales!$A$4:$I$107, 5, FALSE)="", VLOOKUP(C677, Resultados_Reales!$A$4:$I$107, 6, FALSE)=""), 0, IF(AND(VLOOKUP(C677, Resultados_Reales!$A$4:$I$107, 5, FALSE)=G677, VLOOKUP(C677, Resultados_Reales!$A$4:$I$107, 6, FALSE)=H677), Configuracion!$B$5, IF(SIGN(VLOOKUP(C677, Resultados_Reales!$A$4:$I$107, 5, FALSE)-VLOOKUP(C677, Resultados_Reales!$A$4:$I$107, 6, FALSE)) = SIGN(G677-H677), Configuracion!$B$4, 0)))</f>
        <v/>
      </c>
      <c r="L677" s="11" t="n"/>
      <c r="M677" s="11" t="n"/>
      <c r="N677" s="11" t="n"/>
      <c r="O677" s="11" t="n"/>
      <c r="P677" s="11" t="n"/>
      <c r="Q677" s="11" t="n"/>
    </row>
    <row r="678">
      <c r="A678" s="8">
        <f>B678&amp;"_"&amp;C678</f>
        <v/>
      </c>
      <c r="B678" s="8" t="n"/>
      <c r="C678" s="8" t="n"/>
      <c r="D678" s="8" t="n"/>
      <c r="E678" s="11" t="n"/>
      <c r="F678" s="11" t="n"/>
      <c r="G678" s="8" t="n"/>
      <c r="H678" s="8" t="n"/>
      <c r="I678" s="8" t="n"/>
      <c r="J678" s="8" t="n"/>
      <c r="K678" s="12">
        <f>IF(OR(ISERROR(VLOOKUP(C678, Resultados_Reales!$A$4:$I$107, 5, FALSE)), ISERROR(VLOOKUP(C678, Resultados_Reales!$A$4:$I$107, 6, FALSE)), VLOOKUP(C678, Resultados_Reales!$A$4:$I$107, 5, FALSE)="", VLOOKUP(C678, Resultados_Reales!$A$4:$I$107, 6, FALSE)=""), 0, IF(AND(VLOOKUP(C678, Resultados_Reales!$A$4:$I$107, 5, FALSE)=G678, VLOOKUP(C678, Resultados_Reales!$A$4:$I$107, 6, FALSE)=H678), Configuracion!$B$5, IF(SIGN(VLOOKUP(C678, Resultados_Reales!$A$4:$I$107, 5, FALSE)-VLOOKUP(C678, Resultados_Reales!$A$4:$I$107, 6, FALSE)) = SIGN(G678-H678), Configuracion!$B$4, 0)))</f>
        <v/>
      </c>
      <c r="L678" s="11" t="n"/>
      <c r="M678" s="11" t="n"/>
      <c r="N678" s="11" t="n"/>
      <c r="O678" s="11" t="n"/>
      <c r="P678" s="11" t="n"/>
      <c r="Q678" s="11" t="n"/>
    </row>
    <row r="679">
      <c r="A679" s="8">
        <f>B679&amp;"_"&amp;C679</f>
        <v/>
      </c>
      <c r="B679" s="8" t="n"/>
      <c r="C679" s="8" t="n"/>
      <c r="D679" s="8" t="n"/>
      <c r="E679" s="11" t="n"/>
      <c r="F679" s="11" t="n"/>
      <c r="G679" s="8" t="n"/>
      <c r="H679" s="8" t="n"/>
      <c r="I679" s="8" t="n"/>
      <c r="J679" s="8" t="n"/>
      <c r="K679" s="12">
        <f>IF(OR(ISERROR(VLOOKUP(C679, Resultados_Reales!$A$4:$I$107, 5, FALSE)), ISERROR(VLOOKUP(C679, Resultados_Reales!$A$4:$I$107, 6, FALSE)), VLOOKUP(C679, Resultados_Reales!$A$4:$I$107, 5, FALSE)="", VLOOKUP(C679, Resultados_Reales!$A$4:$I$107, 6, FALSE)=""), 0, IF(AND(VLOOKUP(C679, Resultados_Reales!$A$4:$I$107, 5, FALSE)=G679, VLOOKUP(C679, Resultados_Reales!$A$4:$I$107, 6, FALSE)=H679), Configuracion!$B$5, IF(SIGN(VLOOKUP(C679, Resultados_Reales!$A$4:$I$107, 5, FALSE)-VLOOKUP(C679, Resultados_Reales!$A$4:$I$107, 6, FALSE)) = SIGN(G679-H679), Configuracion!$B$4, 0)))</f>
        <v/>
      </c>
      <c r="L679" s="11" t="n"/>
      <c r="M679" s="11" t="n"/>
      <c r="N679" s="11" t="n"/>
      <c r="O679" s="11" t="n"/>
      <c r="P679" s="11" t="n"/>
      <c r="Q679" s="11" t="n"/>
    </row>
    <row r="680">
      <c r="A680" s="8">
        <f>B680&amp;"_"&amp;C680</f>
        <v/>
      </c>
      <c r="B680" s="8" t="n"/>
      <c r="C680" s="8" t="n"/>
      <c r="D680" s="8" t="n"/>
      <c r="E680" s="11" t="n"/>
      <c r="F680" s="11" t="n"/>
      <c r="G680" s="8" t="n"/>
      <c r="H680" s="8" t="n"/>
      <c r="I680" s="8" t="n"/>
      <c r="J680" s="8" t="n"/>
      <c r="K680" s="12">
        <f>IF(OR(ISERROR(VLOOKUP(C680, Resultados_Reales!$A$4:$I$107, 5, FALSE)), ISERROR(VLOOKUP(C680, Resultados_Reales!$A$4:$I$107, 6, FALSE)), VLOOKUP(C680, Resultados_Reales!$A$4:$I$107, 5, FALSE)="", VLOOKUP(C680, Resultados_Reales!$A$4:$I$107, 6, FALSE)=""), 0, IF(AND(VLOOKUP(C680, Resultados_Reales!$A$4:$I$107, 5, FALSE)=G680, VLOOKUP(C680, Resultados_Reales!$A$4:$I$107, 6, FALSE)=H680), Configuracion!$B$5, IF(SIGN(VLOOKUP(C680, Resultados_Reales!$A$4:$I$107, 5, FALSE)-VLOOKUP(C680, Resultados_Reales!$A$4:$I$107, 6, FALSE)) = SIGN(G680-H680), Configuracion!$B$4, 0)))</f>
        <v/>
      </c>
      <c r="L680" s="11" t="n"/>
      <c r="M680" s="11" t="n"/>
      <c r="N680" s="11" t="n"/>
      <c r="O680" s="11" t="n"/>
      <c r="P680" s="11" t="n"/>
      <c r="Q680" s="11" t="n"/>
    </row>
    <row r="681">
      <c r="A681" s="8">
        <f>B681&amp;"_"&amp;C681</f>
        <v/>
      </c>
      <c r="B681" s="8" t="n"/>
      <c r="C681" s="8" t="n"/>
      <c r="D681" s="8" t="n"/>
      <c r="E681" s="11" t="n"/>
      <c r="F681" s="11" t="n"/>
      <c r="G681" s="8" t="n"/>
      <c r="H681" s="8" t="n"/>
      <c r="I681" s="8" t="n"/>
      <c r="J681" s="8" t="n"/>
      <c r="K681" s="12">
        <f>IF(OR(ISERROR(VLOOKUP(C681, Resultados_Reales!$A$4:$I$107, 5, FALSE)), ISERROR(VLOOKUP(C681, Resultados_Reales!$A$4:$I$107, 6, FALSE)), VLOOKUP(C681, Resultados_Reales!$A$4:$I$107, 5, FALSE)="", VLOOKUP(C681, Resultados_Reales!$A$4:$I$107, 6, FALSE)=""), 0, IF(AND(VLOOKUP(C681, Resultados_Reales!$A$4:$I$107, 5, FALSE)=G681, VLOOKUP(C681, Resultados_Reales!$A$4:$I$107, 6, FALSE)=H681), Configuracion!$B$5, IF(SIGN(VLOOKUP(C681, Resultados_Reales!$A$4:$I$107, 5, FALSE)-VLOOKUP(C681, Resultados_Reales!$A$4:$I$107, 6, FALSE)) = SIGN(G681-H681), Configuracion!$B$4, 0)))</f>
        <v/>
      </c>
      <c r="L681" s="11" t="n"/>
      <c r="M681" s="11" t="n"/>
      <c r="N681" s="11" t="n"/>
      <c r="O681" s="11" t="n"/>
      <c r="P681" s="11" t="n"/>
      <c r="Q681" s="11" t="n"/>
    </row>
    <row r="682">
      <c r="A682" s="8">
        <f>B682&amp;"_"&amp;C682</f>
        <v/>
      </c>
      <c r="B682" s="8" t="n"/>
      <c r="C682" s="8" t="n"/>
      <c r="D682" s="8" t="n"/>
      <c r="E682" s="11" t="n"/>
      <c r="F682" s="11" t="n"/>
      <c r="G682" s="8" t="n"/>
      <c r="H682" s="8" t="n"/>
      <c r="I682" s="8" t="n"/>
      <c r="J682" s="8" t="n"/>
      <c r="K682" s="12">
        <f>IF(OR(ISERROR(VLOOKUP(C682, Resultados_Reales!$A$4:$I$107, 5, FALSE)), ISERROR(VLOOKUP(C682, Resultados_Reales!$A$4:$I$107, 6, FALSE)), VLOOKUP(C682, Resultados_Reales!$A$4:$I$107, 5, FALSE)="", VLOOKUP(C682, Resultados_Reales!$A$4:$I$107, 6, FALSE)=""), 0, IF(AND(VLOOKUP(C682, Resultados_Reales!$A$4:$I$107, 5, FALSE)=G682, VLOOKUP(C682, Resultados_Reales!$A$4:$I$107, 6, FALSE)=H682), Configuracion!$B$5, IF(SIGN(VLOOKUP(C682, Resultados_Reales!$A$4:$I$107, 5, FALSE)-VLOOKUP(C682, Resultados_Reales!$A$4:$I$107, 6, FALSE)) = SIGN(G682-H682), Configuracion!$B$4, 0)))</f>
        <v/>
      </c>
      <c r="L682" s="11" t="n"/>
      <c r="M682" s="11" t="n"/>
      <c r="N682" s="11" t="n"/>
      <c r="O682" s="11" t="n"/>
      <c r="P682" s="11" t="n"/>
      <c r="Q682" s="11" t="n"/>
    </row>
    <row r="683">
      <c r="A683" s="8">
        <f>B683&amp;"_"&amp;C683</f>
        <v/>
      </c>
      <c r="B683" s="8" t="n"/>
      <c r="C683" s="8" t="n"/>
      <c r="D683" s="8" t="n"/>
      <c r="E683" s="11" t="n"/>
      <c r="F683" s="11" t="n"/>
      <c r="G683" s="8" t="n"/>
      <c r="H683" s="8" t="n"/>
      <c r="I683" s="8" t="n"/>
      <c r="J683" s="8" t="n"/>
      <c r="K683" s="12">
        <f>IF(OR(ISERROR(VLOOKUP(C683, Resultados_Reales!$A$4:$I$107, 5, FALSE)), ISERROR(VLOOKUP(C683, Resultados_Reales!$A$4:$I$107, 6, FALSE)), VLOOKUP(C683, Resultados_Reales!$A$4:$I$107, 5, FALSE)="", VLOOKUP(C683, Resultados_Reales!$A$4:$I$107, 6, FALSE)=""), 0, IF(AND(VLOOKUP(C683, Resultados_Reales!$A$4:$I$107, 5, FALSE)=G683, VLOOKUP(C683, Resultados_Reales!$A$4:$I$107, 6, FALSE)=H683), Configuracion!$B$5, IF(SIGN(VLOOKUP(C683, Resultados_Reales!$A$4:$I$107, 5, FALSE)-VLOOKUP(C683, Resultados_Reales!$A$4:$I$107, 6, FALSE)) = SIGN(G683-H683), Configuracion!$B$4, 0)))</f>
        <v/>
      </c>
      <c r="L683" s="11" t="n"/>
      <c r="M683" s="11" t="n"/>
      <c r="N683" s="11" t="n"/>
      <c r="O683" s="11" t="n"/>
      <c r="P683" s="11" t="n"/>
      <c r="Q683" s="11" t="n"/>
    </row>
    <row r="684">
      <c r="A684" s="8">
        <f>B684&amp;"_"&amp;C684</f>
        <v/>
      </c>
      <c r="B684" s="8" t="n"/>
      <c r="C684" s="8" t="n"/>
      <c r="D684" s="8" t="n"/>
      <c r="E684" s="11" t="n"/>
      <c r="F684" s="11" t="n"/>
      <c r="G684" s="8" t="n"/>
      <c r="H684" s="8" t="n"/>
      <c r="I684" s="8" t="n"/>
      <c r="J684" s="8" t="n"/>
      <c r="K684" s="12">
        <f>IF(OR(ISERROR(VLOOKUP(C684, Resultados_Reales!$A$4:$I$107, 5, FALSE)), ISERROR(VLOOKUP(C684, Resultados_Reales!$A$4:$I$107, 6, FALSE)), VLOOKUP(C684, Resultados_Reales!$A$4:$I$107, 5, FALSE)="", VLOOKUP(C684, Resultados_Reales!$A$4:$I$107, 6, FALSE)=""), 0, IF(AND(VLOOKUP(C684, Resultados_Reales!$A$4:$I$107, 5, FALSE)=G684, VLOOKUP(C684, Resultados_Reales!$A$4:$I$107, 6, FALSE)=H684), Configuracion!$B$5, IF(SIGN(VLOOKUP(C684, Resultados_Reales!$A$4:$I$107, 5, FALSE)-VLOOKUP(C684, Resultados_Reales!$A$4:$I$107, 6, FALSE)) = SIGN(G684-H684), Configuracion!$B$4, 0)))</f>
        <v/>
      </c>
      <c r="L684" s="11" t="n"/>
      <c r="M684" s="11" t="n"/>
      <c r="N684" s="11" t="n"/>
      <c r="O684" s="11" t="n"/>
      <c r="P684" s="11" t="n"/>
      <c r="Q684" s="11" t="n"/>
    </row>
    <row r="685">
      <c r="A685" s="8">
        <f>B685&amp;"_"&amp;C685</f>
        <v/>
      </c>
      <c r="B685" s="8" t="n"/>
      <c r="C685" s="8" t="n"/>
      <c r="D685" s="8" t="n"/>
      <c r="E685" s="11" t="n"/>
      <c r="F685" s="11" t="n"/>
      <c r="G685" s="8" t="n"/>
      <c r="H685" s="8" t="n"/>
      <c r="I685" s="8" t="n"/>
      <c r="J685" s="8" t="n"/>
      <c r="K685" s="12">
        <f>IF(OR(ISERROR(VLOOKUP(C685, Resultados_Reales!$A$4:$I$107, 5, FALSE)), ISERROR(VLOOKUP(C685, Resultados_Reales!$A$4:$I$107, 6, FALSE)), VLOOKUP(C685, Resultados_Reales!$A$4:$I$107, 5, FALSE)="", VLOOKUP(C685, Resultados_Reales!$A$4:$I$107, 6, FALSE)=""), 0, IF(AND(VLOOKUP(C685, Resultados_Reales!$A$4:$I$107, 5, FALSE)=G685, VLOOKUP(C685, Resultados_Reales!$A$4:$I$107, 6, FALSE)=H685), Configuracion!$B$5, IF(SIGN(VLOOKUP(C685, Resultados_Reales!$A$4:$I$107, 5, FALSE)-VLOOKUP(C685, Resultados_Reales!$A$4:$I$107, 6, FALSE)) = SIGN(G685-H685), Configuracion!$B$4, 0)))</f>
        <v/>
      </c>
      <c r="L685" s="11" t="n"/>
      <c r="M685" s="11" t="n"/>
      <c r="N685" s="11" t="n"/>
      <c r="O685" s="11" t="n"/>
      <c r="P685" s="11" t="n"/>
      <c r="Q685" s="11" t="n"/>
    </row>
    <row r="686">
      <c r="A686" s="8">
        <f>B686&amp;"_"&amp;C686</f>
        <v/>
      </c>
      <c r="B686" s="8" t="n"/>
      <c r="C686" s="8" t="n"/>
      <c r="D686" s="8" t="n"/>
      <c r="E686" s="11" t="n"/>
      <c r="F686" s="11" t="n"/>
      <c r="G686" s="8" t="n"/>
      <c r="H686" s="8" t="n"/>
      <c r="I686" s="8" t="n"/>
      <c r="J686" s="8" t="n"/>
      <c r="K686" s="12">
        <f>IF(OR(ISERROR(VLOOKUP(C686, Resultados_Reales!$A$4:$I$107, 5, FALSE)), ISERROR(VLOOKUP(C686, Resultados_Reales!$A$4:$I$107, 6, FALSE)), VLOOKUP(C686, Resultados_Reales!$A$4:$I$107, 5, FALSE)="", VLOOKUP(C686, Resultados_Reales!$A$4:$I$107, 6, FALSE)=""), 0, IF(AND(VLOOKUP(C686, Resultados_Reales!$A$4:$I$107, 5, FALSE)=G686, VLOOKUP(C686, Resultados_Reales!$A$4:$I$107, 6, FALSE)=H686), Configuracion!$B$5, IF(SIGN(VLOOKUP(C686, Resultados_Reales!$A$4:$I$107, 5, FALSE)-VLOOKUP(C686, Resultados_Reales!$A$4:$I$107, 6, FALSE)) = SIGN(G686-H686), Configuracion!$B$4, 0)))</f>
        <v/>
      </c>
      <c r="L686" s="11" t="n"/>
      <c r="M686" s="11" t="n"/>
      <c r="N686" s="11" t="n"/>
      <c r="O686" s="11" t="n"/>
      <c r="P686" s="11" t="n"/>
      <c r="Q686" s="11" t="n"/>
    </row>
    <row r="687">
      <c r="A687" s="8">
        <f>B687&amp;"_"&amp;C687</f>
        <v/>
      </c>
      <c r="B687" s="8" t="n"/>
      <c r="C687" s="8" t="n"/>
      <c r="D687" s="8" t="n"/>
      <c r="E687" s="11" t="n"/>
      <c r="F687" s="11" t="n"/>
      <c r="G687" s="8" t="n"/>
      <c r="H687" s="8" t="n"/>
      <c r="I687" s="8" t="n"/>
      <c r="J687" s="8" t="n"/>
      <c r="K687" s="12">
        <f>IF(OR(ISERROR(VLOOKUP(C687, Resultados_Reales!$A$4:$I$107, 5, FALSE)), ISERROR(VLOOKUP(C687, Resultados_Reales!$A$4:$I$107, 6, FALSE)), VLOOKUP(C687, Resultados_Reales!$A$4:$I$107, 5, FALSE)="", VLOOKUP(C687, Resultados_Reales!$A$4:$I$107, 6, FALSE)=""), 0, IF(AND(VLOOKUP(C687, Resultados_Reales!$A$4:$I$107, 5, FALSE)=G687, VLOOKUP(C687, Resultados_Reales!$A$4:$I$107, 6, FALSE)=H687), Configuracion!$B$5, IF(SIGN(VLOOKUP(C687, Resultados_Reales!$A$4:$I$107, 5, FALSE)-VLOOKUP(C687, Resultados_Reales!$A$4:$I$107, 6, FALSE)) = SIGN(G687-H687), Configuracion!$B$4, 0)))</f>
        <v/>
      </c>
      <c r="L687" s="11" t="n"/>
      <c r="M687" s="11" t="n"/>
      <c r="N687" s="11" t="n"/>
      <c r="O687" s="11" t="n"/>
      <c r="P687" s="11" t="n"/>
      <c r="Q687" s="11" t="n"/>
    </row>
    <row r="688">
      <c r="A688" s="8">
        <f>B688&amp;"_"&amp;C688</f>
        <v/>
      </c>
      <c r="B688" s="8" t="n"/>
      <c r="C688" s="8" t="n"/>
      <c r="D688" s="8" t="n"/>
      <c r="E688" s="11" t="n"/>
      <c r="F688" s="11" t="n"/>
      <c r="G688" s="8" t="n"/>
      <c r="H688" s="8" t="n"/>
      <c r="I688" s="8" t="n"/>
      <c r="J688" s="8" t="n"/>
      <c r="K688" s="12">
        <f>IF(OR(ISERROR(VLOOKUP(C688, Resultados_Reales!$A$4:$I$107, 5, FALSE)), ISERROR(VLOOKUP(C688, Resultados_Reales!$A$4:$I$107, 6, FALSE)), VLOOKUP(C688, Resultados_Reales!$A$4:$I$107, 5, FALSE)="", VLOOKUP(C688, Resultados_Reales!$A$4:$I$107, 6, FALSE)=""), 0, IF(AND(VLOOKUP(C688, Resultados_Reales!$A$4:$I$107, 5, FALSE)=G688, VLOOKUP(C688, Resultados_Reales!$A$4:$I$107, 6, FALSE)=H688), Configuracion!$B$5, IF(SIGN(VLOOKUP(C688, Resultados_Reales!$A$4:$I$107, 5, FALSE)-VLOOKUP(C688, Resultados_Reales!$A$4:$I$107, 6, FALSE)) = SIGN(G688-H688), Configuracion!$B$4, 0)))</f>
        <v/>
      </c>
      <c r="L688" s="11" t="n"/>
      <c r="M688" s="11" t="n"/>
      <c r="N688" s="11" t="n"/>
      <c r="O688" s="11" t="n"/>
      <c r="P688" s="11" t="n"/>
      <c r="Q688" s="11" t="n"/>
    </row>
    <row r="689">
      <c r="A689" s="8">
        <f>B689&amp;"_"&amp;C689</f>
        <v/>
      </c>
      <c r="B689" s="8" t="n"/>
      <c r="C689" s="8" t="n"/>
      <c r="D689" s="8" t="n"/>
      <c r="E689" s="11" t="n"/>
      <c r="F689" s="11" t="n"/>
      <c r="G689" s="8" t="n"/>
      <c r="H689" s="8" t="n"/>
      <c r="I689" s="8" t="n"/>
      <c r="J689" s="8" t="n"/>
      <c r="K689" s="12">
        <f>IF(OR(ISERROR(VLOOKUP(C689, Resultados_Reales!$A$4:$I$107, 5, FALSE)), ISERROR(VLOOKUP(C689, Resultados_Reales!$A$4:$I$107, 6, FALSE)), VLOOKUP(C689, Resultados_Reales!$A$4:$I$107, 5, FALSE)="", VLOOKUP(C689, Resultados_Reales!$A$4:$I$107, 6, FALSE)=""), 0, IF(AND(VLOOKUP(C689, Resultados_Reales!$A$4:$I$107, 5, FALSE)=G689, VLOOKUP(C689, Resultados_Reales!$A$4:$I$107, 6, FALSE)=H689), Configuracion!$B$5, IF(SIGN(VLOOKUP(C689, Resultados_Reales!$A$4:$I$107, 5, FALSE)-VLOOKUP(C689, Resultados_Reales!$A$4:$I$107, 6, FALSE)) = SIGN(G689-H689), Configuracion!$B$4, 0)))</f>
        <v/>
      </c>
      <c r="L689" s="11" t="n"/>
      <c r="M689" s="11" t="n"/>
      <c r="N689" s="11" t="n"/>
      <c r="O689" s="11" t="n"/>
      <c r="P689" s="11" t="n"/>
      <c r="Q689" s="11" t="n"/>
    </row>
    <row r="690">
      <c r="A690" s="8">
        <f>B690&amp;"_"&amp;C690</f>
        <v/>
      </c>
      <c r="B690" s="8" t="n"/>
      <c r="C690" s="8" t="n"/>
      <c r="D690" s="8" t="n"/>
      <c r="E690" s="11" t="n"/>
      <c r="F690" s="11" t="n"/>
      <c r="G690" s="8" t="n"/>
      <c r="H690" s="8" t="n"/>
      <c r="I690" s="8" t="n"/>
      <c r="J690" s="8" t="n"/>
      <c r="K690" s="12">
        <f>IF(OR(ISERROR(VLOOKUP(C690, Resultados_Reales!$A$4:$I$107, 5, FALSE)), ISERROR(VLOOKUP(C690, Resultados_Reales!$A$4:$I$107, 6, FALSE)), VLOOKUP(C690, Resultados_Reales!$A$4:$I$107, 5, FALSE)="", VLOOKUP(C690, Resultados_Reales!$A$4:$I$107, 6, FALSE)=""), 0, IF(AND(VLOOKUP(C690, Resultados_Reales!$A$4:$I$107, 5, FALSE)=G690, VLOOKUP(C690, Resultados_Reales!$A$4:$I$107, 6, FALSE)=H690), Configuracion!$B$5, IF(SIGN(VLOOKUP(C690, Resultados_Reales!$A$4:$I$107, 5, FALSE)-VLOOKUP(C690, Resultados_Reales!$A$4:$I$107, 6, FALSE)) = SIGN(G690-H690), Configuracion!$B$4, 0)))</f>
        <v/>
      </c>
      <c r="L690" s="11" t="n"/>
      <c r="M690" s="11" t="n"/>
      <c r="N690" s="11" t="n"/>
      <c r="O690" s="11" t="n"/>
      <c r="P690" s="11" t="n"/>
      <c r="Q690" s="11" t="n"/>
    </row>
    <row r="691">
      <c r="A691" s="8">
        <f>B691&amp;"_"&amp;C691</f>
        <v/>
      </c>
      <c r="B691" s="8" t="n"/>
      <c r="C691" s="8" t="n"/>
      <c r="D691" s="8" t="n"/>
      <c r="E691" s="11" t="n"/>
      <c r="F691" s="11" t="n"/>
      <c r="G691" s="8" t="n"/>
      <c r="H691" s="8" t="n"/>
      <c r="I691" s="8" t="n"/>
      <c r="J691" s="8" t="n"/>
      <c r="K691" s="12">
        <f>IF(OR(ISERROR(VLOOKUP(C691, Resultados_Reales!$A$4:$I$107, 5, FALSE)), ISERROR(VLOOKUP(C691, Resultados_Reales!$A$4:$I$107, 6, FALSE)), VLOOKUP(C691, Resultados_Reales!$A$4:$I$107, 5, FALSE)="", VLOOKUP(C691, Resultados_Reales!$A$4:$I$107, 6, FALSE)=""), 0, IF(AND(VLOOKUP(C691, Resultados_Reales!$A$4:$I$107, 5, FALSE)=G691, VLOOKUP(C691, Resultados_Reales!$A$4:$I$107, 6, FALSE)=H691), Configuracion!$B$5, IF(SIGN(VLOOKUP(C691, Resultados_Reales!$A$4:$I$107, 5, FALSE)-VLOOKUP(C691, Resultados_Reales!$A$4:$I$107, 6, FALSE)) = SIGN(G691-H691), Configuracion!$B$4, 0)))</f>
        <v/>
      </c>
      <c r="L691" s="11" t="n"/>
      <c r="M691" s="11" t="n"/>
      <c r="N691" s="11" t="n"/>
      <c r="O691" s="11" t="n"/>
      <c r="P691" s="11" t="n"/>
      <c r="Q691" s="11" t="n"/>
    </row>
    <row r="692">
      <c r="A692" s="8">
        <f>B692&amp;"_"&amp;C692</f>
        <v/>
      </c>
      <c r="B692" s="8" t="n"/>
      <c r="C692" s="8" t="n"/>
      <c r="D692" s="8" t="n"/>
      <c r="E692" s="11" t="n"/>
      <c r="F692" s="11" t="n"/>
      <c r="G692" s="8" t="n"/>
      <c r="H692" s="8" t="n"/>
      <c r="I692" s="8" t="n"/>
      <c r="J692" s="8" t="n"/>
      <c r="K692" s="12">
        <f>IF(OR(ISERROR(VLOOKUP(C692, Resultados_Reales!$A$4:$I$107, 5, FALSE)), ISERROR(VLOOKUP(C692, Resultados_Reales!$A$4:$I$107, 6, FALSE)), VLOOKUP(C692, Resultados_Reales!$A$4:$I$107, 5, FALSE)="", VLOOKUP(C692, Resultados_Reales!$A$4:$I$107, 6, FALSE)=""), 0, IF(AND(VLOOKUP(C692, Resultados_Reales!$A$4:$I$107, 5, FALSE)=G692, VLOOKUP(C692, Resultados_Reales!$A$4:$I$107, 6, FALSE)=H692), Configuracion!$B$5, IF(SIGN(VLOOKUP(C692, Resultados_Reales!$A$4:$I$107, 5, FALSE)-VLOOKUP(C692, Resultados_Reales!$A$4:$I$107, 6, FALSE)) = SIGN(G692-H692), Configuracion!$B$4, 0)))</f>
        <v/>
      </c>
      <c r="L692" s="11" t="n"/>
      <c r="M692" s="11" t="n"/>
      <c r="N692" s="11" t="n"/>
      <c r="O692" s="11" t="n"/>
      <c r="P692" s="11" t="n"/>
      <c r="Q692" s="11" t="n"/>
    </row>
    <row r="693">
      <c r="A693" s="8">
        <f>B693&amp;"_"&amp;C693</f>
        <v/>
      </c>
      <c r="B693" s="8" t="n"/>
      <c r="C693" s="8" t="n"/>
      <c r="D693" s="8" t="n"/>
      <c r="E693" s="11" t="n"/>
      <c r="F693" s="11" t="n"/>
      <c r="G693" s="8" t="n"/>
      <c r="H693" s="8" t="n"/>
      <c r="I693" s="8" t="n"/>
      <c r="J693" s="8" t="n"/>
      <c r="K693" s="12">
        <f>IF(OR(ISERROR(VLOOKUP(C693, Resultados_Reales!$A$4:$I$107, 5, FALSE)), ISERROR(VLOOKUP(C693, Resultados_Reales!$A$4:$I$107, 6, FALSE)), VLOOKUP(C693, Resultados_Reales!$A$4:$I$107, 5, FALSE)="", VLOOKUP(C693, Resultados_Reales!$A$4:$I$107, 6, FALSE)=""), 0, IF(AND(VLOOKUP(C693, Resultados_Reales!$A$4:$I$107, 5, FALSE)=G693, VLOOKUP(C693, Resultados_Reales!$A$4:$I$107, 6, FALSE)=H693), Configuracion!$B$5, IF(SIGN(VLOOKUP(C693, Resultados_Reales!$A$4:$I$107, 5, FALSE)-VLOOKUP(C693, Resultados_Reales!$A$4:$I$107, 6, FALSE)) = SIGN(G693-H693), Configuracion!$B$4, 0)))</f>
        <v/>
      </c>
      <c r="L693" s="11" t="n"/>
      <c r="M693" s="11" t="n"/>
      <c r="N693" s="11" t="n"/>
      <c r="O693" s="11" t="n"/>
      <c r="P693" s="11" t="n"/>
      <c r="Q693" s="11" t="n"/>
    </row>
    <row r="694">
      <c r="A694" s="8">
        <f>B694&amp;"_"&amp;C694</f>
        <v/>
      </c>
      <c r="B694" s="8" t="n"/>
      <c r="C694" s="8" t="n"/>
      <c r="D694" s="8" t="n"/>
      <c r="E694" s="11" t="n"/>
      <c r="F694" s="11" t="n"/>
      <c r="G694" s="8" t="n"/>
      <c r="H694" s="8" t="n"/>
      <c r="I694" s="8" t="n"/>
      <c r="J694" s="8" t="n"/>
      <c r="K694" s="12">
        <f>IF(OR(ISERROR(VLOOKUP(C694, Resultados_Reales!$A$4:$I$107, 5, FALSE)), ISERROR(VLOOKUP(C694, Resultados_Reales!$A$4:$I$107, 6, FALSE)), VLOOKUP(C694, Resultados_Reales!$A$4:$I$107, 5, FALSE)="", VLOOKUP(C694, Resultados_Reales!$A$4:$I$107, 6, FALSE)=""), 0, IF(AND(VLOOKUP(C694, Resultados_Reales!$A$4:$I$107, 5, FALSE)=G694, VLOOKUP(C694, Resultados_Reales!$A$4:$I$107, 6, FALSE)=H694), Configuracion!$B$5, IF(SIGN(VLOOKUP(C694, Resultados_Reales!$A$4:$I$107, 5, FALSE)-VLOOKUP(C694, Resultados_Reales!$A$4:$I$107, 6, FALSE)) = SIGN(G694-H694), Configuracion!$B$4, 0)))</f>
        <v/>
      </c>
      <c r="L694" s="11" t="n"/>
      <c r="M694" s="11" t="n"/>
      <c r="N694" s="11" t="n"/>
      <c r="O694" s="11" t="n"/>
      <c r="P694" s="11" t="n"/>
      <c r="Q694" s="11" t="n"/>
    </row>
    <row r="695">
      <c r="A695" s="8">
        <f>B695&amp;"_"&amp;C695</f>
        <v/>
      </c>
      <c r="B695" s="8" t="n"/>
      <c r="C695" s="8" t="n"/>
      <c r="D695" s="8" t="n"/>
      <c r="E695" s="11" t="n"/>
      <c r="F695" s="11" t="n"/>
      <c r="G695" s="8" t="n"/>
      <c r="H695" s="8" t="n"/>
      <c r="I695" s="8" t="n"/>
      <c r="J695" s="8" t="n"/>
      <c r="K695" s="12">
        <f>IF(OR(ISERROR(VLOOKUP(C695, Resultados_Reales!$A$4:$I$107, 5, FALSE)), ISERROR(VLOOKUP(C695, Resultados_Reales!$A$4:$I$107, 6, FALSE)), VLOOKUP(C695, Resultados_Reales!$A$4:$I$107, 5, FALSE)="", VLOOKUP(C695, Resultados_Reales!$A$4:$I$107, 6, FALSE)=""), 0, IF(AND(VLOOKUP(C695, Resultados_Reales!$A$4:$I$107, 5, FALSE)=G695, VLOOKUP(C695, Resultados_Reales!$A$4:$I$107, 6, FALSE)=H695), Configuracion!$B$5, IF(SIGN(VLOOKUP(C695, Resultados_Reales!$A$4:$I$107, 5, FALSE)-VLOOKUP(C695, Resultados_Reales!$A$4:$I$107, 6, FALSE)) = SIGN(G695-H695), Configuracion!$B$4, 0)))</f>
        <v/>
      </c>
      <c r="L695" s="11" t="n"/>
      <c r="M695" s="11" t="n"/>
      <c r="N695" s="11" t="n"/>
      <c r="O695" s="11" t="n"/>
      <c r="P695" s="11" t="n"/>
      <c r="Q695" s="11" t="n"/>
    </row>
    <row r="696">
      <c r="A696" s="8">
        <f>B696&amp;"_"&amp;C696</f>
        <v/>
      </c>
      <c r="B696" s="8" t="n"/>
      <c r="C696" s="8" t="n"/>
      <c r="D696" s="8" t="n"/>
      <c r="E696" s="11" t="n"/>
      <c r="F696" s="11" t="n"/>
      <c r="G696" s="8" t="n"/>
      <c r="H696" s="8" t="n"/>
      <c r="I696" s="8" t="n"/>
      <c r="J696" s="8" t="n"/>
      <c r="K696" s="12">
        <f>IF(OR(ISERROR(VLOOKUP(C696, Resultados_Reales!$A$4:$I$107, 5, FALSE)), ISERROR(VLOOKUP(C696, Resultados_Reales!$A$4:$I$107, 6, FALSE)), VLOOKUP(C696, Resultados_Reales!$A$4:$I$107, 5, FALSE)="", VLOOKUP(C696, Resultados_Reales!$A$4:$I$107, 6, FALSE)=""), 0, IF(AND(VLOOKUP(C696, Resultados_Reales!$A$4:$I$107, 5, FALSE)=G696, VLOOKUP(C696, Resultados_Reales!$A$4:$I$107, 6, FALSE)=H696), Configuracion!$B$5, IF(SIGN(VLOOKUP(C696, Resultados_Reales!$A$4:$I$107, 5, FALSE)-VLOOKUP(C696, Resultados_Reales!$A$4:$I$107, 6, FALSE)) = SIGN(G696-H696), Configuracion!$B$4, 0)))</f>
        <v/>
      </c>
      <c r="L696" s="11" t="n"/>
      <c r="M696" s="11" t="n"/>
      <c r="N696" s="11" t="n"/>
      <c r="O696" s="11" t="n"/>
      <c r="P696" s="11" t="n"/>
      <c r="Q696" s="11" t="n"/>
    </row>
    <row r="697">
      <c r="A697" s="8">
        <f>B697&amp;"_"&amp;C697</f>
        <v/>
      </c>
      <c r="B697" s="8" t="n"/>
      <c r="C697" s="8" t="n"/>
      <c r="D697" s="8" t="n"/>
      <c r="E697" s="11" t="n"/>
      <c r="F697" s="11" t="n"/>
      <c r="G697" s="8" t="n"/>
      <c r="H697" s="8" t="n"/>
      <c r="I697" s="8" t="n"/>
      <c r="J697" s="8" t="n"/>
      <c r="K697" s="12">
        <f>IF(OR(ISERROR(VLOOKUP(C697, Resultados_Reales!$A$4:$I$107, 5, FALSE)), ISERROR(VLOOKUP(C697, Resultados_Reales!$A$4:$I$107, 6, FALSE)), VLOOKUP(C697, Resultados_Reales!$A$4:$I$107, 5, FALSE)="", VLOOKUP(C697, Resultados_Reales!$A$4:$I$107, 6, FALSE)=""), 0, IF(AND(VLOOKUP(C697, Resultados_Reales!$A$4:$I$107, 5, FALSE)=G697, VLOOKUP(C697, Resultados_Reales!$A$4:$I$107, 6, FALSE)=H697), Configuracion!$B$5, IF(SIGN(VLOOKUP(C697, Resultados_Reales!$A$4:$I$107, 5, FALSE)-VLOOKUP(C697, Resultados_Reales!$A$4:$I$107, 6, FALSE)) = SIGN(G697-H697), Configuracion!$B$4, 0)))</f>
        <v/>
      </c>
      <c r="L697" s="11" t="n"/>
      <c r="M697" s="11" t="n"/>
      <c r="N697" s="11" t="n"/>
      <c r="O697" s="11" t="n"/>
      <c r="P697" s="11" t="n"/>
      <c r="Q697" s="11" t="n"/>
    </row>
    <row r="698">
      <c r="A698" s="8">
        <f>B698&amp;"_"&amp;C698</f>
        <v/>
      </c>
      <c r="B698" s="8" t="n"/>
      <c r="C698" s="8" t="n"/>
      <c r="D698" s="8" t="n"/>
      <c r="E698" s="11" t="n"/>
      <c r="F698" s="11" t="n"/>
      <c r="G698" s="8" t="n"/>
      <c r="H698" s="8" t="n"/>
      <c r="I698" s="8" t="n"/>
      <c r="J698" s="8" t="n"/>
      <c r="K698" s="12">
        <f>IF(OR(ISERROR(VLOOKUP(C698, Resultados_Reales!$A$4:$I$107, 5, FALSE)), ISERROR(VLOOKUP(C698, Resultados_Reales!$A$4:$I$107, 6, FALSE)), VLOOKUP(C698, Resultados_Reales!$A$4:$I$107, 5, FALSE)="", VLOOKUP(C698, Resultados_Reales!$A$4:$I$107, 6, FALSE)=""), 0, IF(AND(VLOOKUP(C698, Resultados_Reales!$A$4:$I$107, 5, FALSE)=G698, VLOOKUP(C698, Resultados_Reales!$A$4:$I$107, 6, FALSE)=H698), Configuracion!$B$5, IF(SIGN(VLOOKUP(C698, Resultados_Reales!$A$4:$I$107, 5, FALSE)-VLOOKUP(C698, Resultados_Reales!$A$4:$I$107, 6, FALSE)) = SIGN(G698-H698), Configuracion!$B$4, 0)))</f>
        <v/>
      </c>
      <c r="L698" s="11" t="n"/>
      <c r="M698" s="11" t="n"/>
      <c r="N698" s="11" t="n"/>
      <c r="O698" s="11" t="n"/>
      <c r="P698" s="11" t="n"/>
      <c r="Q698" s="11" t="n"/>
    </row>
    <row r="699">
      <c r="A699" s="8">
        <f>B699&amp;"_"&amp;C699</f>
        <v/>
      </c>
      <c r="B699" s="8" t="n"/>
      <c r="C699" s="8" t="n"/>
      <c r="D699" s="8" t="n"/>
      <c r="E699" s="11" t="n"/>
      <c r="F699" s="11" t="n"/>
      <c r="G699" s="8" t="n"/>
      <c r="H699" s="8" t="n"/>
      <c r="I699" s="8" t="n"/>
      <c r="J699" s="8" t="n"/>
      <c r="K699" s="12">
        <f>IF(OR(ISERROR(VLOOKUP(C699, Resultados_Reales!$A$4:$I$107, 5, FALSE)), ISERROR(VLOOKUP(C699, Resultados_Reales!$A$4:$I$107, 6, FALSE)), VLOOKUP(C699, Resultados_Reales!$A$4:$I$107, 5, FALSE)="", VLOOKUP(C699, Resultados_Reales!$A$4:$I$107, 6, FALSE)=""), 0, IF(AND(VLOOKUP(C699, Resultados_Reales!$A$4:$I$107, 5, FALSE)=G699, VLOOKUP(C699, Resultados_Reales!$A$4:$I$107, 6, FALSE)=H699), Configuracion!$B$5, IF(SIGN(VLOOKUP(C699, Resultados_Reales!$A$4:$I$107, 5, FALSE)-VLOOKUP(C699, Resultados_Reales!$A$4:$I$107, 6, FALSE)) = SIGN(G699-H699), Configuracion!$B$4, 0)))</f>
        <v/>
      </c>
      <c r="L699" s="11" t="n"/>
      <c r="M699" s="11" t="n"/>
      <c r="N699" s="11" t="n"/>
      <c r="O699" s="11" t="n"/>
      <c r="P699" s="11" t="n"/>
      <c r="Q699" s="11" t="n"/>
    </row>
    <row r="700">
      <c r="A700" s="8">
        <f>B700&amp;"_"&amp;C700</f>
        <v/>
      </c>
      <c r="B700" s="8" t="n"/>
      <c r="C700" s="8" t="n"/>
      <c r="D700" s="8" t="n"/>
      <c r="E700" s="11" t="n"/>
      <c r="F700" s="11" t="n"/>
      <c r="G700" s="8" t="n"/>
      <c r="H700" s="8" t="n"/>
      <c r="I700" s="8" t="n"/>
      <c r="J700" s="8" t="n"/>
      <c r="K700" s="12">
        <f>IF(OR(ISERROR(VLOOKUP(C700, Resultados_Reales!$A$4:$I$107, 5, FALSE)), ISERROR(VLOOKUP(C700, Resultados_Reales!$A$4:$I$107, 6, FALSE)), VLOOKUP(C700, Resultados_Reales!$A$4:$I$107, 5, FALSE)="", VLOOKUP(C700, Resultados_Reales!$A$4:$I$107, 6, FALSE)=""), 0, IF(AND(VLOOKUP(C700, Resultados_Reales!$A$4:$I$107, 5, FALSE)=G700, VLOOKUP(C700, Resultados_Reales!$A$4:$I$107, 6, FALSE)=H700), Configuracion!$B$5, IF(SIGN(VLOOKUP(C700, Resultados_Reales!$A$4:$I$107, 5, FALSE)-VLOOKUP(C700, Resultados_Reales!$A$4:$I$107, 6, FALSE)) = SIGN(G700-H700), Configuracion!$B$4, 0)))</f>
        <v/>
      </c>
      <c r="L700" s="11" t="n"/>
      <c r="M700" s="11" t="n"/>
      <c r="N700" s="11" t="n"/>
      <c r="O700" s="11" t="n"/>
      <c r="P700" s="11" t="n"/>
      <c r="Q700" s="11" t="n"/>
    </row>
    <row r="701">
      <c r="A701" s="8">
        <f>B701&amp;"_"&amp;C701</f>
        <v/>
      </c>
      <c r="B701" s="8" t="n"/>
      <c r="C701" s="8" t="n"/>
      <c r="D701" s="8" t="n"/>
      <c r="E701" s="11" t="n"/>
      <c r="F701" s="11" t="n"/>
      <c r="G701" s="8" t="n"/>
      <c r="H701" s="8" t="n"/>
      <c r="I701" s="8" t="n"/>
      <c r="J701" s="8" t="n"/>
      <c r="K701" s="12">
        <f>IF(OR(ISERROR(VLOOKUP(C701, Resultados_Reales!$A$4:$I$107, 5, FALSE)), ISERROR(VLOOKUP(C701, Resultados_Reales!$A$4:$I$107, 6, FALSE)), VLOOKUP(C701, Resultados_Reales!$A$4:$I$107, 5, FALSE)="", VLOOKUP(C701, Resultados_Reales!$A$4:$I$107, 6, FALSE)=""), 0, IF(AND(VLOOKUP(C701, Resultados_Reales!$A$4:$I$107, 5, FALSE)=G701, VLOOKUP(C701, Resultados_Reales!$A$4:$I$107, 6, FALSE)=H701), Configuracion!$B$5, IF(SIGN(VLOOKUP(C701, Resultados_Reales!$A$4:$I$107, 5, FALSE)-VLOOKUP(C701, Resultados_Reales!$A$4:$I$107, 6, FALSE)) = SIGN(G701-H701), Configuracion!$B$4, 0)))</f>
        <v/>
      </c>
      <c r="L701" s="11" t="n"/>
      <c r="M701" s="11" t="n"/>
      <c r="N701" s="11" t="n"/>
      <c r="O701" s="11" t="n"/>
      <c r="P701" s="11" t="n"/>
      <c r="Q701" s="11" t="n"/>
    </row>
    <row r="702">
      <c r="A702" s="8">
        <f>B702&amp;"_"&amp;C702</f>
        <v/>
      </c>
      <c r="B702" s="8" t="n"/>
      <c r="C702" s="8" t="n"/>
      <c r="D702" s="8" t="n"/>
      <c r="E702" s="11" t="n"/>
      <c r="F702" s="11" t="n"/>
      <c r="G702" s="8" t="n"/>
      <c r="H702" s="8" t="n"/>
      <c r="I702" s="8" t="n"/>
      <c r="J702" s="8" t="n"/>
      <c r="K702" s="12">
        <f>IF(OR(ISERROR(VLOOKUP(C702, Resultados_Reales!$A$4:$I$107, 5, FALSE)), ISERROR(VLOOKUP(C702, Resultados_Reales!$A$4:$I$107, 6, FALSE)), VLOOKUP(C702, Resultados_Reales!$A$4:$I$107, 5, FALSE)="", VLOOKUP(C702, Resultados_Reales!$A$4:$I$107, 6, FALSE)=""), 0, IF(AND(VLOOKUP(C702, Resultados_Reales!$A$4:$I$107, 5, FALSE)=G702, VLOOKUP(C702, Resultados_Reales!$A$4:$I$107, 6, FALSE)=H702), Configuracion!$B$5, IF(SIGN(VLOOKUP(C702, Resultados_Reales!$A$4:$I$107, 5, FALSE)-VLOOKUP(C702, Resultados_Reales!$A$4:$I$107, 6, FALSE)) = SIGN(G702-H702), Configuracion!$B$4, 0)))</f>
        <v/>
      </c>
      <c r="L702" s="11" t="n"/>
      <c r="M702" s="11" t="n"/>
      <c r="N702" s="11" t="n"/>
      <c r="O702" s="11" t="n"/>
      <c r="P702" s="11" t="n"/>
      <c r="Q702" s="11" t="n"/>
    </row>
    <row r="703">
      <c r="A703" s="8">
        <f>B703&amp;"_"&amp;C703</f>
        <v/>
      </c>
      <c r="B703" s="8" t="n"/>
      <c r="C703" s="8" t="n"/>
      <c r="D703" s="8" t="n"/>
      <c r="E703" s="11" t="n"/>
      <c r="F703" s="11" t="n"/>
      <c r="G703" s="8" t="n"/>
      <c r="H703" s="8" t="n"/>
      <c r="I703" s="8" t="n"/>
      <c r="J703" s="8" t="n"/>
      <c r="K703" s="12">
        <f>IF(OR(ISERROR(VLOOKUP(C703, Resultados_Reales!$A$4:$I$107, 5, FALSE)), ISERROR(VLOOKUP(C703, Resultados_Reales!$A$4:$I$107, 6, FALSE)), VLOOKUP(C703, Resultados_Reales!$A$4:$I$107, 5, FALSE)="", VLOOKUP(C703, Resultados_Reales!$A$4:$I$107, 6, FALSE)=""), 0, IF(AND(VLOOKUP(C703, Resultados_Reales!$A$4:$I$107, 5, FALSE)=G703, VLOOKUP(C703, Resultados_Reales!$A$4:$I$107, 6, FALSE)=H703), Configuracion!$B$5, IF(SIGN(VLOOKUP(C703, Resultados_Reales!$A$4:$I$107, 5, FALSE)-VLOOKUP(C703, Resultados_Reales!$A$4:$I$107, 6, FALSE)) = SIGN(G703-H703), Configuracion!$B$4, 0)))</f>
        <v/>
      </c>
      <c r="L703" s="11" t="n"/>
      <c r="M703" s="11" t="n"/>
      <c r="N703" s="11" t="n"/>
      <c r="O703" s="11" t="n"/>
      <c r="P703" s="11" t="n"/>
      <c r="Q703" s="11" t="n"/>
    </row>
    <row r="704">
      <c r="A704" s="8">
        <f>B704&amp;"_"&amp;C704</f>
        <v/>
      </c>
      <c r="B704" s="8" t="n"/>
      <c r="C704" s="8" t="n"/>
      <c r="D704" s="8" t="n"/>
      <c r="E704" s="11" t="n"/>
      <c r="F704" s="11" t="n"/>
      <c r="G704" s="8" t="n"/>
      <c r="H704" s="8" t="n"/>
      <c r="I704" s="8" t="n"/>
      <c r="J704" s="8" t="n"/>
      <c r="K704" s="12">
        <f>IF(OR(ISERROR(VLOOKUP(C704, Resultados_Reales!$A$4:$I$107, 5, FALSE)), ISERROR(VLOOKUP(C704, Resultados_Reales!$A$4:$I$107, 6, FALSE)), VLOOKUP(C704, Resultados_Reales!$A$4:$I$107, 5, FALSE)="", VLOOKUP(C704, Resultados_Reales!$A$4:$I$107, 6, FALSE)=""), 0, IF(AND(VLOOKUP(C704, Resultados_Reales!$A$4:$I$107, 5, FALSE)=G704, VLOOKUP(C704, Resultados_Reales!$A$4:$I$107, 6, FALSE)=H704), Configuracion!$B$5, IF(SIGN(VLOOKUP(C704, Resultados_Reales!$A$4:$I$107, 5, FALSE)-VLOOKUP(C704, Resultados_Reales!$A$4:$I$107, 6, FALSE)) = SIGN(G704-H704), Configuracion!$B$4, 0)))</f>
        <v/>
      </c>
      <c r="L704" s="11" t="n"/>
      <c r="M704" s="11" t="n"/>
      <c r="N704" s="11" t="n"/>
      <c r="O704" s="11" t="n"/>
      <c r="P704" s="11" t="n"/>
      <c r="Q704" s="11" t="n"/>
    </row>
    <row r="705">
      <c r="A705" s="8">
        <f>B705&amp;"_"&amp;C705</f>
        <v/>
      </c>
      <c r="B705" s="8" t="n"/>
      <c r="C705" s="8" t="n"/>
      <c r="D705" s="8" t="n"/>
      <c r="E705" s="11" t="n"/>
      <c r="F705" s="11" t="n"/>
      <c r="G705" s="8" t="n"/>
      <c r="H705" s="8" t="n"/>
      <c r="I705" s="8" t="n"/>
      <c r="J705" s="8" t="n"/>
      <c r="K705" s="12">
        <f>IF(OR(ISERROR(VLOOKUP(C705, Resultados_Reales!$A$4:$I$107, 5, FALSE)), ISERROR(VLOOKUP(C705, Resultados_Reales!$A$4:$I$107, 6, FALSE)), VLOOKUP(C705, Resultados_Reales!$A$4:$I$107, 5, FALSE)="", VLOOKUP(C705, Resultados_Reales!$A$4:$I$107, 6, FALSE)=""), 0, IF(AND(VLOOKUP(C705, Resultados_Reales!$A$4:$I$107, 5, FALSE)=G705, VLOOKUP(C705, Resultados_Reales!$A$4:$I$107, 6, FALSE)=H705), Configuracion!$B$5, IF(SIGN(VLOOKUP(C705, Resultados_Reales!$A$4:$I$107, 5, FALSE)-VLOOKUP(C705, Resultados_Reales!$A$4:$I$107, 6, FALSE)) = SIGN(G705-H705), Configuracion!$B$4, 0)))</f>
        <v/>
      </c>
      <c r="L705" s="11" t="n"/>
      <c r="M705" s="11" t="n"/>
      <c r="N705" s="11" t="n"/>
      <c r="O705" s="11" t="n"/>
      <c r="P705" s="11" t="n"/>
      <c r="Q705" s="11" t="n"/>
    </row>
    <row r="706">
      <c r="A706" s="8">
        <f>B706&amp;"_"&amp;C706</f>
        <v/>
      </c>
      <c r="B706" s="8" t="n"/>
      <c r="C706" s="8" t="n"/>
      <c r="D706" s="8" t="n"/>
      <c r="E706" s="11" t="n"/>
      <c r="F706" s="11" t="n"/>
      <c r="G706" s="8" t="n"/>
      <c r="H706" s="8" t="n"/>
      <c r="I706" s="8" t="n"/>
      <c r="J706" s="8" t="n"/>
      <c r="K706" s="12">
        <f>IF(OR(ISERROR(VLOOKUP(C706, Resultados_Reales!$A$4:$I$107, 5, FALSE)), ISERROR(VLOOKUP(C706, Resultados_Reales!$A$4:$I$107, 6, FALSE)), VLOOKUP(C706, Resultados_Reales!$A$4:$I$107, 5, FALSE)="", VLOOKUP(C706, Resultados_Reales!$A$4:$I$107, 6, FALSE)=""), 0, IF(AND(VLOOKUP(C706, Resultados_Reales!$A$4:$I$107, 5, FALSE)=G706, VLOOKUP(C706, Resultados_Reales!$A$4:$I$107, 6, FALSE)=H706), Configuracion!$B$5, IF(SIGN(VLOOKUP(C706, Resultados_Reales!$A$4:$I$107, 5, FALSE)-VLOOKUP(C706, Resultados_Reales!$A$4:$I$107, 6, FALSE)) = SIGN(G706-H706), Configuracion!$B$4, 0)))</f>
        <v/>
      </c>
      <c r="L706" s="11" t="n"/>
      <c r="M706" s="11" t="n"/>
      <c r="N706" s="11" t="n"/>
      <c r="O706" s="11" t="n"/>
      <c r="P706" s="11" t="n"/>
      <c r="Q706" s="11" t="n"/>
    </row>
    <row r="707">
      <c r="A707" s="8">
        <f>B707&amp;"_"&amp;C707</f>
        <v/>
      </c>
      <c r="B707" s="8" t="n"/>
      <c r="C707" s="8" t="n"/>
      <c r="D707" s="8" t="n"/>
      <c r="E707" s="11" t="n"/>
      <c r="F707" s="11" t="n"/>
      <c r="G707" s="8" t="n"/>
      <c r="H707" s="8" t="n"/>
      <c r="I707" s="8" t="n"/>
      <c r="J707" s="8" t="n"/>
      <c r="K707" s="12">
        <f>IF(OR(ISERROR(VLOOKUP(C707, Resultados_Reales!$A$4:$I$107, 5, FALSE)), ISERROR(VLOOKUP(C707, Resultados_Reales!$A$4:$I$107, 6, FALSE)), VLOOKUP(C707, Resultados_Reales!$A$4:$I$107, 5, FALSE)="", VLOOKUP(C707, Resultados_Reales!$A$4:$I$107, 6, FALSE)=""), 0, IF(AND(VLOOKUP(C707, Resultados_Reales!$A$4:$I$107, 5, FALSE)=G707, VLOOKUP(C707, Resultados_Reales!$A$4:$I$107, 6, FALSE)=H707), Configuracion!$B$5, IF(SIGN(VLOOKUP(C707, Resultados_Reales!$A$4:$I$107, 5, FALSE)-VLOOKUP(C707, Resultados_Reales!$A$4:$I$107, 6, FALSE)) = SIGN(G707-H707), Configuracion!$B$4, 0)))</f>
        <v/>
      </c>
      <c r="L707" s="11" t="n"/>
      <c r="M707" s="11" t="n"/>
      <c r="N707" s="11" t="n"/>
      <c r="O707" s="11" t="n"/>
      <c r="P707" s="11" t="n"/>
      <c r="Q707" s="11" t="n"/>
    </row>
    <row r="708">
      <c r="A708" s="8">
        <f>B708&amp;"_"&amp;C708</f>
        <v/>
      </c>
      <c r="B708" s="8" t="n"/>
      <c r="C708" s="8" t="n"/>
      <c r="D708" s="8" t="n"/>
      <c r="E708" s="11" t="n"/>
      <c r="F708" s="11" t="n"/>
      <c r="G708" s="8" t="n"/>
      <c r="H708" s="8" t="n"/>
      <c r="I708" s="8" t="n"/>
      <c r="J708" s="8" t="n"/>
      <c r="K708" s="12">
        <f>IF(OR(ISERROR(VLOOKUP(C708, Resultados_Reales!$A$4:$I$107, 5, FALSE)), ISERROR(VLOOKUP(C708, Resultados_Reales!$A$4:$I$107, 6, FALSE)), VLOOKUP(C708, Resultados_Reales!$A$4:$I$107, 5, FALSE)="", VLOOKUP(C708, Resultados_Reales!$A$4:$I$107, 6, FALSE)=""), 0, IF(AND(VLOOKUP(C708, Resultados_Reales!$A$4:$I$107, 5, FALSE)=G708, VLOOKUP(C708, Resultados_Reales!$A$4:$I$107, 6, FALSE)=H708), Configuracion!$B$5, IF(SIGN(VLOOKUP(C708, Resultados_Reales!$A$4:$I$107, 5, FALSE)-VLOOKUP(C708, Resultados_Reales!$A$4:$I$107, 6, FALSE)) = SIGN(G708-H708), Configuracion!$B$4, 0)))</f>
        <v/>
      </c>
      <c r="L708" s="11" t="n"/>
      <c r="M708" s="11" t="n"/>
      <c r="N708" s="11" t="n"/>
      <c r="O708" s="11" t="n"/>
      <c r="P708" s="11" t="n"/>
      <c r="Q708" s="11" t="n"/>
    </row>
    <row r="709">
      <c r="A709" s="8">
        <f>B709&amp;"_"&amp;C709</f>
        <v/>
      </c>
      <c r="B709" s="8" t="n"/>
      <c r="C709" s="8" t="n"/>
      <c r="D709" s="8" t="n"/>
      <c r="E709" s="11" t="n"/>
      <c r="F709" s="11" t="n"/>
      <c r="G709" s="8" t="n"/>
      <c r="H709" s="8" t="n"/>
      <c r="I709" s="8" t="n"/>
      <c r="J709" s="8" t="n"/>
      <c r="K709" s="12">
        <f>IF(OR(ISERROR(VLOOKUP(C709, Resultados_Reales!$A$4:$I$107, 5, FALSE)), ISERROR(VLOOKUP(C709, Resultados_Reales!$A$4:$I$107, 6, FALSE)), VLOOKUP(C709, Resultados_Reales!$A$4:$I$107, 5, FALSE)="", VLOOKUP(C709, Resultados_Reales!$A$4:$I$107, 6, FALSE)=""), 0, IF(AND(VLOOKUP(C709, Resultados_Reales!$A$4:$I$107, 5, FALSE)=G709, VLOOKUP(C709, Resultados_Reales!$A$4:$I$107, 6, FALSE)=H709), Configuracion!$B$5, IF(SIGN(VLOOKUP(C709, Resultados_Reales!$A$4:$I$107, 5, FALSE)-VLOOKUP(C709, Resultados_Reales!$A$4:$I$107, 6, FALSE)) = SIGN(G709-H709), Configuracion!$B$4, 0)))</f>
        <v/>
      </c>
      <c r="L709" s="11" t="n"/>
      <c r="M709" s="11" t="n"/>
      <c r="N709" s="11" t="n"/>
      <c r="O709" s="11" t="n"/>
      <c r="P709" s="11" t="n"/>
      <c r="Q709" s="11" t="n"/>
    </row>
    <row r="710">
      <c r="A710" s="8">
        <f>B710&amp;"_"&amp;C710</f>
        <v/>
      </c>
      <c r="B710" s="8" t="n"/>
      <c r="C710" s="8" t="n"/>
      <c r="D710" s="8" t="n"/>
      <c r="E710" s="11" t="n"/>
      <c r="F710" s="11" t="n"/>
      <c r="G710" s="8" t="n"/>
      <c r="H710" s="8" t="n"/>
      <c r="I710" s="8" t="n"/>
      <c r="J710" s="8" t="n"/>
      <c r="K710" s="12">
        <f>IF(OR(ISERROR(VLOOKUP(C710, Resultados_Reales!$A$4:$I$107, 5, FALSE)), ISERROR(VLOOKUP(C710, Resultados_Reales!$A$4:$I$107, 6, FALSE)), VLOOKUP(C710, Resultados_Reales!$A$4:$I$107, 5, FALSE)="", VLOOKUP(C710, Resultados_Reales!$A$4:$I$107, 6, FALSE)=""), 0, IF(AND(VLOOKUP(C710, Resultados_Reales!$A$4:$I$107, 5, FALSE)=G710, VLOOKUP(C710, Resultados_Reales!$A$4:$I$107, 6, FALSE)=H710), Configuracion!$B$5, IF(SIGN(VLOOKUP(C710, Resultados_Reales!$A$4:$I$107, 5, FALSE)-VLOOKUP(C710, Resultados_Reales!$A$4:$I$107, 6, FALSE)) = SIGN(G710-H710), Configuracion!$B$4, 0)))</f>
        <v/>
      </c>
      <c r="L710" s="11" t="n"/>
      <c r="M710" s="11" t="n"/>
      <c r="N710" s="11" t="n"/>
      <c r="O710" s="11" t="n"/>
      <c r="P710" s="11" t="n"/>
      <c r="Q710" s="11" t="n"/>
    </row>
    <row r="711">
      <c r="A711" s="8">
        <f>B711&amp;"_"&amp;C711</f>
        <v/>
      </c>
      <c r="B711" s="8" t="n"/>
      <c r="C711" s="8" t="n"/>
      <c r="D711" s="8" t="n"/>
      <c r="E711" s="11" t="n"/>
      <c r="F711" s="11" t="n"/>
      <c r="G711" s="8" t="n"/>
      <c r="H711" s="8" t="n"/>
      <c r="I711" s="8" t="n"/>
      <c r="J711" s="8" t="n"/>
      <c r="K711" s="12">
        <f>IF(OR(ISERROR(VLOOKUP(C711, Resultados_Reales!$A$4:$I$107, 5, FALSE)), ISERROR(VLOOKUP(C711, Resultados_Reales!$A$4:$I$107, 6, FALSE)), VLOOKUP(C711, Resultados_Reales!$A$4:$I$107, 5, FALSE)="", VLOOKUP(C711, Resultados_Reales!$A$4:$I$107, 6, FALSE)=""), 0, IF(AND(VLOOKUP(C711, Resultados_Reales!$A$4:$I$107, 5, FALSE)=G711, VLOOKUP(C711, Resultados_Reales!$A$4:$I$107, 6, FALSE)=H711), Configuracion!$B$5, IF(SIGN(VLOOKUP(C711, Resultados_Reales!$A$4:$I$107, 5, FALSE)-VLOOKUP(C711, Resultados_Reales!$A$4:$I$107, 6, FALSE)) = SIGN(G711-H711), Configuracion!$B$4, 0)))</f>
        <v/>
      </c>
      <c r="L711" s="11" t="n"/>
      <c r="M711" s="11" t="n"/>
      <c r="N711" s="11" t="n"/>
      <c r="O711" s="11" t="n"/>
      <c r="P711" s="11" t="n"/>
      <c r="Q711" s="11" t="n"/>
    </row>
    <row r="712">
      <c r="A712" s="8">
        <f>B712&amp;"_"&amp;C712</f>
        <v/>
      </c>
      <c r="B712" s="8" t="n"/>
      <c r="C712" s="8" t="n"/>
      <c r="D712" s="8" t="n"/>
      <c r="E712" s="11" t="n"/>
      <c r="F712" s="11" t="n"/>
      <c r="G712" s="8" t="n"/>
      <c r="H712" s="8" t="n"/>
      <c r="I712" s="8" t="n"/>
      <c r="J712" s="8" t="n"/>
      <c r="K712" s="12">
        <f>IF(OR(ISERROR(VLOOKUP(C712, Resultados_Reales!$A$4:$I$107, 5, FALSE)), ISERROR(VLOOKUP(C712, Resultados_Reales!$A$4:$I$107, 6, FALSE)), VLOOKUP(C712, Resultados_Reales!$A$4:$I$107, 5, FALSE)="", VLOOKUP(C712, Resultados_Reales!$A$4:$I$107, 6, FALSE)=""), 0, IF(AND(VLOOKUP(C712, Resultados_Reales!$A$4:$I$107, 5, FALSE)=G712, VLOOKUP(C712, Resultados_Reales!$A$4:$I$107, 6, FALSE)=H712), Configuracion!$B$5, IF(SIGN(VLOOKUP(C712, Resultados_Reales!$A$4:$I$107, 5, FALSE)-VLOOKUP(C712, Resultados_Reales!$A$4:$I$107, 6, FALSE)) = SIGN(G712-H712), Configuracion!$B$4, 0)))</f>
        <v/>
      </c>
      <c r="L712" s="11" t="n"/>
      <c r="M712" s="11" t="n"/>
      <c r="N712" s="11" t="n"/>
      <c r="O712" s="11" t="n"/>
      <c r="P712" s="11" t="n"/>
      <c r="Q712" s="11" t="n"/>
    </row>
    <row r="713">
      <c r="A713" s="8">
        <f>B713&amp;"_"&amp;C713</f>
        <v/>
      </c>
      <c r="B713" s="8" t="n"/>
      <c r="C713" s="8" t="n"/>
      <c r="D713" s="8" t="n"/>
      <c r="E713" s="11" t="n"/>
      <c r="F713" s="11" t="n"/>
      <c r="G713" s="8" t="n"/>
      <c r="H713" s="8" t="n"/>
      <c r="I713" s="8" t="n"/>
      <c r="J713" s="8" t="n"/>
      <c r="K713" s="12">
        <f>IF(OR(ISERROR(VLOOKUP(C713, Resultados_Reales!$A$4:$I$107, 5, FALSE)), ISERROR(VLOOKUP(C713, Resultados_Reales!$A$4:$I$107, 6, FALSE)), VLOOKUP(C713, Resultados_Reales!$A$4:$I$107, 5, FALSE)="", VLOOKUP(C713, Resultados_Reales!$A$4:$I$107, 6, FALSE)=""), 0, IF(AND(VLOOKUP(C713, Resultados_Reales!$A$4:$I$107, 5, FALSE)=G713, VLOOKUP(C713, Resultados_Reales!$A$4:$I$107, 6, FALSE)=H713), Configuracion!$B$5, IF(SIGN(VLOOKUP(C713, Resultados_Reales!$A$4:$I$107, 5, FALSE)-VLOOKUP(C713, Resultados_Reales!$A$4:$I$107, 6, FALSE)) = SIGN(G713-H713), Configuracion!$B$4, 0)))</f>
        <v/>
      </c>
      <c r="L713" s="11" t="n"/>
      <c r="M713" s="11" t="n"/>
      <c r="N713" s="11" t="n"/>
      <c r="O713" s="11" t="n"/>
      <c r="P713" s="11" t="n"/>
      <c r="Q713" s="11" t="n"/>
    </row>
    <row r="714">
      <c r="A714" s="8">
        <f>B714&amp;"_"&amp;C714</f>
        <v/>
      </c>
      <c r="B714" s="8" t="n"/>
      <c r="C714" s="8" t="n"/>
      <c r="D714" s="8" t="n"/>
      <c r="E714" s="11" t="n"/>
      <c r="F714" s="11" t="n"/>
      <c r="G714" s="8" t="n"/>
      <c r="H714" s="8" t="n"/>
      <c r="I714" s="8" t="n"/>
      <c r="J714" s="8" t="n"/>
      <c r="K714" s="12">
        <f>IF(OR(ISERROR(VLOOKUP(C714, Resultados_Reales!$A$4:$I$107, 5, FALSE)), ISERROR(VLOOKUP(C714, Resultados_Reales!$A$4:$I$107, 6, FALSE)), VLOOKUP(C714, Resultados_Reales!$A$4:$I$107, 5, FALSE)="", VLOOKUP(C714, Resultados_Reales!$A$4:$I$107, 6, FALSE)=""), 0, IF(AND(VLOOKUP(C714, Resultados_Reales!$A$4:$I$107, 5, FALSE)=G714, VLOOKUP(C714, Resultados_Reales!$A$4:$I$107, 6, FALSE)=H714), Configuracion!$B$5, IF(SIGN(VLOOKUP(C714, Resultados_Reales!$A$4:$I$107, 5, FALSE)-VLOOKUP(C714, Resultados_Reales!$A$4:$I$107, 6, FALSE)) = SIGN(G714-H714), Configuracion!$B$4, 0)))</f>
        <v/>
      </c>
      <c r="L714" s="11" t="n"/>
      <c r="M714" s="11" t="n"/>
      <c r="N714" s="11" t="n"/>
      <c r="O714" s="11" t="n"/>
      <c r="P714" s="11" t="n"/>
      <c r="Q714" s="11" t="n"/>
    </row>
    <row r="715">
      <c r="A715" s="8">
        <f>B715&amp;"_"&amp;C715</f>
        <v/>
      </c>
      <c r="B715" s="8" t="n"/>
      <c r="C715" s="8" t="n"/>
      <c r="D715" s="8" t="n"/>
      <c r="E715" s="11" t="n"/>
      <c r="F715" s="11" t="n"/>
      <c r="G715" s="8" t="n"/>
      <c r="H715" s="8" t="n"/>
      <c r="I715" s="8" t="n"/>
      <c r="J715" s="8" t="n"/>
      <c r="K715" s="12">
        <f>IF(OR(ISERROR(VLOOKUP(C715, Resultados_Reales!$A$4:$I$107, 5, FALSE)), ISERROR(VLOOKUP(C715, Resultados_Reales!$A$4:$I$107, 6, FALSE)), VLOOKUP(C715, Resultados_Reales!$A$4:$I$107, 5, FALSE)="", VLOOKUP(C715, Resultados_Reales!$A$4:$I$107, 6, FALSE)=""), 0, IF(AND(VLOOKUP(C715, Resultados_Reales!$A$4:$I$107, 5, FALSE)=G715, VLOOKUP(C715, Resultados_Reales!$A$4:$I$107, 6, FALSE)=H715), Configuracion!$B$5, IF(SIGN(VLOOKUP(C715, Resultados_Reales!$A$4:$I$107, 5, FALSE)-VLOOKUP(C715, Resultados_Reales!$A$4:$I$107, 6, FALSE)) = SIGN(G715-H715), Configuracion!$B$4, 0)))</f>
        <v/>
      </c>
      <c r="L715" s="11" t="n"/>
      <c r="M715" s="11" t="n"/>
      <c r="N715" s="11" t="n"/>
      <c r="O715" s="11" t="n"/>
      <c r="P715" s="11" t="n"/>
      <c r="Q715" s="11" t="n"/>
    </row>
    <row r="716">
      <c r="A716" s="8">
        <f>B716&amp;"_"&amp;C716</f>
        <v/>
      </c>
      <c r="B716" s="8" t="n"/>
      <c r="C716" s="8" t="n"/>
      <c r="D716" s="8" t="n"/>
      <c r="E716" s="11" t="n"/>
      <c r="F716" s="11" t="n"/>
      <c r="G716" s="8" t="n"/>
      <c r="H716" s="8" t="n"/>
      <c r="I716" s="8" t="n"/>
      <c r="J716" s="8" t="n"/>
      <c r="K716" s="12">
        <f>IF(OR(ISERROR(VLOOKUP(C716, Resultados_Reales!$A$4:$I$107, 5, FALSE)), ISERROR(VLOOKUP(C716, Resultados_Reales!$A$4:$I$107, 6, FALSE)), VLOOKUP(C716, Resultados_Reales!$A$4:$I$107, 5, FALSE)="", VLOOKUP(C716, Resultados_Reales!$A$4:$I$107, 6, FALSE)=""), 0, IF(AND(VLOOKUP(C716, Resultados_Reales!$A$4:$I$107, 5, FALSE)=G716, VLOOKUP(C716, Resultados_Reales!$A$4:$I$107, 6, FALSE)=H716), Configuracion!$B$5, IF(SIGN(VLOOKUP(C716, Resultados_Reales!$A$4:$I$107, 5, FALSE)-VLOOKUP(C716, Resultados_Reales!$A$4:$I$107, 6, FALSE)) = SIGN(G716-H716), Configuracion!$B$4, 0)))</f>
        <v/>
      </c>
      <c r="L716" s="11" t="n"/>
      <c r="M716" s="11" t="n"/>
      <c r="N716" s="11" t="n"/>
      <c r="O716" s="11" t="n"/>
      <c r="P716" s="11" t="n"/>
      <c r="Q716" s="11" t="n"/>
    </row>
    <row r="717">
      <c r="A717" s="8">
        <f>B717&amp;"_"&amp;C717</f>
        <v/>
      </c>
      <c r="B717" s="8" t="n"/>
      <c r="C717" s="8" t="n"/>
      <c r="D717" s="8" t="n"/>
      <c r="E717" s="11" t="n"/>
      <c r="F717" s="11" t="n"/>
      <c r="G717" s="8" t="n"/>
      <c r="H717" s="8" t="n"/>
      <c r="I717" s="8" t="n"/>
      <c r="J717" s="8" t="n"/>
      <c r="K717" s="12">
        <f>IF(OR(ISERROR(VLOOKUP(C717, Resultados_Reales!$A$4:$I$107, 5, FALSE)), ISERROR(VLOOKUP(C717, Resultados_Reales!$A$4:$I$107, 6, FALSE)), VLOOKUP(C717, Resultados_Reales!$A$4:$I$107, 5, FALSE)="", VLOOKUP(C717, Resultados_Reales!$A$4:$I$107, 6, FALSE)=""), 0, IF(AND(VLOOKUP(C717, Resultados_Reales!$A$4:$I$107, 5, FALSE)=G717, VLOOKUP(C717, Resultados_Reales!$A$4:$I$107, 6, FALSE)=H717), Configuracion!$B$5, IF(SIGN(VLOOKUP(C717, Resultados_Reales!$A$4:$I$107, 5, FALSE)-VLOOKUP(C717, Resultados_Reales!$A$4:$I$107, 6, FALSE)) = SIGN(G717-H717), Configuracion!$B$4, 0)))</f>
        <v/>
      </c>
      <c r="L717" s="11" t="n"/>
      <c r="M717" s="11" t="n"/>
      <c r="N717" s="11" t="n"/>
      <c r="O717" s="11" t="n"/>
      <c r="P717" s="11" t="n"/>
      <c r="Q717" s="11" t="n"/>
    </row>
    <row r="718">
      <c r="A718" s="8">
        <f>B718&amp;"_"&amp;C718</f>
        <v/>
      </c>
      <c r="B718" s="8" t="n"/>
      <c r="C718" s="8" t="n"/>
      <c r="D718" s="8" t="n"/>
      <c r="E718" s="11" t="n"/>
      <c r="F718" s="11" t="n"/>
      <c r="G718" s="8" t="n"/>
      <c r="H718" s="8" t="n"/>
      <c r="I718" s="8" t="n"/>
      <c r="J718" s="8" t="n"/>
      <c r="K718" s="12">
        <f>IF(OR(ISERROR(VLOOKUP(C718, Resultados_Reales!$A$4:$I$107, 5, FALSE)), ISERROR(VLOOKUP(C718, Resultados_Reales!$A$4:$I$107, 6, FALSE)), VLOOKUP(C718, Resultados_Reales!$A$4:$I$107, 5, FALSE)="", VLOOKUP(C718, Resultados_Reales!$A$4:$I$107, 6, FALSE)=""), 0, IF(AND(VLOOKUP(C718, Resultados_Reales!$A$4:$I$107, 5, FALSE)=G718, VLOOKUP(C718, Resultados_Reales!$A$4:$I$107, 6, FALSE)=H718), Configuracion!$B$5, IF(SIGN(VLOOKUP(C718, Resultados_Reales!$A$4:$I$107, 5, FALSE)-VLOOKUP(C718, Resultados_Reales!$A$4:$I$107, 6, FALSE)) = SIGN(G718-H718), Configuracion!$B$4, 0)))</f>
        <v/>
      </c>
      <c r="L718" s="11" t="n"/>
      <c r="M718" s="11" t="n"/>
      <c r="N718" s="11" t="n"/>
      <c r="O718" s="11" t="n"/>
      <c r="P718" s="11" t="n"/>
      <c r="Q718" s="11" t="n"/>
    </row>
    <row r="719">
      <c r="A719" s="8">
        <f>B719&amp;"_"&amp;C719</f>
        <v/>
      </c>
      <c r="B719" s="8" t="n"/>
      <c r="C719" s="8" t="n"/>
      <c r="D719" s="8" t="n"/>
      <c r="E719" s="11" t="n"/>
      <c r="F719" s="11" t="n"/>
      <c r="G719" s="8" t="n"/>
      <c r="H719" s="8" t="n"/>
      <c r="I719" s="8" t="n"/>
      <c r="J719" s="8" t="n"/>
      <c r="K719" s="12">
        <f>IF(OR(ISERROR(VLOOKUP(C719, Resultados_Reales!$A$4:$I$107, 5, FALSE)), ISERROR(VLOOKUP(C719, Resultados_Reales!$A$4:$I$107, 6, FALSE)), VLOOKUP(C719, Resultados_Reales!$A$4:$I$107, 5, FALSE)="", VLOOKUP(C719, Resultados_Reales!$A$4:$I$107, 6, FALSE)=""), 0, IF(AND(VLOOKUP(C719, Resultados_Reales!$A$4:$I$107, 5, FALSE)=G719, VLOOKUP(C719, Resultados_Reales!$A$4:$I$107, 6, FALSE)=H719), Configuracion!$B$5, IF(SIGN(VLOOKUP(C719, Resultados_Reales!$A$4:$I$107, 5, FALSE)-VLOOKUP(C719, Resultados_Reales!$A$4:$I$107, 6, FALSE)) = SIGN(G719-H719), Configuracion!$B$4, 0)))</f>
        <v/>
      </c>
      <c r="L719" s="11" t="n"/>
      <c r="M719" s="11" t="n"/>
      <c r="N719" s="11" t="n"/>
      <c r="O719" s="11" t="n"/>
      <c r="P719" s="11" t="n"/>
      <c r="Q719" s="11" t="n"/>
    </row>
    <row r="720">
      <c r="A720" s="8">
        <f>B720&amp;"_"&amp;C720</f>
        <v/>
      </c>
      <c r="B720" s="8" t="n"/>
      <c r="C720" s="8" t="n"/>
      <c r="D720" s="8" t="n"/>
      <c r="E720" s="11" t="n"/>
      <c r="F720" s="11" t="n"/>
      <c r="G720" s="8" t="n"/>
      <c r="H720" s="8" t="n"/>
      <c r="I720" s="8" t="n"/>
      <c r="J720" s="8" t="n"/>
      <c r="K720" s="12">
        <f>IF(OR(ISERROR(VLOOKUP(C720, Resultados_Reales!$A$4:$I$107, 5, FALSE)), ISERROR(VLOOKUP(C720, Resultados_Reales!$A$4:$I$107, 6, FALSE)), VLOOKUP(C720, Resultados_Reales!$A$4:$I$107, 5, FALSE)="", VLOOKUP(C720, Resultados_Reales!$A$4:$I$107, 6, FALSE)=""), 0, IF(AND(VLOOKUP(C720, Resultados_Reales!$A$4:$I$107, 5, FALSE)=G720, VLOOKUP(C720, Resultados_Reales!$A$4:$I$107, 6, FALSE)=H720), Configuracion!$B$5, IF(SIGN(VLOOKUP(C720, Resultados_Reales!$A$4:$I$107, 5, FALSE)-VLOOKUP(C720, Resultados_Reales!$A$4:$I$107, 6, FALSE)) = SIGN(G720-H720), Configuracion!$B$4, 0)))</f>
        <v/>
      </c>
      <c r="L720" s="11" t="n"/>
      <c r="M720" s="11" t="n"/>
      <c r="N720" s="11" t="n"/>
      <c r="O720" s="11" t="n"/>
      <c r="P720" s="11" t="n"/>
      <c r="Q720" s="11" t="n"/>
    </row>
    <row r="721">
      <c r="A721" s="8">
        <f>B721&amp;"_"&amp;C721</f>
        <v/>
      </c>
      <c r="B721" s="8" t="n"/>
      <c r="C721" s="8" t="n"/>
      <c r="D721" s="8" t="n"/>
      <c r="E721" s="11" t="n"/>
      <c r="F721" s="11" t="n"/>
      <c r="G721" s="8" t="n"/>
      <c r="H721" s="8" t="n"/>
      <c r="I721" s="8" t="n"/>
      <c r="J721" s="8" t="n"/>
      <c r="K721" s="12">
        <f>IF(OR(ISERROR(VLOOKUP(C721, Resultados_Reales!$A$4:$I$107, 5, FALSE)), ISERROR(VLOOKUP(C721, Resultados_Reales!$A$4:$I$107, 6, FALSE)), VLOOKUP(C721, Resultados_Reales!$A$4:$I$107, 5, FALSE)="", VLOOKUP(C721, Resultados_Reales!$A$4:$I$107, 6, FALSE)=""), 0, IF(AND(VLOOKUP(C721, Resultados_Reales!$A$4:$I$107, 5, FALSE)=G721, VLOOKUP(C721, Resultados_Reales!$A$4:$I$107, 6, FALSE)=H721), Configuracion!$B$5, IF(SIGN(VLOOKUP(C721, Resultados_Reales!$A$4:$I$107, 5, FALSE)-VLOOKUP(C721, Resultados_Reales!$A$4:$I$107, 6, FALSE)) = SIGN(G721-H721), Configuracion!$B$4, 0)))</f>
        <v/>
      </c>
      <c r="L721" s="11" t="n"/>
      <c r="M721" s="11" t="n"/>
      <c r="N721" s="11" t="n"/>
      <c r="O721" s="11" t="n"/>
      <c r="P721" s="11" t="n"/>
      <c r="Q721" s="11" t="n"/>
    </row>
    <row r="722">
      <c r="A722" s="8">
        <f>B722&amp;"_"&amp;C722</f>
        <v/>
      </c>
      <c r="B722" s="8" t="n"/>
      <c r="C722" s="8" t="n"/>
      <c r="D722" s="8" t="n"/>
      <c r="E722" s="11" t="n"/>
      <c r="F722" s="11" t="n"/>
      <c r="G722" s="8" t="n"/>
      <c r="H722" s="8" t="n"/>
      <c r="I722" s="8" t="n"/>
      <c r="J722" s="8" t="n"/>
      <c r="K722" s="12">
        <f>IF(OR(ISERROR(VLOOKUP(C722, Resultados_Reales!$A$4:$I$107, 5, FALSE)), ISERROR(VLOOKUP(C722, Resultados_Reales!$A$4:$I$107, 6, FALSE)), VLOOKUP(C722, Resultados_Reales!$A$4:$I$107, 5, FALSE)="", VLOOKUP(C722, Resultados_Reales!$A$4:$I$107, 6, FALSE)=""), 0, IF(AND(VLOOKUP(C722, Resultados_Reales!$A$4:$I$107, 5, FALSE)=G722, VLOOKUP(C722, Resultados_Reales!$A$4:$I$107, 6, FALSE)=H722), Configuracion!$B$5, IF(SIGN(VLOOKUP(C722, Resultados_Reales!$A$4:$I$107, 5, FALSE)-VLOOKUP(C722, Resultados_Reales!$A$4:$I$107, 6, FALSE)) = SIGN(G722-H722), Configuracion!$B$4, 0)))</f>
        <v/>
      </c>
      <c r="L722" s="11" t="n"/>
      <c r="M722" s="11" t="n"/>
      <c r="N722" s="11" t="n"/>
      <c r="O722" s="11" t="n"/>
      <c r="P722" s="11" t="n"/>
      <c r="Q722" s="11" t="n"/>
    </row>
    <row r="723">
      <c r="A723" s="8">
        <f>B723&amp;"_"&amp;C723</f>
        <v/>
      </c>
      <c r="B723" s="8" t="n"/>
      <c r="C723" s="8" t="n"/>
      <c r="D723" s="8" t="n"/>
      <c r="E723" s="11" t="n"/>
      <c r="F723" s="11" t="n"/>
      <c r="G723" s="8" t="n"/>
      <c r="H723" s="8" t="n"/>
      <c r="I723" s="8" t="n"/>
      <c r="J723" s="8" t="n"/>
      <c r="K723" s="12">
        <f>IF(OR(ISERROR(VLOOKUP(C723, Resultados_Reales!$A$4:$I$107, 5, FALSE)), ISERROR(VLOOKUP(C723, Resultados_Reales!$A$4:$I$107, 6, FALSE)), VLOOKUP(C723, Resultados_Reales!$A$4:$I$107, 5, FALSE)="", VLOOKUP(C723, Resultados_Reales!$A$4:$I$107, 6, FALSE)=""), 0, IF(AND(VLOOKUP(C723, Resultados_Reales!$A$4:$I$107, 5, FALSE)=G723, VLOOKUP(C723, Resultados_Reales!$A$4:$I$107, 6, FALSE)=H723), Configuracion!$B$5, IF(SIGN(VLOOKUP(C723, Resultados_Reales!$A$4:$I$107, 5, FALSE)-VLOOKUP(C723, Resultados_Reales!$A$4:$I$107, 6, FALSE)) = SIGN(G723-H723), Configuracion!$B$4, 0)))</f>
        <v/>
      </c>
      <c r="L723" s="11" t="n"/>
      <c r="M723" s="11" t="n"/>
      <c r="N723" s="11" t="n"/>
      <c r="O723" s="11" t="n"/>
      <c r="P723" s="11" t="n"/>
      <c r="Q723" s="11" t="n"/>
    </row>
    <row r="724">
      <c r="A724" s="8">
        <f>B724&amp;"_"&amp;C724</f>
        <v/>
      </c>
      <c r="B724" s="8" t="n"/>
      <c r="C724" s="8" t="n"/>
      <c r="D724" s="8" t="n"/>
      <c r="E724" s="11" t="n"/>
      <c r="F724" s="11" t="n"/>
      <c r="G724" s="8" t="n"/>
      <c r="H724" s="8" t="n"/>
      <c r="I724" s="8" t="n"/>
      <c r="J724" s="8" t="n"/>
      <c r="K724" s="12">
        <f>IF(OR(ISERROR(VLOOKUP(C724, Resultados_Reales!$A$4:$I$107, 5, FALSE)), ISERROR(VLOOKUP(C724, Resultados_Reales!$A$4:$I$107, 6, FALSE)), VLOOKUP(C724, Resultados_Reales!$A$4:$I$107, 5, FALSE)="", VLOOKUP(C724, Resultados_Reales!$A$4:$I$107, 6, FALSE)=""), 0, IF(AND(VLOOKUP(C724, Resultados_Reales!$A$4:$I$107, 5, FALSE)=G724, VLOOKUP(C724, Resultados_Reales!$A$4:$I$107, 6, FALSE)=H724), Configuracion!$B$5, IF(SIGN(VLOOKUP(C724, Resultados_Reales!$A$4:$I$107, 5, FALSE)-VLOOKUP(C724, Resultados_Reales!$A$4:$I$107, 6, FALSE)) = SIGN(G724-H724), Configuracion!$B$4, 0)))</f>
        <v/>
      </c>
      <c r="L724" s="11" t="n"/>
      <c r="M724" s="11" t="n"/>
      <c r="N724" s="11" t="n"/>
      <c r="O724" s="11" t="n"/>
      <c r="P724" s="11" t="n"/>
      <c r="Q724" s="11" t="n"/>
    </row>
    <row r="725">
      <c r="A725" s="8">
        <f>B725&amp;"_"&amp;C725</f>
        <v/>
      </c>
      <c r="B725" s="8" t="n"/>
      <c r="C725" s="8" t="n"/>
      <c r="D725" s="8" t="n"/>
      <c r="E725" s="11" t="n"/>
      <c r="F725" s="11" t="n"/>
      <c r="G725" s="8" t="n"/>
      <c r="H725" s="8" t="n"/>
      <c r="I725" s="8" t="n"/>
      <c r="J725" s="8" t="n"/>
      <c r="K725" s="12">
        <f>IF(OR(ISERROR(VLOOKUP(C725, Resultados_Reales!$A$4:$I$107, 5, FALSE)), ISERROR(VLOOKUP(C725, Resultados_Reales!$A$4:$I$107, 6, FALSE)), VLOOKUP(C725, Resultados_Reales!$A$4:$I$107, 5, FALSE)="", VLOOKUP(C725, Resultados_Reales!$A$4:$I$107, 6, FALSE)=""), 0, IF(AND(VLOOKUP(C725, Resultados_Reales!$A$4:$I$107, 5, FALSE)=G725, VLOOKUP(C725, Resultados_Reales!$A$4:$I$107, 6, FALSE)=H725), Configuracion!$B$5, IF(SIGN(VLOOKUP(C725, Resultados_Reales!$A$4:$I$107, 5, FALSE)-VLOOKUP(C725, Resultados_Reales!$A$4:$I$107, 6, FALSE)) = SIGN(G725-H725), Configuracion!$B$4, 0)))</f>
        <v/>
      </c>
      <c r="L725" s="11" t="n"/>
      <c r="M725" s="11" t="n"/>
      <c r="N725" s="11" t="n"/>
      <c r="O725" s="11" t="n"/>
      <c r="P725" s="11" t="n"/>
      <c r="Q725" s="11" t="n"/>
    </row>
    <row r="726">
      <c r="A726" s="8">
        <f>B726&amp;"_"&amp;C726</f>
        <v/>
      </c>
      <c r="B726" s="8" t="n"/>
      <c r="C726" s="8" t="n"/>
      <c r="D726" s="8" t="n"/>
      <c r="E726" s="11" t="n"/>
      <c r="F726" s="11" t="n"/>
      <c r="G726" s="8" t="n"/>
      <c r="H726" s="8" t="n"/>
      <c r="I726" s="8" t="n"/>
      <c r="J726" s="8" t="n"/>
      <c r="K726" s="12">
        <f>IF(OR(ISERROR(VLOOKUP(C726, Resultados_Reales!$A$4:$I$107, 5, FALSE)), ISERROR(VLOOKUP(C726, Resultados_Reales!$A$4:$I$107, 6, FALSE)), VLOOKUP(C726, Resultados_Reales!$A$4:$I$107, 5, FALSE)="", VLOOKUP(C726, Resultados_Reales!$A$4:$I$107, 6, FALSE)=""), 0, IF(AND(VLOOKUP(C726, Resultados_Reales!$A$4:$I$107, 5, FALSE)=G726, VLOOKUP(C726, Resultados_Reales!$A$4:$I$107, 6, FALSE)=H726), Configuracion!$B$5, IF(SIGN(VLOOKUP(C726, Resultados_Reales!$A$4:$I$107, 5, FALSE)-VLOOKUP(C726, Resultados_Reales!$A$4:$I$107, 6, FALSE)) = SIGN(G726-H726), Configuracion!$B$4, 0)))</f>
        <v/>
      </c>
      <c r="L726" s="11" t="n"/>
      <c r="M726" s="11" t="n"/>
      <c r="N726" s="11" t="n"/>
      <c r="O726" s="11" t="n"/>
      <c r="P726" s="11" t="n"/>
      <c r="Q726" s="11" t="n"/>
    </row>
    <row r="727">
      <c r="A727" s="8">
        <f>B727&amp;"_"&amp;C727</f>
        <v/>
      </c>
      <c r="B727" s="8" t="n"/>
      <c r="C727" s="8" t="n"/>
      <c r="D727" s="8" t="n"/>
      <c r="E727" s="11" t="n"/>
      <c r="F727" s="11" t="n"/>
      <c r="G727" s="8" t="n"/>
      <c r="H727" s="8" t="n"/>
      <c r="I727" s="8" t="n"/>
      <c r="J727" s="8" t="n"/>
      <c r="K727" s="12">
        <f>IF(OR(ISERROR(VLOOKUP(C727, Resultados_Reales!$A$4:$I$107, 5, FALSE)), ISERROR(VLOOKUP(C727, Resultados_Reales!$A$4:$I$107, 6, FALSE)), VLOOKUP(C727, Resultados_Reales!$A$4:$I$107, 5, FALSE)="", VLOOKUP(C727, Resultados_Reales!$A$4:$I$107, 6, FALSE)=""), 0, IF(AND(VLOOKUP(C727, Resultados_Reales!$A$4:$I$107, 5, FALSE)=G727, VLOOKUP(C727, Resultados_Reales!$A$4:$I$107, 6, FALSE)=H727), Configuracion!$B$5, IF(SIGN(VLOOKUP(C727, Resultados_Reales!$A$4:$I$107, 5, FALSE)-VLOOKUP(C727, Resultados_Reales!$A$4:$I$107, 6, FALSE)) = SIGN(G727-H727), Configuracion!$B$4, 0)))</f>
        <v/>
      </c>
      <c r="L727" s="11" t="n"/>
      <c r="M727" s="11" t="n"/>
      <c r="N727" s="11" t="n"/>
      <c r="O727" s="11" t="n"/>
      <c r="P727" s="11" t="n"/>
      <c r="Q727" s="11" t="n"/>
    </row>
    <row r="728">
      <c r="A728" s="8">
        <f>B728&amp;"_"&amp;C728</f>
        <v/>
      </c>
      <c r="B728" s="8" t="n"/>
      <c r="C728" s="8" t="n"/>
      <c r="D728" s="8" t="n"/>
      <c r="E728" s="11" t="n"/>
      <c r="F728" s="11" t="n"/>
      <c r="G728" s="8" t="n"/>
      <c r="H728" s="8" t="n"/>
      <c r="I728" s="8" t="n"/>
      <c r="J728" s="8" t="n"/>
      <c r="K728" s="12">
        <f>IF(OR(ISERROR(VLOOKUP(C728, Resultados_Reales!$A$4:$I$107, 5, FALSE)), ISERROR(VLOOKUP(C728, Resultados_Reales!$A$4:$I$107, 6, FALSE)), VLOOKUP(C728, Resultados_Reales!$A$4:$I$107, 5, FALSE)="", VLOOKUP(C728, Resultados_Reales!$A$4:$I$107, 6, FALSE)=""), 0, IF(AND(VLOOKUP(C728, Resultados_Reales!$A$4:$I$107, 5, FALSE)=G728, VLOOKUP(C728, Resultados_Reales!$A$4:$I$107, 6, FALSE)=H728), Configuracion!$B$5, IF(SIGN(VLOOKUP(C728, Resultados_Reales!$A$4:$I$107, 5, FALSE)-VLOOKUP(C728, Resultados_Reales!$A$4:$I$107, 6, FALSE)) = SIGN(G728-H728), Configuracion!$B$4, 0)))</f>
        <v/>
      </c>
      <c r="L728" s="11" t="n"/>
      <c r="M728" s="11" t="n"/>
      <c r="N728" s="11" t="n"/>
      <c r="O728" s="11" t="n"/>
      <c r="P728" s="11" t="n"/>
      <c r="Q728" s="11" t="n"/>
    </row>
    <row r="729">
      <c r="A729" s="8">
        <f>B729&amp;"_"&amp;C729</f>
        <v/>
      </c>
      <c r="B729" s="8" t="n"/>
      <c r="C729" s="8" t="n"/>
      <c r="D729" s="8" t="n"/>
      <c r="E729" s="11" t="n"/>
      <c r="F729" s="11" t="n"/>
      <c r="G729" s="8" t="n"/>
      <c r="H729" s="8" t="n"/>
      <c r="I729" s="8" t="n"/>
      <c r="J729" s="8" t="n"/>
      <c r="K729" s="12">
        <f>IF(OR(ISERROR(VLOOKUP(C729, Resultados_Reales!$A$4:$I$107, 5, FALSE)), ISERROR(VLOOKUP(C729, Resultados_Reales!$A$4:$I$107, 6, FALSE)), VLOOKUP(C729, Resultados_Reales!$A$4:$I$107, 5, FALSE)="", VLOOKUP(C729, Resultados_Reales!$A$4:$I$107, 6, FALSE)=""), 0, IF(AND(VLOOKUP(C729, Resultados_Reales!$A$4:$I$107, 5, FALSE)=G729, VLOOKUP(C729, Resultados_Reales!$A$4:$I$107, 6, FALSE)=H729), Configuracion!$B$5, IF(SIGN(VLOOKUP(C729, Resultados_Reales!$A$4:$I$107, 5, FALSE)-VLOOKUP(C729, Resultados_Reales!$A$4:$I$107, 6, FALSE)) = SIGN(G729-H729), Configuracion!$B$4, 0)))</f>
        <v/>
      </c>
      <c r="L729" s="11" t="n"/>
      <c r="M729" s="11" t="n"/>
      <c r="N729" s="11" t="n"/>
      <c r="O729" s="11" t="n"/>
      <c r="P729" s="11" t="n"/>
      <c r="Q729" s="11" t="n"/>
    </row>
    <row r="730">
      <c r="A730" s="8">
        <f>B730&amp;"_"&amp;C730</f>
        <v/>
      </c>
      <c r="B730" s="8" t="n"/>
      <c r="C730" s="8" t="n"/>
      <c r="D730" s="8" t="n"/>
      <c r="E730" s="11" t="n"/>
      <c r="F730" s="11" t="n"/>
      <c r="G730" s="8" t="n"/>
      <c r="H730" s="8" t="n"/>
      <c r="I730" s="8" t="n"/>
      <c r="J730" s="8" t="n"/>
      <c r="K730" s="12">
        <f>IF(OR(ISERROR(VLOOKUP(C730, Resultados_Reales!$A$4:$I$107, 5, FALSE)), ISERROR(VLOOKUP(C730, Resultados_Reales!$A$4:$I$107, 6, FALSE)), VLOOKUP(C730, Resultados_Reales!$A$4:$I$107, 5, FALSE)="", VLOOKUP(C730, Resultados_Reales!$A$4:$I$107, 6, FALSE)=""), 0, IF(AND(VLOOKUP(C730, Resultados_Reales!$A$4:$I$107, 5, FALSE)=G730, VLOOKUP(C730, Resultados_Reales!$A$4:$I$107, 6, FALSE)=H730), Configuracion!$B$5, IF(SIGN(VLOOKUP(C730, Resultados_Reales!$A$4:$I$107, 5, FALSE)-VLOOKUP(C730, Resultados_Reales!$A$4:$I$107, 6, FALSE)) = SIGN(G730-H730), Configuracion!$B$4, 0)))</f>
        <v/>
      </c>
      <c r="L730" s="11" t="n"/>
      <c r="M730" s="11" t="n"/>
      <c r="N730" s="11" t="n"/>
      <c r="O730" s="11" t="n"/>
      <c r="P730" s="11" t="n"/>
      <c r="Q730" s="11" t="n"/>
    </row>
    <row r="731">
      <c r="A731" s="8">
        <f>B731&amp;"_"&amp;C731</f>
        <v/>
      </c>
      <c r="B731" s="8" t="n"/>
      <c r="C731" s="8" t="n"/>
      <c r="D731" s="8" t="n"/>
      <c r="E731" s="11" t="n"/>
      <c r="F731" s="11" t="n"/>
      <c r="G731" s="8" t="n"/>
      <c r="H731" s="8" t="n"/>
      <c r="I731" s="8" t="n"/>
      <c r="J731" s="8" t="n"/>
      <c r="K731" s="12">
        <f>IF(OR(ISERROR(VLOOKUP(C731, Resultados_Reales!$A$4:$I$107, 5, FALSE)), ISERROR(VLOOKUP(C731, Resultados_Reales!$A$4:$I$107, 6, FALSE)), VLOOKUP(C731, Resultados_Reales!$A$4:$I$107, 5, FALSE)="", VLOOKUP(C731, Resultados_Reales!$A$4:$I$107, 6, FALSE)=""), 0, IF(AND(VLOOKUP(C731, Resultados_Reales!$A$4:$I$107, 5, FALSE)=G731, VLOOKUP(C731, Resultados_Reales!$A$4:$I$107, 6, FALSE)=H731), Configuracion!$B$5, IF(SIGN(VLOOKUP(C731, Resultados_Reales!$A$4:$I$107, 5, FALSE)-VLOOKUP(C731, Resultados_Reales!$A$4:$I$107, 6, FALSE)) = SIGN(G731-H731), Configuracion!$B$4, 0)))</f>
        <v/>
      </c>
      <c r="L731" s="11" t="n"/>
      <c r="M731" s="11" t="n"/>
      <c r="N731" s="11" t="n"/>
      <c r="O731" s="11" t="n"/>
      <c r="P731" s="11" t="n"/>
      <c r="Q731" s="11" t="n"/>
    </row>
    <row r="732">
      <c r="A732" s="8">
        <f>B732&amp;"_"&amp;C732</f>
        <v/>
      </c>
      <c r="B732" s="8" t="n"/>
      <c r="C732" s="8" t="n"/>
      <c r="D732" s="8" t="n"/>
      <c r="E732" s="11" t="n"/>
      <c r="F732" s="11" t="n"/>
      <c r="G732" s="8" t="n"/>
      <c r="H732" s="8" t="n"/>
      <c r="I732" s="8" t="n"/>
      <c r="J732" s="8" t="n"/>
      <c r="K732" s="12">
        <f>IF(OR(ISERROR(VLOOKUP(C732, Resultados_Reales!$A$4:$I$107, 5, FALSE)), ISERROR(VLOOKUP(C732, Resultados_Reales!$A$4:$I$107, 6, FALSE)), VLOOKUP(C732, Resultados_Reales!$A$4:$I$107, 5, FALSE)="", VLOOKUP(C732, Resultados_Reales!$A$4:$I$107, 6, FALSE)=""), 0, IF(AND(VLOOKUP(C732, Resultados_Reales!$A$4:$I$107, 5, FALSE)=G732, VLOOKUP(C732, Resultados_Reales!$A$4:$I$107, 6, FALSE)=H732), Configuracion!$B$5, IF(SIGN(VLOOKUP(C732, Resultados_Reales!$A$4:$I$107, 5, FALSE)-VLOOKUP(C732, Resultados_Reales!$A$4:$I$107, 6, FALSE)) = SIGN(G732-H732), Configuracion!$B$4, 0)))</f>
        <v/>
      </c>
      <c r="L732" s="11" t="n"/>
      <c r="M732" s="11" t="n"/>
      <c r="N732" s="11" t="n"/>
      <c r="O732" s="11" t="n"/>
      <c r="P732" s="11" t="n"/>
      <c r="Q732" s="11" t="n"/>
    </row>
    <row r="733">
      <c r="A733" s="8">
        <f>B733&amp;"_"&amp;C733</f>
        <v/>
      </c>
      <c r="B733" s="8" t="n"/>
      <c r="C733" s="8" t="n"/>
      <c r="D733" s="8" t="n"/>
      <c r="E733" s="11" t="n"/>
      <c r="F733" s="11" t="n"/>
      <c r="G733" s="8" t="n"/>
      <c r="H733" s="8" t="n"/>
      <c r="I733" s="8" t="n"/>
      <c r="J733" s="8" t="n"/>
      <c r="K733" s="12">
        <f>IF(OR(ISERROR(VLOOKUP(C733, Resultados_Reales!$A$4:$I$107, 5, FALSE)), ISERROR(VLOOKUP(C733, Resultados_Reales!$A$4:$I$107, 6, FALSE)), VLOOKUP(C733, Resultados_Reales!$A$4:$I$107, 5, FALSE)="", VLOOKUP(C733, Resultados_Reales!$A$4:$I$107, 6, FALSE)=""), 0, IF(AND(VLOOKUP(C733, Resultados_Reales!$A$4:$I$107, 5, FALSE)=G733, VLOOKUP(C733, Resultados_Reales!$A$4:$I$107, 6, FALSE)=H733), Configuracion!$B$5, IF(SIGN(VLOOKUP(C733, Resultados_Reales!$A$4:$I$107, 5, FALSE)-VLOOKUP(C733, Resultados_Reales!$A$4:$I$107, 6, FALSE)) = SIGN(G733-H733), Configuracion!$B$4, 0)))</f>
        <v/>
      </c>
      <c r="L733" s="11" t="n"/>
      <c r="M733" s="11" t="n"/>
      <c r="N733" s="11" t="n"/>
      <c r="O733" s="11" t="n"/>
      <c r="P733" s="11" t="n"/>
      <c r="Q733" s="11" t="n"/>
    </row>
    <row r="734">
      <c r="A734" s="8">
        <f>B734&amp;"_"&amp;C734</f>
        <v/>
      </c>
      <c r="B734" s="8" t="n"/>
      <c r="C734" s="8" t="n"/>
      <c r="D734" s="8" t="n"/>
      <c r="E734" s="11" t="n"/>
      <c r="F734" s="11" t="n"/>
      <c r="G734" s="8" t="n"/>
      <c r="H734" s="8" t="n"/>
      <c r="I734" s="8" t="n"/>
      <c r="J734" s="8" t="n"/>
      <c r="K734" s="12">
        <f>IF(OR(ISERROR(VLOOKUP(C734, Resultados_Reales!$A$4:$I$107, 5, FALSE)), ISERROR(VLOOKUP(C734, Resultados_Reales!$A$4:$I$107, 6, FALSE)), VLOOKUP(C734, Resultados_Reales!$A$4:$I$107, 5, FALSE)="", VLOOKUP(C734, Resultados_Reales!$A$4:$I$107, 6, FALSE)=""), 0, IF(AND(VLOOKUP(C734, Resultados_Reales!$A$4:$I$107, 5, FALSE)=G734, VLOOKUP(C734, Resultados_Reales!$A$4:$I$107, 6, FALSE)=H734), Configuracion!$B$5, IF(SIGN(VLOOKUP(C734, Resultados_Reales!$A$4:$I$107, 5, FALSE)-VLOOKUP(C734, Resultados_Reales!$A$4:$I$107, 6, FALSE)) = SIGN(G734-H734), Configuracion!$B$4, 0)))</f>
        <v/>
      </c>
      <c r="L734" s="11" t="n"/>
      <c r="M734" s="11" t="n"/>
      <c r="N734" s="11" t="n"/>
      <c r="O734" s="11" t="n"/>
      <c r="P734" s="11" t="n"/>
      <c r="Q734" s="11" t="n"/>
    </row>
    <row r="735">
      <c r="A735" s="8">
        <f>B735&amp;"_"&amp;C735</f>
        <v/>
      </c>
      <c r="B735" s="8" t="n"/>
      <c r="C735" s="8" t="n"/>
      <c r="D735" s="8" t="n"/>
      <c r="E735" s="11" t="n"/>
      <c r="F735" s="11" t="n"/>
      <c r="G735" s="8" t="n"/>
      <c r="H735" s="8" t="n"/>
      <c r="I735" s="8" t="n"/>
      <c r="J735" s="8" t="n"/>
      <c r="K735" s="12">
        <f>IF(OR(ISERROR(VLOOKUP(C735, Resultados_Reales!$A$4:$I$107, 5, FALSE)), ISERROR(VLOOKUP(C735, Resultados_Reales!$A$4:$I$107, 6, FALSE)), VLOOKUP(C735, Resultados_Reales!$A$4:$I$107, 5, FALSE)="", VLOOKUP(C735, Resultados_Reales!$A$4:$I$107, 6, FALSE)=""), 0, IF(AND(VLOOKUP(C735, Resultados_Reales!$A$4:$I$107, 5, FALSE)=G735, VLOOKUP(C735, Resultados_Reales!$A$4:$I$107, 6, FALSE)=H735), Configuracion!$B$5, IF(SIGN(VLOOKUP(C735, Resultados_Reales!$A$4:$I$107, 5, FALSE)-VLOOKUP(C735, Resultados_Reales!$A$4:$I$107, 6, FALSE)) = SIGN(G735-H735), Configuracion!$B$4, 0)))</f>
        <v/>
      </c>
      <c r="L735" s="11" t="n"/>
      <c r="M735" s="11" t="n"/>
      <c r="N735" s="11" t="n"/>
      <c r="O735" s="11" t="n"/>
      <c r="P735" s="11" t="n"/>
      <c r="Q735" s="11" t="n"/>
    </row>
    <row r="736">
      <c r="A736" s="8">
        <f>B736&amp;"_"&amp;C736</f>
        <v/>
      </c>
      <c r="B736" s="8" t="n"/>
      <c r="C736" s="8" t="n"/>
      <c r="D736" s="8" t="n"/>
      <c r="E736" s="11" t="n"/>
      <c r="F736" s="11" t="n"/>
      <c r="G736" s="8" t="n"/>
      <c r="H736" s="8" t="n"/>
      <c r="I736" s="8" t="n"/>
      <c r="J736" s="8" t="n"/>
      <c r="K736" s="12">
        <f>IF(OR(ISERROR(VLOOKUP(C736, Resultados_Reales!$A$4:$I$107, 5, FALSE)), ISERROR(VLOOKUP(C736, Resultados_Reales!$A$4:$I$107, 6, FALSE)), VLOOKUP(C736, Resultados_Reales!$A$4:$I$107, 5, FALSE)="", VLOOKUP(C736, Resultados_Reales!$A$4:$I$107, 6, FALSE)=""), 0, IF(AND(VLOOKUP(C736, Resultados_Reales!$A$4:$I$107, 5, FALSE)=G736, VLOOKUP(C736, Resultados_Reales!$A$4:$I$107, 6, FALSE)=H736), Configuracion!$B$5, IF(SIGN(VLOOKUP(C736, Resultados_Reales!$A$4:$I$107, 5, FALSE)-VLOOKUP(C736, Resultados_Reales!$A$4:$I$107, 6, FALSE)) = SIGN(G736-H736), Configuracion!$B$4, 0)))</f>
        <v/>
      </c>
      <c r="L736" s="11" t="n"/>
      <c r="M736" s="11" t="n"/>
      <c r="N736" s="11" t="n"/>
      <c r="O736" s="11" t="n"/>
      <c r="P736" s="11" t="n"/>
      <c r="Q736" s="11" t="n"/>
    </row>
    <row r="737">
      <c r="A737" s="8">
        <f>B737&amp;"_"&amp;C737</f>
        <v/>
      </c>
      <c r="B737" s="8" t="n"/>
      <c r="C737" s="8" t="n"/>
      <c r="D737" s="8" t="n"/>
      <c r="E737" s="11" t="n"/>
      <c r="F737" s="11" t="n"/>
      <c r="G737" s="8" t="n"/>
      <c r="H737" s="8" t="n"/>
      <c r="I737" s="8" t="n"/>
      <c r="J737" s="8" t="n"/>
      <c r="K737" s="12">
        <f>IF(OR(ISERROR(VLOOKUP(C737, Resultados_Reales!$A$4:$I$107, 5, FALSE)), ISERROR(VLOOKUP(C737, Resultados_Reales!$A$4:$I$107, 6, FALSE)), VLOOKUP(C737, Resultados_Reales!$A$4:$I$107, 5, FALSE)="", VLOOKUP(C737, Resultados_Reales!$A$4:$I$107, 6, FALSE)=""), 0, IF(AND(VLOOKUP(C737, Resultados_Reales!$A$4:$I$107, 5, FALSE)=G737, VLOOKUP(C737, Resultados_Reales!$A$4:$I$107, 6, FALSE)=H737), Configuracion!$B$5, IF(SIGN(VLOOKUP(C737, Resultados_Reales!$A$4:$I$107, 5, FALSE)-VLOOKUP(C737, Resultados_Reales!$A$4:$I$107, 6, FALSE)) = SIGN(G737-H737), Configuracion!$B$4, 0)))</f>
        <v/>
      </c>
      <c r="L737" s="11" t="n"/>
      <c r="M737" s="11" t="n"/>
      <c r="N737" s="11" t="n"/>
      <c r="O737" s="11" t="n"/>
      <c r="P737" s="11" t="n"/>
      <c r="Q737" s="11" t="n"/>
    </row>
    <row r="738">
      <c r="A738" s="8">
        <f>B738&amp;"_"&amp;C738</f>
        <v/>
      </c>
      <c r="B738" s="8" t="n"/>
      <c r="C738" s="8" t="n"/>
      <c r="D738" s="8" t="n"/>
      <c r="E738" s="11" t="n"/>
      <c r="F738" s="11" t="n"/>
      <c r="G738" s="8" t="n"/>
      <c r="H738" s="8" t="n"/>
      <c r="I738" s="8" t="n"/>
      <c r="J738" s="8" t="n"/>
      <c r="K738" s="12">
        <f>IF(OR(ISERROR(VLOOKUP(C738, Resultados_Reales!$A$4:$I$107, 5, FALSE)), ISERROR(VLOOKUP(C738, Resultados_Reales!$A$4:$I$107, 6, FALSE)), VLOOKUP(C738, Resultados_Reales!$A$4:$I$107, 5, FALSE)="", VLOOKUP(C738, Resultados_Reales!$A$4:$I$107, 6, FALSE)=""), 0, IF(AND(VLOOKUP(C738, Resultados_Reales!$A$4:$I$107, 5, FALSE)=G738, VLOOKUP(C738, Resultados_Reales!$A$4:$I$107, 6, FALSE)=H738), Configuracion!$B$5, IF(SIGN(VLOOKUP(C738, Resultados_Reales!$A$4:$I$107, 5, FALSE)-VLOOKUP(C738, Resultados_Reales!$A$4:$I$107, 6, FALSE)) = SIGN(G738-H738), Configuracion!$B$4, 0)))</f>
        <v/>
      </c>
      <c r="L738" s="11" t="n"/>
      <c r="M738" s="11" t="n"/>
      <c r="N738" s="11" t="n"/>
      <c r="O738" s="11" t="n"/>
      <c r="P738" s="11" t="n"/>
      <c r="Q738" s="11" t="n"/>
    </row>
    <row r="739">
      <c r="A739" s="8">
        <f>B739&amp;"_"&amp;C739</f>
        <v/>
      </c>
      <c r="B739" s="8" t="n"/>
      <c r="C739" s="8" t="n"/>
      <c r="D739" s="8" t="n"/>
      <c r="E739" s="11" t="n"/>
      <c r="F739" s="11" t="n"/>
      <c r="G739" s="8" t="n"/>
      <c r="H739" s="8" t="n"/>
      <c r="I739" s="8" t="n"/>
      <c r="J739" s="8" t="n"/>
      <c r="K739" s="12">
        <f>IF(OR(ISERROR(VLOOKUP(C739, Resultados_Reales!$A$4:$I$107, 5, FALSE)), ISERROR(VLOOKUP(C739, Resultados_Reales!$A$4:$I$107, 6, FALSE)), VLOOKUP(C739, Resultados_Reales!$A$4:$I$107, 5, FALSE)="", VLOOKUP(C739, Resultados_Reales!$A$4:$I$107, 6, FALSE)=""), 0, IF(AND(VLOOKUP(C739, Resultados_Reales!$A$4:$I$107, 5, FALSE)=G739, VLOOKUP(C739, Resultados_Reales!$A$4:$I$107, 6, FALSE)=H739), Configuracion!$B$5, IF(SIGN(VLOOKUP(C739, Resultados_Reales!$A$4:$I$107, 5, FALSE)-VLOOKUP(C739, Resultados_Reales!$A$4:$I$107, 6, FALSE)) = SIGN(G739-H739), Configuracion!$B$4, 0)))</f>
        <v/>
      </c>
      <c r="L739" s="11" t="n"/>
      <c r="M739" s="11" t="n"/>
      <c r="N739" s="11" t="n"/>
      <c r="O739" s="11" t="n"/>
      <c r="P739" s="11" t="n"/>
      <c r="Q739" s="11" t="n"/>
    </row>
    <row r="740">
      <c r="A740" s="8">
        <f>B740&amp;"_"&amp;C740</f>
        <v/>
      </c>
      <c r="B740" s="8" t="n"/>
      <c r="C740" s="8" t="n"/>
      <c r="D740" s="8" t="n"/>
      <c r="E740" s="11" t="n"/>
      <c r="F740" s="11" t="n"/>
      <c r="G740" s="8" t="n"/>
      <c r="H740" s="8" t="n"/>
      <c r="I740" s="8" t="n"/>
      <c r="J740" s="8" t="n"/>
      <c r="K740" s="12">
        <f>IF(OR(ISERROR(VLOOKUP(C740, Resultados_Reales!$A$4:$I$107, 5, FALSE)), ISERROR(VLOOKUP(C740, Resultados_Reales!$A$4:$I$107, 6, FALSE)), VLOOKUP(C740, Resultados_Reales!$A$4:$I$107, 5, FALSE)="", VLOOKUP(C740, Resultados_Reales!$A$4:$I$107, 6, FALSE)=""), 0, IF(AND(VLOOKUP(C740, Resultados_Reales!$A$4:$I$107, 5, FALSE)=G740, VLOOKUP(C740, Resultados_Reales!$A$4:$I$107, 6, FALSE)=H740), Configuracion!$B$5, IF(SIGN(VLOOKUP(C740, Resultados_Reales!$A$4:$I$107, 5, FALSE)-VLOOKUP(C740, Resultados_Reales!$A$4:$I$107, 6, FALSE)) = SIGN(G740-H740), Configuracion!$B$4, 0)))</f>
        <v/>
      </c>
      <c r="L740" s="11" t="n"/>
      <c r="M740" s="11" t="n"/>
      <c r="N740" s="11" t="n"/>
      <c r="O740" s="11" t="n"/>
      <c r="P740" s="11" t="n"/>
      <c r="Q740" s="11" t="n"/>
    </row>
    <row r="741">
      <c r="A741" s="8">
        <f>B741&amp;"_"&amp;C741</f>
        <v/>
      </c>
      <c r="B741" s="8" t="n"/>
      <c r="C741" s="8" t="n"/>
      <c r="D741" s="8" t="n"/>
      <c r="E741" s="11" t="n"/>
      <c r="F741" s="11" t="n"/>
      <c r="G741" s="8" t="n"/>
      <c r="H741" s="8" t="n"/>
      <c r="I741" s="8" t="n"/>
      <c r="J741" s="8" t="n"/>
      <c r="K741" s="12">
        <f>IF(OR(ISERROR(VLOOKUP(C741, Resultados_Reales!$A$4:$I$107, 5, FALSE)), ISERROR(VLOOKUP(C741, Resultados_Reales!$A$4:$I$107, 6, FALSE)), VLOOKUP(C741, Resultados_Reales!$A$4:$I$107, 5, FALSE)="", VLOOKUP(C741, Resultados_Reales!$A$4:$I$107, 6, FALSE)=""), 0, IF(AND(VLOOKUP(C741, Resultados_Reales!$A$4:$I$107, 5, FALSE)=G741, VLOOKUP(C741, Resultados_Reales!$A$4:$I$107, 6, FALSE)=H741), Configuracion!$B$5, IF(SIGN(VLOOKUP(C741, Resultados_Reales!$A$4:$I$107, 5, FALSE)-VLOOKUP(C741, Resultados_Reales!$A$4:$I$107, 6, FALSE)) = SIGN(G741-H741), Configuracion!$B$4, 0)))</f>
        <v/>
      </c>
      <c r="L741" s="11" t="n"/>
      <c r="M741" s="11" t="n"/>
      <c r="N741" s="11" t="n"/>
      <c r="O741" s="11" t="n"/>
      <c r="P741" s="11" t="n"/>
      <c r="Q741" s="11" t="n"/>
    </row>
    <row r="742">
      <c r="A742" s="8">
        <f>B742&amp;"_"&amp;C742</f>
        <v/>
      </c>
      <c r="B742" s="8" t="n"/>
      <c r="C742" s="8" t="n"/>
      <c r="D742" s="8" t="n"/>
      <c r="E742" s="11" t="n"/>
      <c r="F742" s="11" t="n"/>
      <c r="G742" s="8" t="n"/>
      <c r="H742" s="8" t="n"/>
      <c r="I742" s="8" t="n"/>
      <c r="J742" s="8" t="n"/>
      <c r="K742" s="12">
        <f>IF(OR(ISERROR(VLOOKUP(C742, Resultados_Reales!$A$4:$I$107, 5, FALSE)), ISERROR(VLOOKUP(C742, Resultados_Reales!$A$4:$I$107, 6, FALSE)), VLOOKUP(C742, Resultados_Reales!$A$4:$I$107, 5, FALSE)="", VLOOKUP(C742, Resultados_Reales!$A$4:$I$107, 6, FALSE)=""), 0, IF(AND(VLOOKUP(C742, Resultados_Reales!$A$4:$I$107, 5, FALSE)=G742, VLOOKUP(C742, Resultados_Reales!$A$4:$I$107, 6, FALSE)=H742), Configuracion!$B$5, IF(SIGN(VLOOKUP(C742, Resultados_Reales!$A$4:$I$107, 5, FALSE)-VLOOKUP(C742, Resultados_Reales!$A$4:$I$107, 6, FALSE)) = SIGN(G742-H742), Configuracion!$B$4, 0)))</f>
        <v/>
      </c>
      <c r="L742" s="11" t="n"/>
      <c r="M742" s="11" t="n"/>
      <c r="N742" s="11" t="n"/>
      <c r="O742" s="11" t="n"/>
      <c r="P742" s="11" t="n"/>
      <c r="Q742" s="11" t="n"/>
    </row>
    <row r="743">
      <c r="A743" s="8">
        <f>B743&amp;"_"&amp;C743</f>
        <v/>
      </c>
      <c r="B743" s="8" t="n"/>
      <c r="C743" s="8" t="n"/>
      <c r="D743" s="8" t="n"/>
      <c r="E743" s="11" t="n"/>
      <c r="F743" s="11" t="n"/>
      <c r="G743" s="8" t="n"/>
      <c r="H743" s="8" t="n"/>
      <c r="I743" s="8" t="n"/>
      <c r="J743" s="8" t="n"/>
      <c r="K743" s="12">
        <f>IF(OR(ISERROR(VLOOKUP(C743, Resultados_Reales!$A$4:$I$107, 5, FALSE)), ISERROR(VLOOKUP(C743, Resultados_Reales!$A$4:$I$107, 6, FALSE)), VLOOKUP(C743, Resultados_Reales!$A$4:$I$107, 5, FALSE)="", VLOOKUP(C743, Resultados_Reales!$A$4:$I$107, 6, FALSE)=""), 0, IF(AND(VLOOKUP(C743, Resultados_Reales!$A$4:$I$107, 5, FALSE)=G743, VLOOKUP(C743, Resultados_Reales!$A$4:$I$107, 6, FALSE)=H743), Configuracion!$B$5, IF(SIGN(VLOOKUP(C743, Resultados_Reales!$A$4:$I$107, 5, FALSE)-VLOOKUP(C743, Resultados_Reales!$A$4:$I$107, 6, FALSE)) = SIGN(G743-H743), Configuracion!$B$4, 0)))</f>
        <v/>
      </c>
      <c r="L743" s="11" t="n"/>
      <c r="M743" s="11" t="n"/>
      <c r="N743" s="11" t="n"/>
      <c r="O743" s="11" t="n"/>
      <c r="P743" s="11" t="n"/>
      <c r="Q743" s="11" t="n"/>
    </row>
    <row r="744">
      <c r="A744" s="8">
        <f>B744&amp;"_"&amp;C744</f>
        <v/>
      </c>
      <c r="B744" s="8" t="n"/>
      <c r="C744" s="8" t="n"/>
      <c r="D744" s="8" t="n"/>
      <c r="E744" s="11" t="n"/>
      <c r="F744" s="11" t="n"/>
      <c r="G744" s="8" t="n"/>
      <c r="H744" s="8" t="n"/>
      <c r="I744" s="8" t="n"/>
      <c r="J744" s="8" t="n"/>
      <c r="K744" s="12">
        <f>IF(OR(ISERROR(VLOOKUP(C744, Resultados_Reales!$A$4:$I$107, 5, FALSE)), ISERROR(VLOOKUP(C744, Resultados_Reales!$A$4:$I$107, 6, FALSE)), VLOOKUP(C744, Resultados_Reales!$A$4:$I$107, 5, FALSE)="", VLOOKUP(C744, Resultados_Reales!$A$4:$I$107, 6, FALSE)=""), 0, IF(AND(VLOOKUP(C744, Resultados_Reales!$A$4:$I$107, 5, FALSE)=G744, VLOOKUP(C744, Resultados_Reales!$A$4:$I$107, 6, FALSE)=H744), Configuracion!$B$5, IF(SIGN(VLOOKUP(C744, Resultados_Reales!$A$4:$I$107, 5, FALSE)-VLOOKUP(C744, Resultados_Reales!$A$4:$I$107, 6, FALSE)) = SIGN(G744-H744), Configuracion!$B$4, 0)))</f>
        <v/>
      </c>
      <c r="L744" s="11" t="n"/>
      <c r="M744" s="11" t="n"/>
      <c r="N744" s="11" t="n"/>
      <c r="O744" s="11" t="n"/>
      <c r="P744" s="11" t="n"/>
      <c r="Q744" s="11" t="n"/>
    </row>
    <row r="745">
      <c r="A745" s="8">
        <f>B745&amp;"_"&amp;C745</f>
        <v/>
      </c>
      <c r="B745" s="8" t="n"/>
      <c r="C745" s="8" t="n"/>
      <c r="D745" s="8" t="n"/>
      <c r="E745" s="11" t="n"/>
      <c r="F745" s="11" t="n"/>
      <c r="G745" s="8" t="n"/>
      <c r="H745" s="8" t="n"/>
      <c r="I745" s="8" t="n"/>
      <c r="J745" s="8" t="n"/>
      <c r="K745" s="12">
        <f>IF(OR(ISERROR(VLOOKUP(C745, Resultados_Reales!$A$4:$I$107, 5, FALSE)), ISERROR(VLOOKUP(C745, Resultados_Reales!$A$4:$I$107, 6, FALSE)), VLOOKUP(C745, Resultados_Reales!$A$4:$I$107, 5, FALSE)="", VLOOKUP(C745, Resultados_Reales!$A$4:$I$107, 6, FALSE)=""), 0, IF(AND(VLOOKUP(C745, Resultados_Reales!$A$4:$I$107, 5, FALSE)=G745, VLOOKUP(C745, Resultados_Reales!$A$4:$I$107, 6, FALSE)=H745), Configuracion!$B$5, IF(SIGN(VLOOKUP(C745, Resultados_Reales!$A$4:$I$107, 5, FALSE)-VLOOKUP(C745, Resultados_Reales!$A$4:$I$107, 6, FALSE)) = SIGN(G745-H745), Configuracion!$B$4, 0)))</f>
        <v/>
      </c>
      <c r="L745" s="11" t="n"/>
      <c r="M745" s="11" t="n"/>
      <c r="N745" s="11" t="n"/>
      <c r="O745" s="11" t="n"/>
      <c r="P745" s="11" t="n"/>
      <c r="Q745" s="11" t="n"/>
    </row>
    <row r="746">
      <c r="A746" s="8">
        <f>B746&amp;"_"&amp;C746</f>
        <v/>
      </c>
      <c r="B746" s="8" t="n"/>
      <c r="C746" s="8" t="n"/>
      <c r="D746" s="8" t="n"/>
      <c r="E746" s="11" t="n"/>
      <c r="F746" s="11" t="n"/>
      <c r="G746" s="8" t="n"/>
      <c r="H746" s="8" t="n"/>
      <c r="I746" s="8" t="n"/>
      <c r="J746" s="8" t="n"/>
      <c r="K746" s="12">
        <f>IF(OR(ISERROR(VLOOKUP(C746, Resultados_Reales!$A$4:$I$107, 5, FALSE)), ISERROR(VLOOKUP(C746, Resultados_Reales!$A$4:$I$107, 6, FALSE)), VLOOKUP(C746, Resultados_Reales!$A$4:$I$107, 5, FALSE)="", VLOOKUP(C746, Resultados_Reales!$A$4:$I$107, 6, FALSE)=""), 0, IF(AND(VLOOKUP(C746, Resultados_Reales!$A$4:$I$107, 5, FALSE)=G746, VLOOKUP(C746, Resultados_Reales!$A$4:$I$107, 6, FALSE)=H746), Configuracion!$B$5, IF(SIGN(VLOOKUP(C746, Resultados_Reales!$A$4:$I$107, 5, FALSE)-VLOOKUP(C746, Resultados_Reales!$A$4:$I$107, 6, FALSE)) = SIGN(G746-H746), Configuracion!$B$4, 0)))</f>
        <v/>
      </c>
      <c r="L746" s="11" t="n"/>
      <c r="M746" s="11" t="n"/>
      <c r="N746" s="11" t="n"/>
      <c r="O746" s="11" t="n"/>
      <c r="P746" s="11" t="n"/>
      <c r="Q746" s="11" t="n"/>
    </row>
    <row r="747">
      <c r="A747" s="8">
        <f>B747&amp;"_"&amp;C747</f>
        <v/>
      </c>
      <c r="B747" s="8" t="n"/>
      <c r="C747" s="8" t="n"/>
      <c r="D747" s="8" t="n"/>
      <c r="E747" s="11" t="n"/>
      <c r="F747" s="11" t="n"/>
      <c r="G747" s="8" t="n"/>
      <c r="H747" s="8" t="n"/>
      <c r="I747" s="8" t="n"/>
      <c r="J747" s="8" t="n"/>
      <c r="K747" s="12">
        <f>IF(OR(ISERROR(VLOOKUP(C747, Resultados_Reales!$A$4:$I$107, 5, FALSE)), ISERROR(VLOOKUP(C747, Resultados_Reales!$A$4:$I$107, 6, FALSE)), VLOOKUP(C747, Resultados_Reales!$A$4:$I$107, 5, FALSE)="", VLOOKUP(C747, Resultados_Reales!$A$4:$I$107, 6, FALSE)=""), 0, IF(AND(VLOOKUP(C747, Resultados_Reales!$A$4:$I$107, 5, FALSE)=G747, VLOOKUP(C747, Resultados_Reales!$A$4:$I$107, 6, FALSE)=H747), Configuracion!$B$5, IF(SIGN(VLOOKUP(C747, Resultados_Reales!$A$4:$I$107, 5, FALSE)-VLOOKUP(C747, Resultados_Reales!$A$4:$I$107, 6, FALSE)) = SIGN(G747-H747), Configuracion!$B$4, 0)))</f>
        <v/>
      </c>
      <c r="L747" s="11" t="n"/>
      <c r="M747" s="11" t="n"/>
      <c r="N747" s="11" t="n"/>
      <c r="O747" s="11" t="n"/>
      <c r="P747" s="11" t="n"/>
      <c r="Q747" s="11" t="n"/>
    </row>
    <row r="748">
      <c r="A748" s="8">
        <f>B748&amp;"_"&amp;C748</f>
        <v/>
      </c>
      <c r="B748" s="8" t="n"/>
      <c r="C748" s="8" t="n"/>
      <c r="D748" s="8" t="n"/>
      <c r="E748" s="11" t="n"/>
      <c r="F748" s="11" t="n"/>
      <c r="G748" s="8" t="n"/>
      <c r="H748" s="8" t="n"/>
      <c r="I748" s="8" t="n"/>
      <c r="J748" s="8" t="n"/>
      <c r="K748" s="12">
        <f>IF(OR(ISERROR(VLOOKUP(C748, Resultados_Reales!$A$4:$I$107, 5, FALSE)), ISERROR(VLOOKUP(C748, Resultados_Reales!$A$4:$I$107, 6, FALSE)), VLOOKUP(C748, Resultados_Reales!$A$4:$I$107, 5, FALSE)="", VLOOKUP(C748, Resultados_Reales!$A$4:$I$107, 6, FALSE)=""), 0, IF(AND(VLOOKUP(C748, Resultados_Reales!$A$4:$I$107, 5, FALSE)=G748, VLOOKUP(C748, Resultados_Reales!$A$4:$I$107, 6, FALSE)=H748), Configuracion!$B$5, IF(SIGN(VLOOKUP(C748, Resultados_Reales!$A$4:$I$107, 5, FALSE)-VLOOKUP(C748, Resultados_Reales!$A$4:$I$107, 6, FALSE)) = SIGN(G748-H748), Configuracion!$B$4, 0)))</f>
        <v/>
      </c>
      <c r="L748" s="11" t="n"/>
      <c r="M748" s="11" t="n"/>
      <c r="N748" s="11" t="n"/>
      <c r="O748" s="11" t="n"/>
      <c r="P748" s="11" t="n"/>
      <c r="Q748" s="11" t="n"/>
    </row>
    <row r="749">
      <c r="A749" s="8">
        <f>B749&amp;"_"&amp;C749</f>
        <v/>
      </c>
      <c r="B749" s="8" t="n"/>
      <c r="C749" s="8" t="n"/>
      <c r="D749" s="8" t="n"/>
      <c r="E749" s="11" t="n"/>
      <c r="F749" s="11" t="n"/>
      <c r="G749" s="8" t="n"/>
      <c r="H749" s="8" t="n"/>
      <c r="I749" s="8" t="n"/>
      <c r="J749" s="8" t="n"/>
      <c r="K749" s="12">
        <f>IF(OR(ISERROR(VLOOKUP(C749, Resultados_Reales!$A$4:$I$107, 5, FALSE)), ISERROR(VLOOKUP(C749, Resultados_Reales!$A$4:$I$107, 6, FALSE)), VLOOKUP(C749, Resultados_Reales!$A$4:$I$107, 5, FALSE)="", VLOOKUP(C749, Resultados_Reales!$A$4:$I$107, 6, FALSE)=""), 0, IF(AND(VLOOKUP(C749, Resultados_Reales!$A$4:$I$107, 5, FALSE)=G749, VLOOKUP(C749, Resultados_Reales!$A$4:$I$107, 6, FALSE)=H749), Configuracion!$B$5, IF(SIGN(VLOOKUP(C749, Resultados_Reales!$A$4:$I$107, 5, FALSE)-VLOOKUP(C749, Resultados_Reales!$A$4:$I$107, 6, FALSE)) = SIGN(G749-H749), Configuracion!$B$4, 0)))</f>
        <v/>
      </c>
      <c r="L749" s="11" t="n"/>
      <c r="M749" s="11" t="n"/>
      <c r="N749" s="11" t="n"/>
      <c r="O749" s="11" t="n"/>
      <c r="P749" s="11" t="n"/>
      <c r="Q749" s="11" t="n"/>
    </row>
    <row r="750">
      <c r="A750" s="8">
        <f>B750&amp;"_"&amp;C750</f>
        <v/>
      </c>
      <c r="B750" s="8" t="n"/>
      <c r="C750" s="8" t="n"/>
      <c r="D750" s="8" t="n"/>
      <c r="E750" s="11" t="n"/>
      <c r="F750" s="11" t="n"/>
      <c r="G750" s="8" t="n"/>
      <c r="H750" s="8" t="n"/>
      <c r="I750" s="8" t="n"/>
      <c r="J750" s="8" t="n"/>
      <c r="K750" s="12">
        <f>IF(OR(ISERROR(VLOOKUP(C750, Resultados_Reales!$A$4:$I$107, 5, FALSE)), ISERROR(VLOOKUP(C750, Resultados_Reales!$A$4:$I$107, 6, FALSE)), VLOOKUP(C750, Resultados_Reales!$A$4:$I$107, 5, FALSE)="", VLOOKUP(C750, Resultados_Reales!$A$4:$I$107, 6, FALSE)=""), 0, IF(AND(VLOOKUP(C750, Resultados_Reales!$A$4:$I$107, 5, FALSE)=G750, VLOOKUP(C750, Resultados_Reales!$A$4:$I$107, 6, FALSE)=H750), Configuracion!$B$5, IF(SIGN(VLOOKUP(C750, Resultados_Reales!$A$4:$I$107, 5, FALSE)-VLOOKUP(C750, Resultados_Reales!$A$4:$I$107, 6, FALSE)) = SIGN(G750-H750), Configuracion!$B$4, 0)))</f>
        <v/>
      </c>
      <c r="L750" s="11" t="n"/>
      <c r="M750" s="11" t="n"/>
      <c r="N750" s="11" t="n"/>
      <c r="O750" s="11" t="n"/>
      <c r="P750" s="11" t="n"/>
      <c r="Q750" s="11" t="n"/>
    </row>
    <row r="751">
      <c r="A751" s="8">
        <f>B751&amp;"_"&amp;C751</f>
        <v/>
      </c>
      <c r="B751" s="8" t="n"/>
      <c r="C751" s="8" t="n"/>
      <c r="D751" s="8" t="n"/>
      <c r="E751" s="11" t="n"/>
      <c r="F751" s="11" t="n"/>
      <c r="G751" s="8" t="n"/>
      <c r="H751" s="8" t="n"/>
      <c r="I751" s="8" t="n"/>
      <c r="J751" s="8" t="n"/>
      <c r="K751" s="12">
        <f>IF(OR(ISERROR(VLOOKUP(C751, Resultados_Reales!$A$4:$I$107, 5, FALSE)), ISERROR(VLOOKUP(C751, Resultados_Reales!$A$4:$I$107, 6, FALSE)), VLOOKUP(C751, Resultados_Reales!$A$4:$I$107, 5, FALSE)="", VLOOKUP(C751, Resultados_Reales!$A$4:$I$107, 6, FALSE)=""), 0, IF(AND(VLOOKUP(C751, Resultados_Reales!$A$4:$I$107, 5, FALSE)=G751, VLOOKUP(C751, Resultados_Reales!$A$4:$I$107, 6, FALSE)=H751), Configuracion!$B$5, IF(SIGN(VLOOKUP(C751, Resultados_Reales!$A$4:$I$107, 5, FALSE)-VLOOKUP(C751, Resultados_Reales!$A$4:$I$107, 6, FALSE)) = SIGN(G751-H751), Configuracion!$B$4, 0)))</f>
        <v/>
      </c>
      <c r="L751" s="11" t="n"/>
      <c r="M751" s="11" t="n"/>
      <c r="N751" s="11" t="n"/>
      <c r="O751" s="11" t="n"/>
      <c r="P751" s="11" t="n"/>
      <c r="Q751" s="11" t="n"/>
    </row>
    <row r="752">
      <c r="A752" s="8">
        <f>B752&amp;"_"&amp;C752</f>
        <v/>
      </c>
      <c r="B752" s="8" t="n"/>
      <c r="C752" s="8" t="n"/>
      <c r="D752" s="8" t="n"/>
      <c r="E752" s="11" t="n"/>
      <c r="F752" s="11" t="n"/>
      <c r="G752" s="8" t="n"/>
      <c r="H752" s="8" t="n"/>
      <c r="I752" s="8" t="n"/>
      <c r="J752" s="8" t="n"/>
      <c r="K752" s="12">
        <f>IF(OR(ISERROR(VLOOKUP(C752, Resultados_Reales!$A$4:$I$107, 5, FALSE)), ISERROR(VLOOKUP(C752, Resultados_Reales!$A$4:$I$107, 6, FALSE)), VLOOKUP(C752, Resultados_Reales!$A$4:$I$107, 5, FALSE)="", VLOOKUP(C752, Resultados_Reales!$A$4:$I$107, 6, FALSE)=""), 0, IF(AND(VLOOKUP(C752, Resultados_Reales!$A$4:$I$107, 5, FALSE)=G752, VLOOKUP(C752, Resultados_Reales!$A$4:$I$107, 6, FALSE)=H752), Configuracion!$B$5, IF(SIGN(VLOOKUP(C752, Resultados_Reales!$A$4:$I$107, 5, FALSE)-VLOOKUP(C752, Resultados_Reales!$A$4:$I$107, 6, FALSE)) = SIGN(G752-H752), Configuracion!$B$4, 0)))</f>
        <v/>
      </c>
      <c r="L752" s="11" t="n"/>
      <c r="M752" s="11" t="n"/>
      <c r="N752" s="11" t="n"/>
      <c r="O752" s="11" t="n"/>
      <c r="P752" s="11" t="n"/>
      <c r="Q752" s="11" t="n"/>
    </row>
    <row r="753">
      <c r="A753" s="8">
        <f>B753&amp;"_"&amp;C753</f>
        <v/>
      </c>
      <c r="B753" s="8" t="n"/>
      <c r="C753" s="8" t="n"/>
      <c r="D753" s="8" t="n"/>
      <c r="E753" s="11" t="n"/>
      <c r="F753" s="11" t="n"/>
      <c r="G753" s="8" t="n"/>
      <c r="H753" s="8" t="n"/>
      <c r="I753" s="8" t="n"/>
      <c r="J753" s="8" t="n"/>
      <c r="K753" s="12">
        <f>IF(OR(ISERROR(VLOOKUP(C753, Resultados_Reales!$A$4:$I$107, 5, FALSE)), ISERROR(VLOOKUP(C753, Resultados_Reales!$A$4:$I$107, 6, FALSE)), VLOOKUP(C753, Resultados_Reales!$A$4:$I$107, 5, FALSE)="", VLOOKUP(C753, Resultados_Reales!$A$4:$I$107, 6, FALSE)=""), 0, IF(AND(VLOOKUP(C753, Resultados_Reales!$A$4:$I$107, 5, FALSE)=G753, VLOOKUP(C753, Resultados_Reales!$A$4:$I$107, 6, FALSE)=H753), Configuracion!$B$5, IF(SIGN(VLOOKUP(C753, Resultados_Reales!$A$4:$I$107, 5, FALSE)-VLOOKUP(C753, Resultados_Reales!$A$4:$I$107, 6, FALSE)) = SIGN(G753-H753), Configuracion!$B$4, 0)))</f>
        <v/>
      </c>
      <c r="L753" s="11" t="n"/>
      <c r="M753" s="11" t="n"/>
      <c r="N753" s="11" t="n"/>
      <c r="O753" s="11" t="n"/>
      <c r="P753" s="11" t="n"/>
      <c r="Q753" s="11" t="n"/>
    </row>
    <row r="754">
      <c r="A754" s="8">
        <f>B754&amp;"_"&amp;C754</f>
        <v/>
      </c>
      <c r="B754" s="8" t="n"/>
      <c r="C754" s="8" t="n"/>
      <c r="D754" s="8" t="n"/>
      <c r="E754" s="11" t="n"/>
      <c r="F754" s="11" t="n"/>
      <c r="G754" s="8" t="n"/>
      <c r="H754" s="8" t="n"/>
      <c r="I754" s="8" t="n"/>
      <c r="J754" s="8" t="n"/>
      <c r="K754" s="12">
        <f>IF(OR(ISERROR(VLOOKUP(C754, Resultados_Reales!$A$4:$I$107, 5, FALSE)), ISERROR(VLOOKUP(C754, Resultados_Reales!$A$4:$I$107, 6, FALSE)), VLOOKUP(C754, Resultados_Reales!$A$4:$I$107, 5, FALSE)="", VLOOKUP(C754, Resultados_Reales!$A$4:$I$107, 6, FALSE)=""), 0, IF(AND(VLOOKUP(C754, Resultados_Reales!$A$4:$I$107, 5, FALSE)=G754, VLOOKUP(C754, Resultados_Reales!$A$4:$I$107, 6, FALSE)=H754), Configuracion!$B$5, IF(SIGN(VLOOKUP(C754, Resultados_Reales!$A$4:$I$107, 5, FALSE)-VLOOKUP(C754, Resultados_Reales!$A$4:$I$107, 6, FALSE)) = SIGN(G754-H754), Configuracion!$B$4, 0)))</f>
        <v/>
      </c>
      <c r="L754" s="11" t="n"/>
      <c r="M754" s="11" t="n"/>
      <c r="N754" s="11" t="n"/>
      <c r="O754" s="11" t="n"/>
      <c r="P754" s="11" t="n"/>
      <c r="Q754" s="11" t="n"/>
    </row>
    <row r="755">
      <c r="A755" s="8">
        <f>B755&amp;"_"&amp;C755</f>
        <v/>
      </c>
      <c r="B755" s="8" t="n"/>
      <c r="C755" s="8" t="n"/>
      <c r="D755" s="8" t="n"/>
      <c r="E755" s="11" t="n"/>
      <c r="F755" s="11" t="n"/>
      <c r="G755" s="8" t="n"/>
      <c r="H755" s="8" t="n"/>
      <c r="I755" s="8" t="n"/>
      <c r="J755" s="8" t="n"/>
      <c r="K755" s="12">
        <f>IF(OR(ISERROR(VLOOKUP(C755, Resultados_Reales!$A$4:$I$107, 5, FALSE)), ISERROR(VLOOKUP(C755, Resultados_Reales!$A$4:$I$107, 6, FALSE)), VLOOKUP(C755, Resultados_Reales!$A$4:$I$107, 5, FALSE)="", VLOOKUP(C755, Resultados_Reales!$A$4:$I$107, 6, FALSE)=""), 0, IF(AND(VLOOKUP(C755, Resultados_Reales!$A$4:$I$107, 5, FALSE)=G755, VLOOKUP(C755, Resultados_Reales!$A$4:$I$107, 6, FALSE)=H755), Configuracion!$B$5, IF(SIGN(VLOOKUP(C755, Resultados_Reales!$A$4:$I$107, 5, FALSE)-VLOOKUP(C755, Resultados_Reales!$A$4:$I$107, 6, FALSE)) = SIGN(G755-H755), Configuracion!$B$4, 0)))</f>
        <v/>
      </c>
      <c r="L755" s="11" t="n"/>
      <c r="M755" s="11" t="n"/>
      <c r="N755" s="11" t="n"/>
      <c r="O755" s="11" t="n"/>
      <c r="P755" s="11" t="n"/>
      <c r="Q755" s="11" t="n"/>
    </row>
    <row r="756">
      <c r="A756" s="8">
        <f>B756&amp;"_"&amp;C756</f>
        <v/>
      </c>
      <c r="B756" s="8" t="n"/>
      <c r="C756" s="8" t="n"/>
      <c r="D756" s="8" t="n"/>
      <c r="E756" s="11" t="n"/>
      <c r="F756" s="11" t="n"/>
      <c r="G756" s="8" t="n"/>
      <c r="H756" s="8" t="n"/>
      <c r="I756" s="8" t="n"/>
      <c r="J756" s="8" t="n"/>
      <c r="K756" s="12">
        <f>IF(OR(ISERROR(VLOOKUP(C756, Resultados_Reales!$A$4:$I$107, 5, FALSE)), ISERROR(VLOOKUP(C756, Resultados_Reales!$A$4:$I$107, 6, FALSE)), VLOOKUP(C756, Resultados_Reales!$A$4:$I$107, 5, FALSE)="", VLOOKUP(C756, Resultados_Reales!$A$4:$I$107, 6, FALSE)=""), 0, IF(AND(VLOOKUP(C756, Resultados_Reales!$A$4:$I$107, 5, FALSE)=G756, VLOOKUP(C756, Resultados_Reales!$A$4:$I$107, 6, FALSE)=H756), Configuracion!$B$5, IF(SIGN(VLOOKUP(C756, Resultados_Reales!$A$4:$I$107, 5, FALSE)-VLOOKUP(C756, Resultados_Reales!$A$4:$I$107, 6, FALSE)) = SIGN(G756-H756), Configuracion!$B$4, 0)))</f>
        <v/>
      </c>
      <c r="L756" s="11" t="n"/>
      <c r="M756" s="11" t="n"/>
      <c r="N756" s="11" t="n"/>
      <c r="O756" s="11" t="n"/>
      <c r="P756" s="11" t="n"/>
      <c r="Q756" s="11" t="n"/>
    </row>
    <row r="757">
      <c r="A757" s="8">
        <f>B757&amp;"_"&amp;C757</f>
        <v/>
      </c>
      <c r="B757" s="8" t="n"/>
      <c r="C757" s="8" t="n"/>
      <c r="D757" s="8" t="n"/>
      <c r="E757" s="11" t="n"/>
      <c r="F757" s="11" t="n"/>
      <c r="G757" s="8" t="n"/>
      <c r="H757" s="8" t="n"/>
      <c r="I757" s="8" t="n"/>
      <c r="J757" s="8" t="n"/>
      <c r="K757" s="12">
        <f>IF(OR(ISERROR(VLOOKUP(C757, Resultados_Reales!$A$4:$I$107, 5, FALSE)), ISERROR(VLOOKUP(C757, Resultados_Reales!$A$4:$I$107, 6, FALSE)), VLOOKUP(C757, Resultados_Reales!$A$4:$I$107, 5, FALSE)="", VLOOKUP(C757, Resultados_Reales!$A$4:$I$107, 6, FALSE)=""), 0, IF(AND(VLOOKUP(C757, Resultados_Reales!$A$4:$I$107, 5, FALSE)=G757, VLOOKUP(C757, Resultados_Reales!$A$4:$I$107, 6, FALSE)=H757), Configuracion!$B$5, IF(SIGN(VLOOKUP(C757, Resultados_Reales!$A$4:$I$107, 5, FALSE)-VLOOKUP(C757, Resultados_Reales!$A$4:$I$107, 6, FALSE)) = SIGN(G757-H757), Configuracion!$B$4, 0)))</f>
        <v/>
      </c>
      <c r="L757" s="11" t="n"/>
      <c r="M757" s="11" t="n"/>
      <c r="N757" s="11" t="n"/>
      <c r="O757" s="11" t="n"/>
      <c r="P757" s="11" t="n"/>
      <c r="Q757" s="11" t="n"/>
    </row>
    <row r="758">
      <c r="A758" s="8">
        <f>B758&amp;"_"&amp;C758</f>
        <v/>
      </c>
      <c r="B758" s="8" t="n"/>
      <c r="C758" s="8" t="n"/>
      <c r="D758" s="8" t="n"/>
      <c r="E758" s="11" t="n"/>
      <c r="F758" s="11" t="n"/>
      <c r="G758" s="8" t="n"/>
      <c r="H758" s="8" t="n"/>
      <c r="I758" s="8" t="n"/>
      <c r="J758" s="8" t="n"/>
      <c r="K758" s="12">
        <f>IF(OR(ISERROR(VLOOKUP(C758, Resultados_Reales!$A$4:$I$107, 5, FALSE)), ISERROR(VLOOKUP(C758, Resultados_Reales!$A$4:$I$107, 6, FALSE)), VLOOKUP(C758, Resultados_Reales!$A$4:$I$107, 5, FALSE)="", VLOOKUP(C758, Resultados_Reales!$A$4:$I$107, 6, FALSE)=""), 0, IF(AND(VLOOKUP(C758, Resultados_Reales!$A$4:$I$107, 5, FALSE)=G758, VLOOKUP(C758, Resultados_Reales!$A$4:$I$107, 6, FALSE)=H758), Configuracion!$B$5, IF(SIGN(VLOOKUP(C758, Resultados_Reales!$A$4:$I$107, 5, FALSE)-VLOOKUP(C758, Resultados_Reales!$A$4:$I$107, 6, FALSE)) = SIGN(G758-H758), Configuracion!$B$4, 0)))</f>
        <v/>
      </c>
      <c r="L758" s="11" t="n"/>
      <c r="M758" s="11" t="n"/>
      <c r="N758" s="11" t="n"/>
      <c r="O758" s="11" t="n"/>
      <c r="P758" s="11" t="n"/>
      <c r="Q758" s="11" t="n"/>
    </row>
    <row r="759">
      <c r="A759" s="8">
        <f>B759&amp;"_"&amp;C759</f>
        <v/>
      </c>
      <c r="B759" s="8" t="n"/>
      <c r="C759" s="8" t="n"/>
      <c r="D759" s="8" t="n"/>
      <c r="E759" s="11" t="n"/>
      <c r="F759" s="11" t="n"/>
      <c r="G759" s="8" t="n"/>
      <c r="H759" s="8" t="n"/>
      <c r="I759" s="8" t="n"/>
      <c r="J759" s="8" t="n"/>
      <c r="K759" s="12">
        <f>IF(OR(ISERROR(VLOOKUP(C759, Resultados_Reales!$A$4:$I$107, 5, FALSE)), ISERROR(VLOOKUP(C759, Resultados_Reales!$A$4:$I$107, 6, FALSE)), VLOOKUP(C759, Resultados_Reales!$A$4:$I$107, 5, FALSE)="", VLOOKUP(C759, Resultados_Reales!$A$4:$I$107, 6, FALSE)=""), 0, IF(AND(VLOOKUP(C759, Resultados_Reales!$A$4:$I$107, 5, FALSE)=G759, VLOOKUP(C759, Resultados_Reales!$A$4:$I$107, 6, FALSE)=H759), Configuracion!$B$5, IF(SIGN(VLOOKUP(C759, Resultados_Reales!$A$4:$I$107, 5, FALSE)-VLOOKUP(C759, Resultados_Reales!$A$4:$I$107, 6, FALSE)) = SIGN(G759-H759), Configuracion!$B$4, 0)))</f>
        <v/>
      </c>
      <c r="L759" s="11" t="n"/>
      <c r="M759" s="11" t="n"/>
      <c r="N759" s="11" t="n"/>
      <c r="O759" s="11" t="n"/>
      <c r="P759" s="11" t="n"/>
      <c r="Q759" s="11" t="n"/>
    </row>
    <row r="760">
      <c r="A760" s="8">
        <f>B760&amp;"_"&amp;C760</f>
        <v/>
      </c>
      <c r="B760" s="8" t="n"/>
      <c r="C760" s="8" t="n"/>
      <c r="D760" s="8" t="n"/>
      <c r="E760" s="11" t="n"/>
      <c r="F760" s="11" t="n"/>
      <c r="G760" s="8" t="n"/>
      <c r="H760" s="8" t="n"/>
      <c r="I760" s="8" t="n"/>
      <c r="J760" s="8" t="n"/>
      <c r="K760" s="12">
        <f>IF(OR(ISERROR(VLOOKUP(C760, Resultados_Reales!$A$4:$I$107, 5, FALSE)), ISERROR(VLOOKUP(C760, Resultados_Reales!$A$4:$I$107, 6, FALSE)), VLOOKUP(C760, Resultados_Reales!$A$4:$I$107, 5, FALSE)="", VLOOKUP(C760, Resultados_Reales!$A$4:$I$107, 6, FALSE)=""), 0, IF(AND(VLOOKUP(C760, Resultados_Reales!$A$4:$I$107, 5, FALSE)=G760, VLOOKUP(C760, Resultados_Reales!$A$4:$I$107, 6, FALSE)=H760), Configuracion!$B$5, IF(SIGN(VLOOKUP(C760, Resultados_Reales!$A$4:$I$107, 5, FALSE)-VLOOKUP(C760, Resultados_Reales!$A$4:$I$107, 6, FALSE)) = SIGN(G760-H760), Configuracion!$B$4, 0)))</f>
        <v/>
      </c>
      <c r="L760" s="11" t="n"/>
      <c r="M760" s="11" t="n"/>
      <c r="N760" s="11" t="n"/>
      <c r="O760" s="11" t="n"/>
      <c r="P760" s="11" t="n"/>
      <c r="Q760" s="11" t="n"/>
    </row>
    <row r="761">
      <c r="A761" s="8">
        <f>B761&amp;"_"&amp;C761</f>
        <v/>
      </c>
      <c r="B761" s="8" t="n"/>
      <c r="C761" s="8" t="n"/>
      <c r="D761" s="8" t="n"/>
      <c r="E761" s="11" t="n"/>
      <c r="F761" s="11" t="n"/>
      <c r="G761" s="8" t="n"/>
      <c r="H761" s="8" t="n"/>
      <c r="I761" s="8" t="n"/>
      <c r="J761" s="8" t="n"/>
      <c r="K761" s="12">
        <f>IF(OR(ISERROR(VLOOKUP(C761, Resultados_Reales!$A$4:$I$107, 5, FALSE)), ISERROR(VLOOKUP(C761, Resultados_Reales!$A$4:$I$107, 6, FALSE)), VLOOKUP(C761, Resultados_Reales!$A$4:$I$107, 5, FALSE)="", VLOOKUP(C761, Resultados_Reales!$A$4:$I$107, 6, FALSE)=""), 0, IF(AND(VLOOKUP(C761, Resultados_Reales!$A$4:$I$107, 5, FALSE)=G761, VLOOKUP(C761, Resultados_Reales!$A$4:$I$107, 6, FALSE)=H761), Configuracion!$B$5, IF(SIGN(VLOOKUP(C761, Resultados_Reales!$A$4:$I$107, 5, FALSE)-VLOOKUP(C761, Resultados_Reales!$A$4:$I$107, 6, FALSE)) = SIGN(G761-H761), Configuracion!$B$4, 0)))</f>
        <v/>
      </c>
      <c r="L761" s="11" t="n"/>
      <c r="M761" s="11" t="n"/>
      <c r="N761" s="11" t="n"/>
      <c r="O761" s="11" t="n"/>
      <c r="P761" s="11" t="n"/>
      <c r="Q761" s="11" t="n"/>
    </row>
    <row r="762">
      <c r="A762" s="8">
        <f>B762&amp;"_"&amp;C762</f>
        <v/>
      </c>
      <c r="B762" s="8" t="n"/>
      <c r="C762" s="8" t="n"/>
      <c r="D762" s="8" t="n"/>
      <c r="E762" s="11" t="n"/>
      <c r="F762" s="11" t="n"/>
      <c r="G762" s="8" t="n"/>
      <c r="H762" s="8" t="n"/>
      <c r="I762" s="8" t="n"/>
      <c r="J762" s="8" t="n"/>
      <c r="K762" s="12">
        <f>IF(OR(ISERROR(VLOOKUP(C762, Resultados_Reales!$A$4:$I$107, 5, FALSE)), ISERROR(VLOOKUP(C762, Resultados_Reales!$A$4:$I$107, 6, FALSE)), VLOOKUP(C762, Resultados_Reales!$A$4:$I$107, 5, FALSE)="", VLOOKUP(C762, Resultados_Reales!$A$4:$I$107, 6, FALSE)=""), 0, IF(AND(VLOOKUP(C762, Resultados_Reales!$A$4:$I$107, 5, FALSE)=G762, VLOOKUP(C762, Resultados_Reales!$A$4:$I$107, 6, FALSE)=H762), Configuracion!$B$5, IF(SIGN(VLOOKUP(C762, Resultados_Reales!$A$4:$I$107, 5, FALSE)-VLOOKUP(C762, Resultados_Reales!$A$4:$I$107, 6, FALSE)) = SIGN(G762-H762), Configuracion!$B$4, 0)))</f>
        <v/>
      </c>
      <c r="L762" s="11" t="n"/>
      <c r="M762" s="11" t="n"/>
      <c r="N762" s="11" t="n"/>
      <c r="O762" s="11" t="n"/>
      <c r="P762" s="11" t="n"/>
      <c r="Q762" s="11" t="n"/>
    </row>
    <row r="763">
      <c r="A763" s="8">
        <f>B763&amp;"_"&amp;C763</f>
        <v/>
      </c>
      <c r="B763" s="8" t="n"/>
      <c r="C763" s="8" t="n"/>
      <c r="D763" s="8" t="n"/>
      <c r="E763" s="11" t="n"/>
      <c r="F763" s="11" t="n"/>
      <c r="G763" s="8" t="n"/>
      <c r="H763" s="8" t="n"/>
      <c r="I763" s="8" t="n"/>
      <c r="J763" s="8" t="n"/>
      <c r="K763" s="12">
        <f>IF(OR(ISERROR(VLOOKUP(C763, Resultados_Reales!$A$4:$I$107, 5, FALSE)), ISERROR(VLOOKUP(C763, Resultados_Reales!$A$4:$I$107, 6, FALSE)), VLOOKUP(C763, Resultados_Reales!$A$4:$I$107, 5, FALSE)="", VLOOKUP(C763, Resultados_Reales!$A$4:$I$107, 6, FALSE)=""), 0, IF(AND(VLOOKUP(C763, Resultados_Reales!$A$4:$I$107, 5, FALSE)=G763, VLOOKUP(C763, Resultados_Reales!$A$4:$I$107, 6, FALSE)=H763), Configuracion!$B$5, IF(SIGN(VLOOKUP(C763, Resultados_Reales!$A$4:$I$107, 5, FALSE)-VLOOKUP(C763, Resultados_Reales!$A$4:$I$107, 6, FALSE)) = SIGN(G763-H763), Configuracion!$B$4, 0)))</f>
        <v/>
      </c>
      <c r="L763" s="11" t="n"/>
      <c r="M763" s="11" t="n"/>
      <c r="N763" s="11" t="n"/>
      <c r="O763" s="11" t="n"/>
      <c r="P763" s="11" t="n"/>
      <c r="Q763" s="11" t="n"/>
    </row>
    <row r="764">
      <c r="A764" s="8">
        <f>B764&amp;"_"&amp;C764</f>
        <v/>
      </c>
      <c r="B764" s="8" t="n"/>
      <c r="C764" s="8" t="n"/>
      <c r="D764" s="8" t="n"/>
      <c r="E764" s="11" t="n"/>
      <c r="F764" s="11" t="n"/>
      <c r="G764" s="8" t="n"/>
      <c r="H764" s="8" t="n"/>
      <c r="I764" s="8" t="n"/>
      <c r="J764" s="8" t="n"/>
      <c r="K764" s="12">
        <f>IF(OR(ISERROR(VLOOKUP(C764, Resultados_Reales!$A$4:$I$107, 5, FALSE)), ISERROR(VLOOKUP(C764, Resultados_Reales!$A$4:$I$107, 6, FALSE)), VLOOKUP(C764, Resultados_Reales!$A$4:$I$107, 5, FALSE)="", VLOOKUP(C764, Resultados_Reales!$A$4:$I$107, 6, FALSE)=""), 0, IF(AND(VLOOKUP(C764, Resultados_Reales!$A$4:$I$107, 5, FALSE)=G764, VLOOKUP(C764, Resultados_Reales!$A$4:$I$107, 6, FALSE)=H764), Configuracion!$B$5, IF(SIGN(VLOOKUP(C764, Resultados_Reales!$A$4:$I$107, 5, FALSE)-VLOOKUP(C764, Resultados_Reales!$A$4:$I$107, 6, FALSE)) = SIGN(G764-H764), Configuracion!$B$4, 0)))</f>
        <v/>
      </c>
      <c r="L764" s="11" t="n"/>
      <c r="M764" s="11" t="n"/>
      <c r="N764" s="11" t="n"/>
      <c r="O764" s="11" t="n"/>
      <c r="P764" s="11" t="n"/>
      <c r="Q764" s="11" t="n"/>
    </row>
    <row r="765">
      <c r="A765" s="8">
        <f>B765&amp;"_"&amp;C765</f>
        <v/>
      </c>
      <c r="B765" s="8" t="n"/>
      <c r="C765" s="8" t="n"/>
      <c r="D765" s="8" t="n"/>
      <c r="E765" s="11" t="n"/>
      <c r="F765" s="11" t="n"/>
      <c r="G765" s="8" t="n"/>
      <c r="H765" s="8" t="n"/>
      <c r="I765" s="8" t="n"/>
      <c r="J765" s="8" t="n"/>
      <c r="K765" s="12">
        <f>IF(OR(ISERROR(VLOOKUP(C765, Resultados_Reales!$A$4:$I$107, 5, FALSE)), ISERROR(VLOOKUP(C765, Resultados_Reales!$A$4:$I$107, 6, FALSE)), VLOOKUP(C765, Resultados_Reales!$A$4:$I$107, 5, FALSE)="", VLOOKUP(C765, Resultados_Reales!$A$4:$I$107, 6, FALSE)=""), 0, IF(AND(VLOOKUP(C765, Resultados_Reales!$A$4:$I$107, 5, FALSE)=G765, VLOOKUP(C765, Resultados_Reales!$A$4:$I$107, 6, FALSE)=H765), Configuracion!$B$5, IF(SIGN(VLOOKUP(C765, Resultados_Reales!$A$4:$I$107, 5, FALSE)-VLOOKUP(C765, Resultados_Reales!$A$4:$I$107, 6, FALSE)) = SIGN(G765-H765), Configuracion!$B$4, 0)))</f>
        <v/>
      </c>
      <c r="L765" s="11" t="n"/>
      <c r="M765" s="11" t="n"/>
      <c r="N765" s="11" t="n"/>
      <c r="O765" s="11" t="n"/>
      <c r="P765" s="11" t="n"/>
      <c r="Q765" s="11" t="n"/>
    </row>
    <row r="766">
      <c r="A766" s="8">
        <f>B766&amp;"_"&amp;C766</f>
        <v/>
      </c>
      <c r="B766" s="8" t="n"/>
      <c r="C766" s="8" t="n"/>
      <c r="D766" s="8" t="n"/>
      <c r="E766" s="11" t="n"/>
      <c r="F766" s="11" t="n"/>
      <c r="G766" s="8" t="n"/>
      <c r="H766" s="8" t="n"/>
      <c r="I766" s="8" t="n"/>
      <c r="J766" s="8" t="n"/>
      <c r="K766" s="12">
        <f>IF(OR(ISERROR(VLOOKUP(C766, Resultados_Reales!$A$4:$I$107, 5, FALSE)), ISERROR(VLOOKUP(C766, Resultados_Reales!$A$4:$I$107, 6, FALSE)), VLOOKUP(C766, Resultados_Reales!$A$4:$I$107, 5, FALSE)="", VLOOKUP(C766, Resultados_Reales!$A$4:$I$107, 6, FALSE)=""), 0, IF(AND(VLOOKUP(C766, Resultados_Reales!$A$4:$I$107, 5, FALSE)=G766, VLOOKUP(C766, Resultados_Reales!$A$4:$I$107, 6, FALSE)=H766), Configuracion!$B$5, IF(SIGN(VLOOKUP(C766, Resultados_Reales!$A$4:$I$107, 5, FALSE)-VLOOKUP(C766, Resultados_Reales!$A$4:$I$107, 6, FALSE)) = SIGN(G766-H766), Configuracion!$B$4, 0)))</f>
        <v/>
      </c>
      <c r="L766" s="11" t="n"/>
      <c r="M766" s="11" t="n"/>
      <c r="N766" s="11" t="n"/>
      <c r="O766" s="11" t="n"/>
      <c r="P766" s="11" t="n"/>
      <c r="Q766" s="11" t="n"/>
    </row>
    <row r="767">
      <c r="A767" s="8">
        <f>B767&amp;"_"&amp;C767</f>
        <v/>
      </c>
      <c r="B767" s="8" t="n"/>
      <c r="C767" s="8" t="n"/>
      <c r="D767" s="8" t="n"/>
      <c r="E767" s="11" t="n"/>
      <c r="F767" s="11" t="n"/>
      <c r="G767" s="8" t="n"/>
      <c r="H767" s="8" t="n"/>
      <c r="I767" s="8" t="n"/>
      <c r="J767" s="8" t="n"/>
      <c r="K767" s="12">
        <f>IF(OR(ISERROR(VLOOKUP(C767, Resultados_Reales!$A$4:$I$107, 5, FALSE)), ISERROR(VLOOKUP(C767, Resultados_Reales!$A$4:$I$107, 6, FALSE)), VLOOKUP(C767, Resultados_Reales!$A$4:$I$107, 5, FALSE)="", VLOOKUP(C767, Resultados_Reales!$A$4:$I$107, 6, FALSE)=""), 0, IF(AND(VLOOKUP(C767, Resultados_Reales!$A$4:$I$107, 5, FALSE)=G767, VLOOKUP(C767, Resultados_Reales!$A$4:$I$107, 6, FALSE)=H767), Configuracion!$B$5, IF(SIGN(VLOOKUP(C767, Resultados_Reales!$A$4:$I$107, 5, FALSE)-VLOOKUP(C767, Resultados_Reales!$A$4:$I$107, 6, FALSE)) = SIGN(G767-H767), Configuracion!$B$4, 0)))</f>
        <v/>
      </c>
      <c r="L767" s="11" t="n"/>
      <c r="M767" s="11" t="n"/>
      <c r="N767" s="11" t="n"/>
      <c r="O767" s="11" t="n"/>
      <c r="P767" s="11" t="n"/>
      <c r="Q767" s="11" t="n"/>
    </row>
    <row r="768">
      <c r="A768" s="8">
        <f>B768&amp;"_"&amp;C768</f>
        <v/>
      </c>
      <c r="B768" s="8" t="n"/>
      <c r="C768" s="8" t="n"/>
      <c r="D768" s="8" t="n"/>
      <c r="E768" s="11" t="n"/>
      <c r="F768" s="11" t="n"/>
      <c r="G768" s="8" t="n"/>
      <c r="H768" s="8" t="n"/>
      <c r="I768" s="8" t="n"/>
      <c r="J768" s="8" t="n"/>
      <c r="K768" s="12">
        <f>IF(OR(ISERROR(VLOOKUP(C768, Resultados_Reales!$A$4:$I$107, 5, FALSE)), ISERROR(VLOOKUP(C768, Resultados_Reales!$A$4:$I$107, 6, FALSE)), VLOOKUP(C768, Resultados_Reales!$A$4:$I$107, 5, FALSE)="", VLOOKUP(C768, Resultados_Reales!$A$4:$I$107, 6, FALSE)=""), 0, IF(AND(VLOOKUP(C768, Resultados_Reales!$A$4:$I$107, 5, FALSE)=G768, VLOOKUP(C768, Resultados_Reales!$A$4:$I$107, 6, FALSE)=H768), Configuracion!$B$5, IF(SIGN(VLOOKUP(C768, Resultados_Reales!$A$4:$I$107, 5, FALSE)-VLOOKUP(C768, Resultados_Reales!$A$4:$I$107, 6, FALSE)) = SIGN(G768-H768), Configuracion!$B$4, 0)))</f>
        <v/>
      </c>
      <c r="L768" s="11" t="n"/>
      <c r="M768" s="11" t="n"/>
      <c r="N768" s="11" t="n"/>
      <c r="O768" s="11" t="n"/>
      <c r="P768" s="11" t="n"/>
      <c r="Q768" s="11" t="n"/>
    </row>
    <row r="769">
      <c r="A769" s="8">
        <f>B769&amp;"_"&amp;C769</f>
        <v/>
      </c>
      <c r="B769" s="8" t="n"/>
      <c r="C769" s="8" t="n"/>
      <c r="D769" s="8" t="n"/>
      <c r="E769" s="11" t="n"/>
      <c r="F769" s="11" t="n"/>
      <c r="G769" s="8" t="n"/>
      <c r="H769" s="8" t="n"/>
      <c r="I769" s="8" t="n"/>
      <c r="J769" s="8" t="n"/>
      <c r="K769" s="12">
        <f>IF(OR(ISERROR(VLOOKUP(C769, Resultados_Reales!$A$4:$I$107, 5, FALSE)), ISERROR(VLOOKUP(C769, Resultados_Reales!$A$4:$I$107, 6, FALSE)), VLOOKUP(C769, Resultados_Reales!$A$4:$I$107, 5, FALSE)="", VLOOKUP(C769, Resultados_Reales!$A$4:$I$107, 6, FALSE)=""), 0, IF(AND(VLOOKUP(C769, Resultados_Reales!$A$4:$I$107, 5, FALSE)=G769, VLOOKUP(C769, Resultados_Reales!$A$4:$I$107, 6, FALSE)=H769), Configuracion!$B$5, IF(SIGN(VLOOKUP(C769, Resultados_Reales!$A$4:$I$107, 5, FALSE)-VLOOKUP(C769, Resultados_Reales!$A$4:$I$107, 6, FALSE)) = SIGN(G769-H769), Configuracion!$B$4, 0)))</f>
        <v/>
      </c>
      <c r="L769" s="11" t="n"/>
      <c r="M769" s="11" t="n"/>
      <c r="N769" s="11" t="n"/>
      <c r="O769" s="11" t="n"/>
      <c r="P769" s="11" t="n"/>
      <c r="Q769" s="11" t="n"/>
    </row>
    <row r="770">
      <c r="A770" s="8">
        <f>B770&amp;"_"&amp;C770</f>
        <v/>
      </c>
      <c r="B770" s="8" t="n"/>
      <c r="C770" s="8" t="n"/>
      <c r="D770" s="8" t="n"/>
      <c r="E770" s="11" t="n"/>
      <c r="F770" s="11" t="n"/>
      <c r="G770" s="8" t="n"/>
      <c r="H770" s="8" t="n"/>
      <c r="I770" s="8" t="n"/>
      <c r="J770" s="8" t="n"/>
      <c r="K770" s="12">
        <f>IF(OR(ISERROR(VLOOKUP(C770, Resultados_Reales!$A$4:$I$107, 5, FALSE)), ISERROR(VLOOKUP(C770, Resultados_Reales!$A$4:$I$107, 6, FALSE)), VLOOKUP(C770, Resultados_Reales!$A$4:$I$107, 5, FALSE)="", VLOOKUP(C770, Resultados_Reales!$A$4:$I$107, 6, FALSE)=""), 0, IF(AND(VLOOKUP(C770, Resultados_Reales!$A$4:$I$107, 5, FALSE)=G770, VLOOKUP(C770, Resultados_Reales!$A$4:$I$107, 6, FALSE)=H770), Configuracion!$B$5, IF(SIGN(VLOOKUP(C770, Resultados_Reales!$A$4:$I$107, 5, FALSE)-VLOOKUP(C770, Resultados_Reales!$A$4:$I$107, 6, FALSE)) = SIGN(G770-H770), Configuracion!$B$4, 0)))</f>
        <v/>
      </c>
      <c r="L770" s="11" t="n"/>
      <c r="M770" s="11" t="n"/>
      <c r="N770" s="11" t="n"/>
      <c r="O770" s="11" t="n"/>
      <c r="P770" s="11" t="n"/>
      <c r="Q770" s="11" t="n"/>
    </row>
    <row r="771">
      <c r="A771" s="8">
        <f>B771&amp;"_"&amp;C771</f>
        <v/>
      </c>
      <c r="B771" s="8" t="n"/>
      <c r="C771" s="8" t="n"/>
      <c r="D771" s="8" t="n"/>
      <c r="E771" s="11" t="n"/>
      <c r="F771" s="11" t="n"/>
      <c r="G771" s="8" t="n"/>
      <c r="H771" s="8" t="n"/>
      <c r="I771" s="8" t="n"/>
      <c r="J771" s="8" t="n"/>
      <c r="K771" s="12">
        <f>IF(OR(ISERROR(VLOOKUP(C771, Resultados_Reales!$A$4:$I$107, 5, FALSE)), ISERROR(VLOOKUP(C771, Resultados_Reales!$A$4:$I$107, 6, FALSE)), VLOOKUP(C771, Resultados_Reales!$A$4:$I$107, 5, FALSE)="", VLOOKUP(C771, Resultados_Reales!$A$4:$I$107, 6, FALSE)=""), 0, IF(AND(VLOOKUP(C771, Resultados_Reales!$A$4:$I$107, 5, FALSE)=G771, VLOOKUP(C771, Resultados_Reales!$A$4:$I$107, 6, FALSE)=H771), Configuracion!$B$5, IF(SIGN(VLOOKUP(C771, Resultados_Reales!$A$4:$I$107, 5, FALSE)-VLOOKUP(C771, Resultados_Reales!$A$4:$I$107, 6, FALSE)) = SIGN(G771-H771), Configuracion!$B$4, 0)))</f>
        <v/>
      </c>
      <c r="L771" s="11" t="n"/>
      <c r="M771" s="11" t="n"/>
      <c r="N771" s="11" t="n"/>
      <c r="O771" s="11" t="n"/>
      <c r="P771" s="11" t="n"/>
      <c r="Q771" s="11" t="n"/>
    </row>
    <row r="772">
      <c r="A772" s="8">
        <f>B772&amp;"_"&amp;C772</f>
        <v/>
      </c>
      <c r="B772" s="8" t="n"/>
      <c r="C772" s="8" t="n"/>
      <c r="D772" s="8" t="n"/>
      <c r="E772" s="11" t="n"/>
      <c r="F772" s="11" t="n"/>
      <c r="G772" s="8" t="n"/>
      <c r="H772" s="8" t="n"/>
      <c r="I772" s="8" t="n"/>
      <c r="J772" s="8" t="n"/>
      <c r="K772" s="12">
        <f>IF(OR(ISERROR(VLOOKUP(C772, Resultados_Reales!$A$4:$I$107, 5, FALSE)), ISERROR(VLOOKUP(C772, Resultados_Reales!$A$4:$I$107, 6, FALSE)), VLOOKUP(C772, Resultados_Reales!$A$4:$I$107, 5, FALSE)="", VLOOKUP(C772, Resultados_Reales!$A$4:$I$107, 6, FALSE)=""), 0, IF(AND(VLOOKUP(C772, Resultados_Reales!$A$4:$I$107, 5, FALSE)=G772, VLOOKUP(C772, Resultados_Reales!$A$4:$I$107, 6, FALSE)=H772), Configuracion!$B$5, IF(SIGN(VLOOKUP(C772, Resultados_Reales!$A$4:$I$107, 5, FALSE)-VLOOKUP(C772, Resultados_Reales!$A$4:$I$107, 6, FALSE)) = SIGN(G772-H772), Configuracion!$B$4, 0)))</f>
        <v/>
      </c>
      <c r="L772" s="11" t="n"/>
      <c r="M772" s="11" t="n"/>
      <c r="N772" s="11" t="n"/>
      <c r="O772" s="11" t="n"/>
      <c r="P772" s="11" t="n"/>
      <c r="Q772" s="11" t="n"/>
    </row>
    <row r="773">
      <c r="A773" s="8">
        <f>B773&amp;"_"&amp;C773</f>
        <v/>
      </c>
      <c r="B773" s="8" t="n"/>
      <c r="C773" s="8" t="n"/>
      <c r="D773" s="8" t="n"/>
      <c r="E773" s="11" t="n"/>
      <c r="F773" s="11" t="n"/>
      <c r="G773" s="8" t="n"/>
      <c r="H773" s="8" t="n"/>
      <c r="I773" s="8" t="n"/>
      <c r="J773" s="8" t="n"/>
      <c r="K773" s="12">
        <f>IF(OR(ISERROR(VLOOKUP(C773, Resultados_Reales!$A$4:$I$107, 5, FALSE)), ISERROR(VLOOKUP(C773, Resultados_Reales!$A$4:$I$107, 6, FALSE)), VLOOKUP(C773, Resultados_Reales!$A$4:$I$107, 5, FALSE)="", VLOOKUP(C773, Resultados_Reales!$A$4:$I$107, 6, FALSE)=""), 0, IF(AND(VLOOKUP(C773, Resultados_Reales!$A$4:$I$107, 5, FALSE)=G773, VLOOKUP(C773, Resultados_Reales!$A$4:$I$107, 6, FALSE)=H773), Configuracion!$B$5, IF(SIGN(VLOOKUP(C773, Resultados_Reales!$A$4:$I$107, 5, FALSE)-VLOOKUP(C773, Resultados_Reales!$A$4:$I$107, 6, FALSE)) = SIGN(G773-H773), Configuracion!$B$4, 0)))</f>
        <v/>
      </c>
      <c r="L773" s="11" t="n"/>
      <c r="M773" s="11" t="n"/>
      <c r="N773" s="11" t="n"/>
      <c r="O773" s="11" t="n"/>
      <c r="P773" s="11" t="n"/>
      <c r="Q773" s="11" t="n"/>
    </row>
    <row r="774">
      <c r="A774" s="8">
        <f>B774&amp;"_"&amp;C774</f>
        <v/>
      </c>
      <c r="B774" s="8" t="n"/>
      <c r="C774" s="8" t="n"/>
      <c r="D774" s="8" t="n"/>
      <c r="E774" s="11" t="n"/>
      <c r="F774" s="11" t="n"/>
      <c r="G774" s="8" t="n"/>
      <c r="H774" s="8" t="n"/>
      <c r="I774" s="8" t="n"/>
      <c r="J774" s="8" t="n"/>
      <c r="K774" s="12">
        <f>IF(OR(ISERROR(VLOOKUP(C774, Resultados_Reales!$A$4:$I$107, 5, FALSE)), ISERROR(VLOOKUP(C774, Resultados_Reales!$A$4:$I$107, 6, FALSE)), VLOOKUP(C774, Resultados_Reales!$A$4:$I$107, 5, FALSE)="", VLOOKUP(C774, Resultados_Reales!$A$4:$I$107, 6, FALSE)=""), 0, IF(AND(VLOOKUP(C774, Resultados_Reales!$A$4:$I$107, 5, FALSE)=G774, VLOOKUP(C774, Resultados_Reales!$A$4:$I$107, 6, FALSE)=H774), Configuracion!$B$5, IF(SIGN(VLOOKUP(C774, Resultados_Reales!$A$4:$I$107, 5, FALSE)-VLOOKUP(C774, Resultados_Reales!$A$4:$I$107, 6, FALSE)) = SIGN(G774-H774), Configuracion!$B$4, 0)))</f>
        <v/>
      </c>
      <c r="L774" s="11" t="n"/>
      <c r="M774" s="11" t="n"/>
      <c r="N774" s="11" t="n"/>
      <c r="O774" s="11" t="n"/>
      <c r="P774" s="11" t="n"/>
      <c r="Q774" s="11" t="n"/>
    </row>
    <row r="775">
      <c r="A775" s="8">
        <f>B775&amp;"_"&amp;C775</f>
        <v/>
      </c>
      <c r="B775" s="8" t="n"/>
      <c r="C775" s="8" t="n"/>
      <c r="D775" s="8" t="n"/>
      <c r="E775" s="11" t="n"/>
      <c r="F775" s="11" t="n"/>
      <c r="G775" s="8" t="n"/>
      <c r="H775" s="8" t="n"/>
      <c r="I775" s="8" t="n"/>
      <c r="J775" s="8" t="n"/>
      <c r="K775" s="12">
        <f>IF(OR(ISERROR(VLOOKUP(C775, Resultados_Reales!$A$4:$I$107, 5, FALSE)), ISERROR(VLOOKUP(C775, Resultados_Reales!$A$4:$I$107, 6, FALSE)), VLOOKUP(C775, Resultados_Reales!$A$4:$I$107, 5, FALSE)="", VLOOKUP(C775, Resultados_Reales!$A$4:$I$107, 6, FALSE)=""), 0, IF(AND(VLOOKUP(C775, Resultados_Reales!$A$4:$I$107, 5, FALSE)=G775, VLOOKUP(C775, Resultados_Reales!$A$4:$I$107, 6, FALSE)=H775), Configuracion!$B$5, IF(SIGN(VLOOKUP(C775, Resultados_Reales!$A$4:$I$107, 5, FALSE)-VLOOKUP(C775, Resultados_Reales!$A$4:$I$107, 6, FALSE)) = SIGN(G775-H775), Configuracion!$B$4, 0)))</f>
        <v/>
      </c>
      <c r="L775" s="11" t="n"/>
      <c r="M775" s="11" t="n"/>
      <c r="N775" s="11" t="n"/>
      <c r="O775" s="11" t="n"/>
      <c r="P775" s="11" t="n"/>
      <c r="Q775" s="11" t="n"/>
    </row>
    <row r="776">
      <c r="A776" s="8">
        <f>B776&amp;"_"&amp;C776</f>
        <v/>
      </c>
      <c r="B776" s="8" t="n"/>
      <c r="C776" s="8" t="n"/>
      <c r="D776" s="8" t="n"/>
      <c r="E776" s="11" t="n"/>
      <c r="F776" s="11" t="n"/>
      <c r="G776" s="8" t="n"/>
      <c r="H776" s="8" t="n"/>
      <c r="I776" s="8" t="n"/>
      <c r="J776" s="8" t="n"/>
      <c r="K776" s="12">
        <f>IF(OR(ISERROR(VLOOKUP(C776, Resultados_Reales!$A$4:$I$107, 5, FALSE)), ISERROR(VLOOKUP(C776, Resultados_Reales!$A$4:$I$107, 6, FALSE)), VLOOKUP(C776, Resultados_Reales!$A$4:$I$107, 5, FALSE)="", VLOOKUP(C776, Resultados_Reales!$A$4:$I$107, 6, FALSE)=""), 0, IF(AND(VLOOKUP(C776, Resultados_Reales!$A$4:$I$107, 5, FALSE)=G776, VLOOKUP(C776, Resultados_Reales!$A$4:$I$107, 6, FALSE)=H776), Configuracion!$B$5, IF(SIGN(VLOOKUP(C776, Resultados_Reales!$A$4:$I$107, 5, FALSE)-VLOOKUP(C776, Resultados_Reales!$A$4:$I$107, 6, FALSE)) = SIGN(G776-H776), Configuracion!$B$4, 0)))</f>
        <v/>
      </c>
      <c r="L776" s="11" t="n"/>
      <c r="M776" s="11" t="n"/>
      <c r="N776" s="11" t="n"/>
      <c r="O776" s="11" t="n"/>
      <c r="P776" s="11" t="n"/>
      <c r="Q776" s="11" t="n"/>
    </row>
    <row r="777">
      <c r="A777" s="8">
        <f>B777&amp;"_"&amp;C777</f>
        <v/>
      </c>
      <c r="B777" s="8" t="n"/>
      <c r="C777" s="8" t="n"/>
      <c r="D777" s="8" t="n"/>
      <c r="E777" s="11" t="n"/>
      <c r="F777" s="11" t="n"/>
      <c r="G777" s="8" t="n"/>
      <c r="H777" s="8" t="n"/>
      <c r="I777" s="8" t="n"/>
      <c r="J777" s="8" t="n"/>
      <c r="K777" s="12">
        <f>IF(OR(ISERROR(VLOOKUP(C777, Resultados_Reales!$A$4:$I$107, 5, FALSE)), ISERROR(VLOOKUP(C777, Resultados_Reales!$A$4:$I$107, 6, FALSE)), VLOOKUP(C777, Resultados_Reales!$A$4:$I$107, 5, FALSE)="", VLOOKUP(C777, Resultados_Reales!$A$4:$I$107, 6, FALSE)=""), 0, IF(AND(VLOOKUP(C777, Resultados_Reales!$A$4:$I$107, 5, FALSE)=G777, VLOOKUP(C777, Resultados_Reales!$A$4:$I$107, 6, FALSE)=H777), Configuracion!$B$5, IF(SIGN(VLOOKUP(C777, Resultados_Reales!$A$4:$I$107, 5, FALSE)-VLOOKUP(C777, Resultados_Reales!$A$4:$I$107, 6, FALSE)) = SIGN(G777-H777), Configuracion!$B$4, 0)))</f>
        <v/>
      </c>
      <c r="L777" s="11" t="n"/>
      <c r="M777" s="11" t="n"/>
      <c r="N777" s="11" t="n"/>
      <c r="O777" s="11" t="n"/>
      <c r="P777" s="11" t="n"/>
      <c r="Q777" s="11" t="n"/>
    </row>
    <row r="778">
      <c r="A778" s="8">
        <f>B778&amp;"_"&amp;C778</f>
        <v/>
      </c>
      <c r="B778" s="8" t="n"/>
      <c r="C778" s="8" t="n"/>
      <c r="D778" s="8" t="n"/>
      <c r="E778" s="11" t="n"/>
      <c r="F778" s="11" t="n"/>
      <c r="G778" s="8" t="n"/>
      <c r="H778" s="8" t="n"/>
      <c r="I778" s="8" t="n"/>
      <c r="J778" s="8" t="n"/>
      <c r="K778" s="12">
        <f>IF(OR(ISERROR(VLOOKUP(C778, Resultados_Reales!$A$4:$I$107, 5, FALSE)), ISERROR(VLOOKUP(C778, Resultados_Reales!$A$4:$I$107, 6, FALSE)), VLOOKUP(C778, Resultados_Reales!$A$4:$I$107, 5, FALSE)="", VLOOKUP(C778, Resultados_Reales!$A$4:$I$107, 6, FALSE)=""), 0, IF(AND(VLOOKUP(C778, Resultados_Reales!$A$4:$I$107, 5, FALSE)=G778, VLOOKUP(C778, Resultados_Reales!$A$4:$I$107, 6, FALSE)=H778), Configuracion!$B$5, IF(SIGN(VLOOKUP(C778, Resultados_Reales!$A$4:$I$107, 5, FALSE)-VLOOKUP(C778, Resultados_Reales!$A$4:$I$107, 6, FALSE)) = SIGN(G778-H778), Configuracion!$B$4, 0)))</f>
        <v/>
      </c>
      <c r="L778" s="11" t="n"/>
      <c r="M778" s="11" t="n"/>
      <c r="N778" s="11" t="n"/>
      <c r="O778" s="11" t="n"/>
      <c r="P778" s="11" t="n"/>
      <c r="Q778" s="11" t="n"/>
    </row>
    <row r="779">
      <c r="A779" s="8">
        <f>B779&amp;"_"&amp;C779</f>
        <v/>
      </c>
      <c r="B779" s="8" t="n"/>
      <c r="C779" s="8" t="n"/>
      <c r="D779" s="8" t="n"/>
      <c r="E779" s="11" t="n"/>
      <c r="F779" s="11" t="n"/>
      <c r="G779" s="8" t="n"/>
      <c r="H779" s="8" t="n"/>
      <c r="I779" s="8" t="n"/>
      <c r="J779" s="8" t="n"/>
      <c r="K779" s="12">
        <f>IF(OR(ISERROR(VLOOKUP(C779, Resultados_Reales!$A$4:$I$107, 5, FALSE)), ISERROR(VLOOKUP(C779, Resultados_Reales!$A$4:$I$107, 6, FALSE)), VLOOKUP(C779, Resultados_Reales!$A$4:$I$107, 5, FALSE)="", VLOOKUP(C779, Resultados_Reales!$A$4:$I$107, 6, FALSE)=""), 0, IF(AND(VLOOKUP(C779, Resultados_Reales!$A$4:$I$107, 5, FALSE)=G779, VLOOKUP(C779, Resultados_Reales!$A$4:$I$107, 6, FALSE)=H779), Configuracion!$B$5, IF(SIGN(VLOOKUP(C779, Resultados_Reales!$A$4:$I$107, 5, FALSE)-VLOOKUP(C779, Resultados_Reales!$A$4:$I$107, 6, FALSE)) = SIGN(G779-H779), Configuracion!$B$4, 0)))</f>
        <v/>
      </c>
      <c r="L779" s="11" t="n"/>
      <c r="M779" s="11" t="n"/>
      <c r="N779" s="11" t="n"/>
      <c r="O779" s="11" t="n"/>
      <c r="P779" s="11" t="n"/>
      <c r="Q779" s="11" t="n"/>
    </row>
    <row r="780">
      <c r="A780" s="8">
        <f>B780&amp;"_"&amp;C780</f>
        <v/>
      </c>
      <c r="B780" s="8" t="n"/>
      <c r="C780" s="8" t="n"/>
      <c r="D780" s="8" t="n"/>
      <c r="E780" s="11" t="n"/>
      <c r="F780" s="11" t="n"/>
      <c r="G780" s="8" t="n"/>
      <c r="H780" s="8" t="n"/>
      <c r="I780" s="8" t="n"/>
      <c r="J780" s="8" t="n"/>
      <c r="K780" s="12">
        <f>IF(OR(ISERROR(VLOOKUP(C780, Resultados_Reales!$A$4:$I$107, 5, FALSE)), ISERROR(VLOOKUP(C780, Resultados_Reales!$A$4:$I$107, 6, FALSE)), VLOOKUP(C780, Resultados_Reales!$A$4:$I$107, 5, FALSE)="", VLOOKUP(C780, Resultados_Reales!$A$4:$I$107, 6, FALSE)=""), 0, IF(AND(VLOOKUP(C780, Resultados_Reales!$A$4:$I$107, 5, FALSE)=G780, VLOOKUP(C780, Resultados_Reales!$A$4:$I$107, 6, FALSE)=H780), Configuracion!$B$5, IF(SIGN(VLOOKUP(C780, Resultados_Reales!$A$4:$I$107, 5, FALSE)-VLOOKUP(C780, Resultados_Reales!$A$4:$I$107, 6, FALSE)) = SIGN(G780-H780), Configuracion!$B$4, 0)))</f>
        <v/>
      </c>
      <c r="L780" s="11" t="n"/>
      <c r="M780" s="11" t="n"/>
      <c r="N780" s="11" t="n"/>
      <c r="O780" s="11" t="n"/>
      <c r="P780" s="11" t="n"/>
      <c r="Q780" s="11" t="n"/>
    </row>
    <row r="781">
      <c r="A781" s="8">
        <f>B781&amp;"_"&amp;C781</f>
        <v/>
      </c>
      <c r="B781" s="8" t="n"/>
      <c r="C781" s="8" t="n"/>
      <c r="D781" s="8" t="n"/>
      <c r="E781" s="11" t="n"/>
      <c r="F781" s="11" t="n"/>
      <c r="G781" s="8" t="n"/>
      <c r="H781" s="8" t="n"/>
      <c r="I781" s="8" t="n"/>
      <c r="J781" s="8" t="n"/>
      <c r="K781" s="12">
        <f>IF(OR(ISERROR(VLOOKUP(C781, Resultados_Reales!$A$4:$I$107, 5, FALSE)), ISERROR(VLOOKUP(C781, Resultados_Reales!$A$4:$I$107, 6, FALSE)), VLOOKUP(C781, Resultados_Reales!$A$4:$I$107, 5, FALSE)="", VLOOKUP(C781, Resultados_Reales!$A$4:$I$107, 6, FALSE)=""), 0, IF(AND(VLOOKUP(C781, Resultados_Reales!$A$4:$I$107, 5, FALSE)=G781, VLOOKUP(C781, Resultados_Reales!$A$4:$I$107, 6, FALSE)=H781), Configuracion!$B$5, IF(SIGN(VLOOKUP(C781, Resultados_Reales!$A$4:$I$107, 5, FALSE)-VLOOKUP(C781, Resultados_Reales!$A$4:$I$107, 6, FALSE)) = SIGN(G781-H781), Configuracion!$B$4, 0)))</f>
        <v/>
      </c>
      <c r="L781" s="11" t="n"/>
      <c r="M781" s="11" t="n"/>
      <c r="N781" s="11" t="n"/>
      <c r="O781" s="11" t="n"/>
      <c r="P781" s="11" t="n"/>
      <c r="Q781" s="11" t="n"/>
    </row>
    <row r="782">
      <c r="A782" s="8">
        <f>B782&amp;"_"&amp;C782</f>
        <v/>
      </c>
      <c r="B782" s="8" t="n"/>
      <c r="C782" s="8" t="n"/>
      <c r="D782" s="8" t="n"/>
      <c r="E782" s="11" t="n"/>
      <c r="F782" s="11" t="n"/>
      <c r="G782" s="8" t="n"/>
      <c r="H782" s="8" t="n"/>
      <c r="I782" s="8" t="n"/>
      <c r="J782" s="8" t="n"/>
      <c r="K782" s="12">
        <f>IF(OR(ISERROR(VLOOKUP(C782, Resultados_Reales!$A$4:$I$107, 5, FALSE)), ISERROR(VLOOKUP(C782, Resultados_Reales!$A$4:$I$107, 6, FALSE)), VLOOKUP(C782, Resultados_Reales!$A$4:$I$107, 5, FALSE)="", VLOOKUP(C782, Resultados_Reales!$A$4:$I$107, 6, FALSE)=""), 0, IF(AND(VLOOKUP(C782, Resultados_Reales!$A$4:$I$107, 5, FALSE)=G782, VLOOKUP(C782, Resultados_Reales!$A$4:$I$107, 6, FALSE)=H782), Configuracion!$B$5, IF(SIGN(VLOOKUP(C782, Resultados_Reales!$A$4:$I$107, 5, FALSE)-VLOOKUP(C782, Resultados_Reales!$A$4:$I$107, 6, FALSE)) = SIGN(G782-H782), Configuracion!$B$4, 0)))</f>
        <v/>
      </c>
      <c r="L782" s="11" t="n"/>
      <c r="M782" s="11" t="n"/>
      <c r="N782" s="11" t="n"/>
      <c r="O782" s="11" t="n"/>
      <c r="P782" s="11" t="n"/>
      <c r="Q782" s="11" t="n"/>
    </row>
    <row r="783">
      <c r="A783" s="8">
        <f>B783&amp;"_"&amp;C783</f>
        <v/>
      </c>
      <c r="B783" s="8" t="n"/>
      <c r="C783" s="8" t="n"/>
      <c r="D783" s="8" t="n"/>
      <c r="E783" s="11" t="n"/>
      <c r="F783" s="11" t="n"/>
      <c r="G783" s="8" t="n"/>
      <c r="H783" s="8" t="n"/>
      <c r="I783" s="8" t="n"/>
      <c r="J783" s="8" t="n"/>
      <c r="K783" s="12">
        <f>IF(OR(ISERROR(VLOOKUP(C783, Resultados_Reales!$A$4:$I$107, 5, FALSE)), ISERROR(VLOOKUP(C783, Resultados_Reales!$A$4:$I$107, 6, FALSE)), VLOOKUP(C783, Resultados_Reales!$A$4:$I$107, 5, FALSE)="", VLOOKUP(C783, Resultados_Reales!$A$4:$I$107, 6, FALSE)=""), 0, IF(AND(VLOOKUP(C783, Resultados_Reales!$A$4:$I$107, 5, FALSE)=G783, VLOOKUP(C783, Resultados_Reales!$A$4:$I$107, 6, FALSE)=H783), Configuracion!$B$5, IF(SIGN(VLOOKUP(C783, Resultados_Reales!$A$4:$I$107, 5, FALSE)-VLOOKUP(C783, Resultados_Reales!$A$4:$I$107, 6, FALSE)) = SIGN(G783-H783), Configuracion!$B$4, 0)))</f>
        <v/>
      </c>
      <c r="L783" s="11" t="n"/>
      <c r="M783" s="11" t="n"/>
      <c r="N783" s="11" t="n"/>
      <c r="O783" s="11" t="n"/>
      <c r="P783" s="11" t="n"/>
      <c r="Q783" s="11" t="n"/>
    </row>
    <row r="784">
      <c r="A784" s="8">
        <f>B784&amp;"_"&amp;C784</f>
        <v/>
      </c>
      <c r="B784" s="8" t="n"/>
      <c r="C784" s="8" t="n"/>
      <c r="D784" s="8" t="n"/>
      <c r="E784" s="11" t="n"/>
      <c r="F784" s="11" t="n"/>
      <c r="G784" s="8" t="n"/>
      <c r="H784" s="8" t="n"/>
      <c r="I784" s="8" t="n"/>
      <c r="J784" s="8" t="n"/>
      <c r="K784" s="12">
        <f>IF(OR(ISERROR(VLOOKUP(C784, Resultados_Reales!$A$4:$I$107, 5, FALSE)), ISERROR(VLOOKUP(C784, Resultados_Reales!$A$4:$I$107, 6, FALSE)), VLOOKUP(C784, Resultados_Reales!$A$4:$I$107, 5, FALSE)="", VLOOKUP(C784, Resultados_Reales!$A$4:$I$107, 6, FALSE)=""), 0, IF(AND(VLOOKUP(C784, Resultados_Reales!$A$4:$I$107, 5, FALSE)=G784, VLOOKUP(C784, Resultados_Reales!$A$4:$I$107, 6, FALSE)=H784), Configuracion!$B$5, IF(SIGN(VLOOKUP(C784, Resultados_Reales!$A$4:$I$107, 5, FALSE)-VLOOKUP(C784, Resultados_Reales!$A$4:$I$107, 6, FALSE)) = SIGN(G784-H784), Configuracion!$B$4, 0)))</f>
        <v/>
      </c>
      <c r="L784" s="11" t="n"/>
      <c r="M784" s="11" t="n"/>
      <c r="N784" s="11" t="n"/>
      <c r="O784" s="11" t="n"/>
      <c r="P784" s="11" t="n"/>
      <c r="Q784" s="11" t="n"/>
    </row>
    <row r="785">
      <c r="A785" s="8">
        <f>B785&amp;"_"&amp;C785</f>
        <v/>
      </c>
      <c r="B785" s="8" t="n"/>
      <c r="C785" s="8" t="n"/>
      <c r="D785" s="8" t="n"/>
      <c r="E785" s="11" t="n"/>
      <c r="F785" s="11" t="n"/>
      <c r="G785" s="8" t="n"/>
      <c r="H785" s="8" t="n"/>
      <c r="I785" s="8" t="n"/>
      <c r="J785" s="8" t="n"/>
      <c r="K785" s="12">
        <f>IF(OR(ISERROR(VLOOKUP(C785, Resultados_Reales!$A$4:$I$107, 5, FALSE)), ISERROR(VLOOKUP(C785, Resultados_Reales!$A$4:$I$107, 6, FALSE)), VLOOKUP(C785, Resultados_Reales!$A$4:$I$107, 5, FALSE)="", VLOOKUP(C785, Resultados_Reales!$A$4:$I$107, 6, FALSE)=""), 0, IF(AND(VLOOKUP(C785, Resultados_Reales!$A$4:$I$107, 5, FALSE)=G785, VLOOKUP(C785, Resultados_Reales!$A$4:$I$107, 6, FALSE)=H785), Configuracion!$B$5, IF(SIGN(VLOOKUP(C785, Resultados_Reales!$A$4:$I$107, 5, FALSE)-VLOOKUP(C785, Resultados_Reales!$A$4:$I$107, 6, FALSE)) = SIGN(G785-H785), Configuracion!$B$4, 0)))</f>
        <v/>
      </c>
      <c r="L785" s="11" t="n"/>
      <c r="M785" s="11" t="n"/>
      <c r="N785" s="11" t="n"/>
      <c r="O785" s="11" t="n"/>
      <c r="P785" s="11" t="n"/>
      <c r="Q785" s="11" t="n"/>
    </row>
    <row r="786">
      <c r="A786" s="8">
        <f>B786&amp;"_"&amp;C786</f>
        <v/>
      </c>
      <c r="B786" s="8" t="n"/>
      <c r="C786" s="8" t="n"/>
      <c r="D786" s="8" t="n"/>
      <c r="E786" s="11" t="n"/>
      <c r="F786" s="11" t="n"/>
      <c r="G786" s="8" t="n"/>
      <c r="H786" s="8" t="n"/>
      <c r="I786" s="8" t="n"/>
      <c r="J786" s="8" t="n"/>
      <c r="K786" s="12">
        <f>IF(OR(ISERROR(VLOOKUP(C786, Resultados_Reales!$A$4:$I$107, 5, FALSE)), ISERROR(VLOOKUP(C786, Resultados_Reales!$A$4:$I$107, 6, FALSE)), VLOOKUP(C786, Resultados_Reales!$A$4:$I$107, 5, FALSE)="", VLOOKUP(C786, Resultados_Reales!$A$4:$I$107, 6, FALSE)=""), 0, IF(AND(VLOOKUP(C786, Resultados_Reales!$A$4:$I$107, 5, FALSE)=G786, VLOOKUP(C786, Resultados_Reales!$A$4:$I$107, 6, FALSE)=H786), Configuracion!$B$5, IF(SIGN(VLOOKUP(C786, Resultados_Reales!$A$4:$I$107, 5, FALSE)-VLOOKUP(C786, Resultados_Reales!$A$4:$I$107, 6, FALSE)) = SIGN(G786-H786), Configuracion!$B$4, 0)))</f>
        <v/>
      </c>
      <c r="L786" s="11" t="n"/>
      <c r="M786" s="11" t="n"/>
      <c r="N786" s="11" t="n"/>
      <c r="O786" s="11" t="n"/>
      <c r="P786" s="11" t="n"/>
      <c r="Q786" s="11" t="n"/>
    </row>
    <row r="787">
      <c r="A787" s="8">
        <f>B787&amp;"_"&amp;C787</f>
        <v/>
      </c>
      <c r="B787" s="8" t="n"/>
      <c r="C787" s="8" t="n"/>
      <c r="D787" s="8" t="n"/>
      <c r="E787" s="11" t="n"/>
      <c r="F787" s="11" t="n"/>
      <c r="G787" s="8" t="n"/>
      <c r="H787" s="8" t="n"/>
      <c r="I787" s="8" t="n"/>
      <c r="J787" s="8" t="n"/>
      <c r="K787" s="12">
        <f>IF(OR(ISERROR(VLOOKUP(C787, Resultados_Reales!$A$4:$I$107, 5, FALSE)), ISERROR(VLOOKUP(C787, Resultados_Reales!$A$4:$I$107, 6, FALSE)), VLOOKUP(C787, Resultados_Reales!$A$4:$I$107, 5, FALSE)="", VLOOKUP(C787, Resultados_Reales!$A$4:$I$107, 6, FALSE)=""), 0, IF(AND(VLOOKUP(C787, Resultados_Reales!$A$4:$I$107, 5, FALSE)=G787, VLOOKUP(C787, Resultados_Reales!$A$4:$I$107, 6, FALSE)=H787), Configuracion!$B$5, IF(SIGN(VLOOKUP(C787, Resultados_Reales!$A$4:$I$107, 5, FALSE)-VLOOKUP(C787, Resultados_Reales!$A$4:$I$107, 6, FALSE)) = SIGN(G787-H787), Configuracion!$B$4, 0)))</f>
        <v/>
      </c>
      <c r="L787" s="11" t="n"/>
      <c r="M787" s="11" t="n"/>
      <c r="N787" s="11" t="n"/>
      <c r="O787" s="11" t="n"/>
      <c r="P787" s="11" t="n"/>
      <c r="Q787" s="11" t="n"/>
    </row>
    <row r="788">
      <c r="A788" s="8">
        <f>B788&amp;"_"&amp;C788</f>
        <v/>
      </c>
      <c r="B788" s="8" t="n"/>
      <c r="C788" s="8" t="n"/>
      <c r="D788" s="8" t="n"/>
      <c r="E788" s="11" t="n"/>
      <c r="F788" s="11" t="n"/>
      <c r="G788" s="8" t="n"/>
      <c r="H788" s="8" t="n"/>
      <c r="I788" s="8" t="n"/>
      <c r="J788" s="8" t="n"/>
      <c r="K788" s="12">
        <f>IF(OR(ISERROR(VLOOKUP(C788, Resultados_Reales!$A$4:$I$107, 5, FALSE)), ISERROR(VLOOKUP(C788, Resultados_Reales!$A$4:$I$107, 6, FALSE)), VLOOKUP(C788, Resultados_Reales!$A$4:$I$107, 5, FALSE)="", VLOOKUP(C788, Resultados_Reales!$A$4:$I$107, 6, FALSE)=""), 0, IF(AND(VLOOKUP(C788, Resultados_Reales!$A$4:$I$107, 5, FALSE)=G788, VLOOKUP(C788, Resultados_Reales!$A$4:$I$107, 6, FALSE)=H788), Configuracion!$B$5, IF(SIGN(VLOOKUP(C788, Resultados_Reales!$A$4:$I$107, 5, FALSE)-VLOOKUP(C788, Resultados_Reales!$A$4:$I$107, 6, FALSE)) = SIGN(G788-H788), Configuracion!$B$4, 0)))</f>
        <v/>
      </c>
      <c r="L788" s="11" t="n"/>
      <c r="M788" s="11" t="n"/>
      <c r="N788" s="11" t="n"/>
      <c r="O788" s="11" t="n"/>
      <c r="P788" s="11" t="n"/>
      <c r="Q788" s="11" t="n"/>
    </row>
    <row r="789">
      <c r="A789" s="8">
        <f>B789&amp;"_"&amp;C789</f>
        <v/>
      </c>
      <c r="B789" s="8" t="n"/>
      <c r="C789" s="8" t="n"/>
      <c r="D789" s="8" t="n"/>
      <c r="E789" s="11" t="n"/>
      <c r="F789" s="11" t="n"/>
      <c r="G789" s="8" t="n"/>
      <c r="H789" s="8" t="n"/>
      <c r="I789" s="8" t="n"/>
      <c r="J789" s="8" t="n"/>
      <c r="K789" s="12">
        <f>IF(OR(ISERROR(VLOOKUP(C789, Resultados_Reales!$A$4:$I$107, 5, FALSE)), ISERROR(VLOOKUP(C789, Resultados_Reales!$A$4:$I$107, 6, FALSE)), VLOOKUP(C789, Resultados_Reales!$A$4:$I$107, 5, FALSE)="", VLOOKUP(C789, Resultados_Reales!$A$4:$I$107, 6, FALSE)=""), 0, IF(AND(VLOOKUP(C789, Resultados_Reales!$A$4:$I$107, 5, FALSE)=G789, VLOOKUP(C789, Resultados_Reales!$A$4:$I$107, 6, FALSE)=H789), Configuracion!$B$5, IF(SIGN(VLOOKUP(C789, Resultados_Reales!$A$4:$I$107, 5, FALSE)-VLOOKUP(C789, Resultados_Reales!$A$4:$I$107, 6, FALSE)) = SIGN(G789-H789), Configuracion!$B$4, 0)))</f>
        <v/>
      </c>
      <c r="L789" s="11" t="n"/>
      <c r="M789" s="11" t="n"/>
      <c r="N789" s="11" t="n"/>
      <c r="O789" s="11" t="n"/>
      <c r="P789" s="11" t="n"/>
      <c r="Q789" s="11" t="n"/>
    </row>
    <row r="790">
      <c r="A790" s="8">
        <f>B790&amp;"_"&amp;C790</f>
        <v/>
      </c>
      <c r="B790" s="8" t="n"/>
      <c r="C790" s="8" t="n"/>
      <c r="D790" s="8" t="n"/>
      <c r="E790" s="11" t="n"/>
      <c r="F790" s="11" t="n"/>
      <c r="G790" s="8" t="n"/>
      <c r="H790" s="8" t="n"/>
      <c r="I790" s="8" t="n"/>
      <c r="J790" s="8" t="n"/>
      <c r="K790" s="12">
        <f>IF(OR(ISERROR(VLOOKUP(C790, Resultados_Reales!$A$4:$I$107, 5, FALSE)), ISERROR(VLOOKUP(C790, Resultados_Reales!$A$4:$I$107, 6, FALSE)), VLOOKUP(C790, Resultados_Reales!$A$4:$I$107, 5, FALSE)="", VLOOKUP(C790, Resultados_Reales!$A$4:$I$107, 6, FALSE)=""), 0, IF(AND(VLOOKUP(C790, Resultados_Reales!$A$4:$I$107, 5, FALSE)=G790, VLOOKUP(C790, Resultados_Reales!$A$4:$I$107, 6, FALSE)=H790), Configuracion!$B$5, IF(SIGN(VLOOKUP(C790, Resultados_Reales!$A$4:$I$107, 5, FALSE)-VLOOKUP(C790, Resultados_Reales!$A$4:$I$107, 6, FALSE)) = SIGN(G790-H790), Configuracion!$B$4, 0)))</f>
        <v/>
      </c>
      <c r="L790" s="11" t="n"/>
      <c r="M790" s="11" t="n"/>
      <c r="N790" s="11" t="n"/>
      <c r="O790" s="11" t="n"/>
      <c r="P790" s="11" t="n"/>
      <c r="Q790" s="11" t="n"/>
    </row>
    <row r="791">
      <c r="A791" s="8">
        <f>B791&amp;"_"&amp;C791</f>
        <v/>
      </c>
      <c r="B791" s="8" t="n"/>
      <c r="C791" s="8" t="n"/>
      <c r="D791" s="8" t="n"/>
      <c r="E791" s="11" t="n"/>
      <c r="F791" s="11" t="n"/>
      <c r="G791" s="8" t="n"/>
      <c r="H791" s="8" t="n"/>
      <c r="I791" s="8" t="n"/>
      <c r="J791" s="8" t="n"/>
      <c r="K791" s="12">
        <f>IF(OR(ISERROR(VLOOKUP(C791, Resultados_Reales!$A$4:$I$107, 5, FALSE)), ISERROR(VLOOKUP(C791, Resultados_Reales!$A$4:$I$107, 6, FALSE)), VLOOKUP(C791, Resultados_Reales!$A$4:$I$107, 5, FALSE)="", VLOOKUP(C791, Resultados_Reales!$A$4:$I$107, 6, FALSE)=""), 0, IF(AND(VLOOKUP(C791, Resultados_Reales!$A$4:$I$107, 5, FALSE)=G791, VLOOKUP(C791, Resultados_Reales!$A$4:$I$107, 6, FALSE)=H791), Configuracion!$B$5, IF(SIGN(VLOOKUP(C791, Resultados_Reales!$A$4:$I$107, 5, FALSE)-VLOOKUP(C791, Resultados_Reales!$A$4:$I$107, 6, FALSE)) = SIGN(G791-H791), Configuracion!$B$4, 0)))</f>
        <v/>
      </c>
      <c r="L791" s="11" t="n"/>
      <c r="M791" s="11" t="n"/>
      <c r="N791" s="11" t="n"/>
      <c r="O791" s="11" t="n"/>
      <c r="P791" s="11" t="n"/>
      <c r="Q791" s="11" t="n"/>
    </row>
    <row r="792">
      <c r="A792" s="8">
        <f>B792&amp;"_"&amp;C792</f>
        <v/>
      </c>
      <c r="B792" s="8" t="n"/>
      <c r="C792" s="8" t="n"/>
      <c r="D792" s="8" t="n"/>
      <c r="E792" s="11" t="n"/>
      <c r="F792" s="11" t="n"/>
      <c r="G792" s="8" t="n"/>
      <c r="H792" s="8" t="n"/>
      <c r="I792" s="8" t="n"/>
      <c r="J792" s="8" t="n"/>
      <c r="K792" s="12">
        <f>IF(OR(ISERROR(VLOOKUP(C792, Resultados_Reales!$A$4:$I$107, 5, FALSE)), ISERROR(VLOOKUP(C792, Resultados_Reales!$A$4:$I$107, 6, FALSE)), VLOOKUP(C792, Resultados_Reales!$A$4:$I$107, 5, FALSE)="", VLOOKUP(C792, Resultados_Reales!$A$4:$I$107, 6, FALSE)=""), 0, IF(AND(VLOOKUP(C792, Resultados_Reales!$A$4:$I$107, 5, FALSE)=G792, VLOOKUP(C792, Resultados_Reales!$A$4:$I$107, 6, FALSE)=H792), Configuracion!$B$5, IF(SIGN(VLOOKUP(C792, Resultados_Reales!$A$4:$I$107, 5, FALSE)-VLOOKUP(C792, Resultados_Reales!$A$4:$I$107, 6, FALSE)) = SIGN(G792-H792), Configuracion!$B$4, 0)))</f>
        <v/>
      </c>
      <c r="L792" s="11" t="n"/>
      <c r="M792" s="11" t="n"/>
      <c r="N792" s="11" t="n"/>
      <c r="O792" s="11" t="n"/>
      <c r="P792" s="11" t="n"/>
      <c r="Q792" s="11" t="n"/>
    </row>
    <row r="793">
      <c r="A793" s="8">
        <f>B793&amp;"_"&amp;C793</f>
        <v/>
      </c>
      <c r="B793" s="8" t="n"/>
      <c r="C793" s="8" t="n"/>
      <c r="D793" s="8" t="n"/>
      <c r="E793" s="11" t="n"/>
      <c r="F793" s="11" t="n"/>
      <c r="G793" s="8" t="n"/>
      <c r="H793" s="8" t="n"/>
      <c r="I793" s="8" t="n"/>
      <c r="J793" s="8" t="n"/>
      <c r="K793" s="12">
        <f>IF(OR(ISERROR(VLOOKUP(C793, Resultados_Reales!$A$4:$I$107, 5, FALSE)), ISERROR(VLOOKUP(C793, Resultados_Reales!$A$4:$I$107, 6, FALSE)), VLOOKUP(C793, Resultados_Reales!$A$4:$I$107, 5, FALSE)="", VLOOKUP(C793, Resultados_Reales!$A$4:$I$107, 6, FALSE)=""), 0, IF(AND(VLOOKUP(C793, Resultados_Reales!$A$4:$I$107, 5, FALSE)=G793, VLOOKUP(C793, Resultados_Reales!$A$4:$I$107, 6, FALSE)=H793), Configuracion!$B$5, IF(SIGN(VLOOKUP(C793, Resultados_Reales!$A$4:$I$107, 5, FALSE)-VLOOKUP(C793, Resultados_Reales!$A$4:$I$107, 6, FALSE)) = SIGN(G793-H793), Configuracion!$B$4, 0)))</f>
        <v/>
      </c>
      <c r="L793" s="11" t="n"/>
      <c r="M793" s="11" t="n"/>
      <c r="N793" s="11" t="n"/>
      <c r="O793" s="11" t="n"/>
      <c r="P793" s="11" t="n"/>
      <c r="Q793" s="11" t="n"/>
    </row>
    <row r="794">
      <c r="A794" s="8">
        <f>B794&amp;"_"&amp;C794</f>
        <v/>
      </c>
      <c r="B794" s="8" t="n"/>
      <c r="C794" s="8" t="n"/>
      <c r="D794" s="8" t="n"/>
      <c r="E794" s="11" t="n"/>
      <c r="F794" s="11" t="n"/>
      <c r="G794" s="8" t="n"/>
      <c r="H794" s="8" t="n"/>
      <c r="I794" s="8" t="n"/>
      <c r="J794" s="8" t="n"/>
      <c r="K794" s="12">
        <f>IF(OR(ISERROR(VLOOKUP(C794, Resultados_Reales!$A$4:$I$107, 5, FALSE)), ISERROR(VLOOKUP(C794, Resultados_Reales!$A$4:$I$107, 6, FALSE)), VLOOKUP(C794, Resultados_Reales!$A$4:$I$107, 5, FALSE)="", VLOOKUP(C794, Resultados_Reales!$A$4:$I$107, 6, FALSE)=""), 0, IF(AND(VLOOKUP(C794, Resultados_Reales!$A$4:$I$107, 5, FALSE)=G794, VLOOKUP(C794, Resultados_Reales!$A$4:$I$107, 6, FALSE)=H794), Configuracion!$B$5, IF(SIGN(VLOOKUP(C794, Resultados_Reales!$A$4:$I$107, 5, FALSE)-VLOOKUP(C794, Resultados_Reales!$A$4:$I$107, 6, FALSE)) = SIGN(G794-H794), Configuracion!$B$4, 0)))</f>
        <v/>
      </c>
      <c r="L794" s="11" t="n"/>
      <c r="M794" s="11" t="n"/>
      <c r="N794" s="11" t="n"/>
      <c r="O794" s="11" t="n"/>
      <c r="P794" s="11" t="n"/>
      <c r="Q794" s="11" t="n"/>
    </row>
    <row r="795">
      <c r="A795" s="8">
        <f>B795&amp;"_"&amp;C795</f>
        <v/>
      </c>
      <c r="B795" s="8" t="n"/>
      <c r="C795" s="8" t="n"/>
      <c r="D795" s="8" t="n"/>
      <c r="E795" s="11" t="n"/>
      <c r="F795" s="11" t="n"/>
      <c r="G795" s="8" t="n"/>
      <c r="H795" s="8" t="n"/>
      <c r="I795" s="8" t="n"/>
      <c r="J795" s="8" t="n"/>
      <c r="K795" s="12">
        <f>IF(OR(ISERROR(VLOOKUP(C795, Resultados_Reales!$A$4:$I$107, 5, FALSE)), ISERROR(VLOOKUP(C795, Resultados_Reales!$A$4:$I$107, 6, FALSE)), VLOOKUP(C795, Resultados_Reales!$A$4:$I$107, 5, FALSE)="", VLOOKUP(C795, Resultados_Reales!$A$4:$I$107, 6, FALSE)=""), 0, IF(AND(VLOOKUP(C795, Resultados_Reales!$A$4:$I$107, 5, FALSE)=G795, VLOOKUP(C795, Resultados_Reales!$A$4:$I$107, 6, FALSE)=H795), Configuracion!$B$5, IF(SIGN(VLOOKUP(C795, Resultados_Reales!$A$4:$I$107, 5, FALSE)-VLOOKUP(C795, Resultados_Reales!$A$4:$I$107, 6, FALSE)) = SIGN(G795-H795), Configuracion!$B$4, 0)))</f>
        <v/>
      </c>
      <c r="L795" s="11" t="n"/>
      <c r="M795" s="11" t="n"/>
      <c r="N795" s="11" t="n"/>
      <c r="O795" s="11" t="n"/>
      <c r="P795" s="11" t="n"/>
      <c r="Q795" s="11" t="n"/>
    </row>
    <row r="796">
      <c r="A796" s="8">
        <f>B796&amp;"_"&amp;C796</f>
        <v/>
      </c>
      <c r="B796" s="8" t="n"/>
      <c r="C796" s="8" t="n"/>
      <c r="D796" s="8" t="n"/>
      <c r="E796" s="11" t="n"/>
      <c r="F796" s="11" t="n"/>
      <c r="G796" s="8" t="n"/>
      <c r="H796" s="8" t="n"/>
      <c r="I796" s="8" t="n"/>
      <c r="J796" s="8" t="n"/>
      <c r="K796" s="12">
        <f>IF(OR(ISERROR(VLOOKUP(C796, Resultados_Reales!$A$4:$I$107, 5, FALSE)), ISERROR(VLOOKUP(C796, Resultados_Reales!$A$4:$I$107, 6, FALSE)), VLOOKUP(C796, Resultados_Reales!$A$4:$I$107, 5, FALSE)="", VLOOKUP(C796, Resultados_Reales!$A$4:$I$107, 6, FALSE)=""), 0, IF(AND(VLOOKUP(C796, Resultados_Reales!$A$4:$I$107, 5, FALSE)=G796, VLOOKUP(C796, Resultados_Reales!$A$4:$I$107, 6, FALSE)=H796), Configuracion!$B$5, IF(SIGN(VLOOKUP(C796, Resultados_Reales!$A$4:$I$107, 5, FALSE)-VLOOKUP(C796, Resultados_Reales!$A$4:$I$107, 6, FALSE)) = SIGN(G796-H796), Configuracion!$B$4, 0)))</f>
        <v/>
      </c>
      <c r="L796" s="11" t="n"/>
      <c r="M796" s="11" t="n"/>
      <c r="N796" s="11" t="n"/>
      <c r="O796" s="11" t="n"/>
      <c r="P796" s="11" t="n"/>
      <c r="Q796" s="11" t="n"/>
    </row>
    <row r="797">
      <c r="A797" s="8">
        <f>B797&amp;"_"&amp;C797</f>
        <v/>
      </c>
      <c r="B797" s="8" t="n"/>
      <c r="C797" s="8" t="n"/>
      <c r="D797" s="8" t="n"/>
      <c r="E797" s="11" t="n"/>
      <c r="F797" s="11" t="n"/>
      <c r="G797" s="8" t="n"/>
      <c r="H797" s="8" t="n"/>
      <c r="I797" s="8" t="n"/>
      <c r="J797" s="8" t="n"/>
      <c r="K797" s="12">
        <f>IF(OR(ISERROR(VLOOKUP(C797, Resultados_Reales!$A$4:$I$107, 5, FALSE)), ISERROR(VLOOKUP(C797, Resultados_Reales!$A$4:$I$107, 6, FALSE)), VLOOKUP(C797, Resultados_Reales!$A$4:$I$107, 5, FALSE)="", VLOOKUP(C797, Resultados_Reales!$A$4:$I$107, 6, FALSE)=""), 0, IF(AND(VLOOKUP(C797, Resultados_Reales!$A$4:$I$107, 5, FALSE)=G797, VLOOKUP(C797, Resultados_Reales!$A$4:$I$107, 6, FALSE)=H797), Configuracion!$B$5, IF(SIGN(VLOOKUP(C797, Resultados_Reales!$A$4:$I$107, 5, FALSE)-VLOOKUP(C797, Resultados_Reales!$A$4:$I$107, 6, FALSE)) = SIGN(G797-H797), Configuracion!$B$4, 0)))</f>
        <v/>
      </c>
      <c r="L797" s="11" t="n"/>
      <c r="M797" s="11" t="n"/>
      <c r="N797" s="11" t="n"/>
      <c r="O797" s="11" t="n"/>
      <c r="P797" s="11" t="n"/>
      <c r="Q797" s="11" t="n"/>
    </row>
    <row r="798">
      <c r="A798" s="8">
        <f>B798&amp;"_"&amp;C798</f>
        <v/>
      </c>
      <c r="B798" s="8" t="n"/>
      <c r="C798" s="8" t="n"/>
      <c r="D798" s="8" t="n"/>
      <c r="E798" s="11" t="n"/>
      <c r="F798" s="11" t="n"/>
      <c r="G798" s="8" t="n"/>
      <c r="H798" s="8" t="n"/>
      <c r="I798" s="8" t="n"/>
      <c r="J798" s="8" t="n"/>
      <c r="K798" s="12">
        <f>IF(OR(ISERROR(VLOOKUP(C798, Resultados_Reales!$A$4:$I$107, 5, FALSE)), ISERROR(VLOOKUP(C798, Resultados_Reales!$A$4:$I$107, 6, FALSE)), VLOOKUP(C798, Resultados_Reales!$A$4:$I$107, 5, FALSE)="", VLOOKUP(C798, Resultados_Reales!$A$4:$I$107, 6, FALSE)=""), 0, IF(AND(VLOOKUP(C798, Resultados_Reales!$A$4:$I$107, 5, FALSE)=G798, VLOOKUP(C798, Resultados_Reales!$A$4:$I$107, 6, FALSE)=H798), Configuracion!$B$5, IF(SIGN(VLOOKUP(C798, Resultados_Reales!$A$4:$I$107, 5, FALSE)-VLOOKUP(C798, Resultados_Reales!$A$4:$I$107, 6, FALSE)) = SIGN(G798-H798), Configuracion!$B$4, 0)))</f>
        <v/>
      </c>
      <c r="L798" s="11" t="n"/>
      <c r="M798" s="11" t="n"/>
      <c r="N798" s="11" t="n"/>
      <c r="O798" s="11" t="n"/>
      <c r="P798" s="11" t="n"/>
      <c r="Q798" s="11" t="n"/>
    </row>
    <row r="799">
      <c r="A799" s="8">
        <f>B799&amp;"_"&amp;C799</f>
        <v/>
      </c>
      <c r="B799" s="8" t="n"/>
      <c r="C799" s="8" t="n"/>
      <c r="D799" s="8" t="n"/>
      <c r="E799" s="11" t="n"/>
      <c r="F799" s="11" t="n"/>
      <c r="G799" s="8" t="n"/>
      <c r="H799" s="8" t="n"/>
      <c r="I799" s="8" t="n"/>
      <c r="J799" s="8" t="n"/>
      <c r="K799" s="12">
        <f>IF(OR(ISERROR(VLOOKUP(C799, Resultados_Reales!$A$4:$I$107, 5, FALSE)), ISERROR(VLOOKUP(C799, Resultados_Reales!$A$4:$I$107, 6, FALSE)), VLOOKUP(C799, Resultados_Reales!$A$4:$I$107, 5, FALSE)="", VLOOKUP(C799, Resultados_Reales!$A$4:$I$107, 6, FALSE)=""), 0, IF(AND(VLOOKUP(C799, Resultados_Reales!$A$4:$I$107, 5, FALSE)=G799, VLOOKUP(C799, Resultados_Reales!$A$4:$I$107, 6, FALSE)=H799), Configuracion!$B$5, IF(SIGN(VLOOKUP(C799, Resultados_Reales!$A$4:$I$107, 5, FALSE)-VLOOKUP(C799, Resultados_Reales!$A$4:$I$107, 6, FALSE)) = SIGN(G799-H799), Configuracion!$B$4, 0)))</f>
        <v/>
      </c>
      <c r="L799" s="11" t="n"/>
      <c r="M799" s="11" t="n"/>
      <c r="N799" s="11" t="n"/>
      <c r="O799" s="11" t="n"/>
      <c r="P799" s="11" t="n"/>
      <c r="Q799" s="11" t="n"/>
    </row>
    <row r="800">
      <c r="A800" s="8">
        <f>B800&amp;"_"&amp;C800</f>
        <v/>
      </c>
      <c r="B800" s="8" t="n"/>
      <c r="C800" s="8" t="n"/>
      <c r="D800" s="8" t="n"/>
      <c r="E800" s="11" t="n"/>
      <c r="F800" s="11" t="n"/>
      <c r="G800" s="8" t="n"/>
      <c r="H800" s="8" t="n"/>
      <c r="I800" s="8" t="n"/>
      <c r="J800" s="8" t="n"/>
      <c r="K800" s="12">
        <f>IF(OR(ISERROR(VLOOKUP(C800, Resultados_Reales!$A$4:$I$107, 5, FALSE)), ISERROR(VLOOKUP(C800, Resultados_Reales!$A$4:$I$107, 6, FALSE)), VLOOKUP(C800, Resultados_Reales!$A$4:$I$107, 5, FALSE)="", VLOOKUP(C800, Resultados_Reales!$A$4:$I$107, 6, FALSE)=""), 0, IF(AND(VLOOKUP(C800, Resultados_Reales!$A$4:$I$107, 5, FALSE)=G800, VLOOKUP(C800, Resultados_Reales!$A$4:$I$107, 6, FALSE)=H800), Configuracion!$B$5, IF(SIGN(VLOOKUP(C800, Resultados_Reales!$A$4:$I$107, 5, FALSE)-VLOOKUP(C800, Resultados_Reales!$A$4:$I$107, 6, FALSE)) = SIGN(G800-H800), Configuracion!$B$4, 0)))</f>
        <v/>
      </c>
      <c r="L800" s="11" t="n"/>
      <c r="M800" s="11" t="n"/>
      <c r="N800" s="11" t="n"/>
      <c r="O800" s="11" t="n"/>
      <c r="P800" s="11" t="n"/>
      <c r="Q800" s="11" t="n"/>
    </row>
    <row r="801">
      <c r="A801" s="8">
        <f>B801&amp;"_"&amp;C801</f>
        <v/>
      </c>
      <c r="B801" s="8" t="n"/>
      <c r="C801" s="8" t="n"/>
      <c r="D801" s="8" t="n"/>
      <c r="E801" s="11" t="n"/>
      <c r="F801" s="11" t="n"/>
      <c r="G801" s="8" t="n"/>
      <c r="H801" s="8" t="n"/>
      <c r="I801" s="8" t="n"/>
      <c r="J801" s="8" t="n"/>
      <c r="K801" s="12">
        <f>IF(OR(ISERROR(VLOOKUP(C801, Resultados_Reales!$A$4:$I$107, 5, FALSE)), ISERROR(VLOOKUP(C801, Resultados_Reales!$A$4:$I$107, 6, FALSE)), VLOOKUP(C801, Resultados_Reales!$A$4:$I$107, 5, FALSE)="", VLOOKUP(C801, Resultados_Reales!$A$4:$I$107, 6, FALSE)=""), 0, IF(AND(VLOOKUP(C801, Resultados_Reales!$A$4:$I$107, 5, FALSE)=G801, VLOOKUP(C801, Resultados_Reales!$A$4:$I$107, 6, FALSE)=H801), Configuracion!$B$5, IF(SIGN(VLOOKUP(C801, Resultados_Reales!$A$4:$I$107, 5, FALSE)-VLOOKUP(C801, Resultados_Reales!$A$4:$I$107, 6, FALSE)) = SIGN(G801-H801), Configuracion!$B$4, 0)))</f>
        <v/>
      </c>
      <c r="L801" s="11" t="n"/>
      <c r="M801" s="11" t="n"/>
      <c r="N801" s="11" t="n"/>
      <c r="O801" s="11" t="n"/>
      <c r="P801" s="11" t="n"/>
      <c r="Q801" s="11" t="n"/>
    </row>
    <row r="802">
      <c r="A802" s="8">
        <f>B802&amp;"_"&amp;C802</f>
        <v/>
      </c>
      <c r="B802" s="8" t="n"/>
      <c r="C802" s="8" t="n"/>
      <c r="D802" s="8" t="n"/>
      <c r="E802" s="11" t="n"/>
      <c r="F802" s="11" t="n"/>
      <c r="G802" s="8" t="n"/>
      <c r="H802" s="8" t="n"/>
      <c r="I802" s="8" t="n"/>
      <c r="J802" s="8" t="n"/>
      <c r="K802" s="12">
        <f>IF(OR(ISERROR(VLOOKUP(C802, Resultados_Reales!$A$4:$I$107, 5, FALSE)), ISERROR(VLOOKUP(C802, Resultados_Reales!$A$4:$I$107, 6, FALSE)), VLOOKUP(C802, Resultados_Reales!$A$4:$I$107, 5, FALSE)="", VLOOKUP(C802, Resultados_Reales!$A$4:$I$107, 6, FALSE)=""), 0, IF(AND(VLOOKUP(C802, Resultados_Reales!$A$4:$I$107, 5, FALSE)=G802, VLOOKUP(C802, Resultados_Reales!$A$4:$I$107, 6, FALSE)=H802), Configuracion!$B$5, IF(SIGN(VLOOKUP(C802, Resultados_Reales!$A$4:$I$107, 5, FALSE)-VLOOKUP(C802, Resultados_Reales!$A$4:$I$107, 6, FALSE)) = SIGN(G802-H802), Configuracion!$B$4, 0)))</f>
        <v/>
      </c>
      <c r="L802" s="11" t="n"/>
      <c r="M802" s="11" t="n"/>
      <c r="N802" s="11" t="n"/>
      <c r="O802" s="11" t="n"/>
      <c r="P802" s="11" t="n"/>
      <c r="Q802" s="11" t="n"/>
    </row>
    <row r="803">
      <c r="A803" s="8">
        <f>B803&amp;"_"&amp;C803</f>
        <v/>
      </c>
      <c r="B803" s="8" t="n"/>
      <c r="C803" s="8" t="n"/>
      <c r="D803" s="8" t="n"/>
      <c r="E803" s="11" t="n"/>
      <c r="F803" s="11" t="n"/>
      <c r="G803" s="8" t="n"/>
      <c r="H803" s="8" t="n"/>
      <c r="I803" s="8" t="n"/>
      <c r="J803" s="8" t="n"/>
      <c r="K803" s="12">
        <f>IF(OR(ISERROR(VLOOKUP(C803, Resultados_Reales!$A$4:$I$107, 5, FALSE)), ISERROR(VLOOKUP(C803, Resultados_Reales!$A$4:$I$107, 6, FALSE)), VLOOKUP(C803, Resultados_Reales!$A$4:$I$107, 5, FALSE)="", VLOOKUP(C803, Resultados_Reales!$A$4:$I$107, 6, FALSE)=""), 0, IF(AND(VLOOKUP(C803, Resultados_Reales!$A$4:$I$107, 5, FALSE)=G803, VLOOKUP(C803, Resultados_Reales!$A$4:$I$107, 6, FALSE)=H803), Configuracion!$B$5, IF(SIGN(VLOOKUP(C803, Resultados_Reales!$A$4:$I$107, 5, FALSE)-VLOOKUP(C803, Resultados_Reales!$A$4:$I$107, 6, FALSE)) = SIGN(G803-H803), Configuracion!$B$4, 0)))</f>
        <v/>
      </c>
      <c r="L803" s="11" t="n"/>
      <c r="M803" s="11" t="n"/>
      <c r="N803" s="11" t="n"/>
      <c r="O803" s="11" t="n"/>
      <c r="P803" s="11" t="n"/>
      <c r="Q803" s="11" t="n"/>
    </row>
    <row r="804">
      <c r="A804" s="8">
        <f>B804&amp;"_"&amp;C804</f>
        <v/>
      </c>
      <c r="B804" s="8" t="n"/>
      <c r="C804" s="8" t="n"/>
      <c r="D804" s="8" t="n"/>
      <c r="E804" s="11" t="n"/>
      <c r="F804" s="11" t="n"/>
      <c r="G804" s="8" t="n"/>
      <c r="H804" s="8" t="n"/>
      <c r="I804" s="8" t="n"/>
      <c r="J804" s="8" t="n"/>
      <c r="K804" s="12">
        <f>IF(OR(ISERROR(VLOOKUP(C804, Resultados_Reales!$A$4:$I$107, 5, FALSE)), ISERROR(VLOOKUP(C804, Resultados_Reales!$A$4:$I$107, 6, FALSE)), VLOOKUP(C804, Resultados_Reales!$A$4:$I$107, 5, FALSE)="", VLOOKUP(C804, Resultados_Reales!$A$4:$I$107, 6, FALSE)=""), 0, IF(AND(VLOOKUP(C804, Resultados_Reales!$A$4:$I$107, 5, FALSE)=G804, VLOOKUP(C804, Resultados_Reales!$A$4:$I$107, 6, FALSE)=H804), Configuracion!$B$5, IF(SIGN(VLOOKUP(C804, Resultados_Reales!$A$4:$I$107, 5, FALSE)-VLOOKUP(C804, Resultados_Reales!$A$4:$I$107, 6, FALSE)) = SIGN(G804-H804), Configuracion!$B$4, 0)))</f>
        <v/>
      </c>
      <c r="L804" s="11" t="n"/>
      <c r="M804" s="11" t="n"/>
      <c r="N804" s="11" t="n"/>
      <c r="O804" s="11" t="n"/>
      <c r="P804" s="11" t="n"/>
      <c r="Q804" s="11" t="n"/>
    </row>
    <row r="805">
      <c r="A805" s="8">
        <f>B805&amp;"_"&amp;C805</f>
        <v/>
      </c>
      <c r="B805" s="8" t="n"/>
      <c r="C805" s="8" t="n"/>
      <c r="D805" s="8" t="n"/>
      <c r="E805" s="11" t="n"/>
      <c r="F805" s="11" t="n"/>
      <c r="G805" s="8" t="n"/>
      <c r="H805" s="8" t="n"/>
      <c r="I805" s="8" t="n"/>
      <c r="J805" s="8" t="n"/>
      <c r="K805" s="12">
        <f>IF(OR(ISERROR(VLOOKUP(C805, Resultados_Reales!$A$4:$I$107, 5, FALSE)), ISERROR(VLOOKUP(C805, Resultados_Reales!$A$4:$I$107, 6, FALSE)), VLOOKUP(C805, Resultados_Reales!$A$4:$I$107, 5, FALSE)="", VLOOKUP(C805, Resultados_Reales!$A$4:$I$107, 6, FALSE)=""), 0, IF(AND(VLOOKUP(C805, Resultados_Reales!$A$4:$I$107, 5, FALSE)=G805, VLOOKUP(C805, Resultados_Reales!$A$4:$I$107, 6, FALSE)=H805), Configuracion!$B$5, IF(SIGN(VLOOKUP(C805, Resultados_Reales!$A$4:$I$107, 5, FALSE)-VLOOKUP(C805, Resultados_Reales!$A$4:$I$107, 6, FALSE)) = SIGN(G805-H805), Configuracion!$B$4, 0)))</f>
        <v/>
      </c>
      <c r="L805" s="11" t="n"/>
      <c r="M805" s="11" t="n"/>
      <c r="N805" s="11" t="n"/>
      <c r="O805" s="11" t="n"/>
      <c r="P805" s="11" t="n"/>
      <c r="Q805" s="11" t="n"/>
    </row>
    <row r="806">
      <c r="A806" s="8">
        <f>B806&amp;"_"&amp;C806</f>
        <v/>
      </c>
      <c r="B806" s="8" t="n"/>
      <c r="C806" s="8" t="n"/>
      <c r="D806" s="8" t="n"/>
      <c r="E806" s="11" t="n"/>
      <c r="F806" s="11" t="n"/>
      <c r="G806" s="8" t="n"/>
      <c r="H806" s="8" t="n"/>
      <c r="I806" s="8" t="n"/>
      <c r="J806" s="8" t="n"/>
      <c r="K806" s="12">
        <f>IF(OR(ISERROR(VLOOKUP(C806, Resultados_Reales!$A$4:$I$107, 5, FALSE)), ISERROR(VLOOKUP(C806, Resultados_Reales!$A$4:$I$107, 6, FALSE)), VLOOKUP(C806, Resultados_Reales!$A$4:$I$107, 5, FALSE)="", VLOOKUP(C806, Resultados_Reales!$A$4:$I$107, 6, FALSE)=""), 0, IF(AND(VLOOKUP(C806, Resultados_Reales!$A$4:$I$107, 5, FALSE)=G806, VLOOKUP(C806, Resultados_Reales!$A$4:$I$107, 6, FALSE)=H806), Configuracion!$B$5, IF(SIGN(VLOOKUP(C806, Resultados_Reales!$A$4:$I$107, 5, FALSE)-VLOOKUP(C806, Resultados_Reales!$A$4:$I$107, 6, FALSE)) = SIGN(G806-H806), Configuracion!$B$4, 0)))</f>
        <v/>
      </c>
      <c r="L806" s="11" t="n"/>
      <c r="M806" s="11" t="n"/>
      <c r="N806" s="11" t="n"/>
      <c r="O806" s="11" t="n"/>
      <c r="P806" s="11" t="n"/>
      <c r="Q806" s="11" t="n"/>
    </row>
    <row r="807">
      <c r="A807" s="8">
        <f>B807&amp;"_"&amp;C807</f>
        <v/>
      </c>
      <c r="B807" s="8" t="n"/>
      <c r="C807" s="8" t="n"/>
      <c r="D807" s="8" t="n"/>
      <c r="E807" s="11" t="n"/>
      <c r="F807" s="11" t="n"/>
      <c r="G807" s="8" t="n"/>
      <c r="H807" s="8" t="n"/>
      <c r="I807" s="8" t="n"/>
      <c r="J807" s="8" t="n"/>
      <c r="K807" s="12">
        <f>IF(OR(ISERROR(VLOOKUP(C807, Resultados_Reales!$A$4:$I$107, 5, FALSE)), ISERROR(VLOOKUP(C807, Resultados_Reales!$A$4:$I$107, 6, FALSE)), VLOOKUP(C807, Resultados_Reales!$A$4:$I$107, 5, FALSE)="", VLOOKUP(C807, Resultados_Reales!$A$4:$I$107, 6, FALSE)=""), 0, IF(AND(VLOOKUP(C807, Resultados_Reales!$A$4:$I$107, 5, FALSE)=G807, VLOOKUP(C807, Resultados_Reales!$A$4:$I$107, 6, FALSE)=H807), Configuracion!$B$5, IF(SIGN(VLOOKUP(C807, Resultados_Reales!$A$4:$I$107, 5, FALSE)-VLOOKUP(C807, Resultados_Reales!$A$4:$I$107, 6, FALSE)) = SIGN(G807-H807), Configuracion!$B$4, 0)))</f>
        <v/>
      </c>
      <c r="L807" s="11" t="n"/>
      <c r="M807" s="11" t="n"/>
      <c r="N807" s="11" t="n"/>
      <c r="O807" s="11" t="n"/>
      <c r="P807" s="11" t="n"/>
      <c r="Q807" s="11" t="n"/>
    </row>
    <row r="808">
      <c r="A808" s="8">
        <f>B808&amp;"_"&amp;C808</f>
        <v/>
      </c>
      <c r="B808" s="8" t="n"/>
      <c r="C808" s="8" t="n"/>
      <c r="D808" s="8" t="n"/>
      <c r="E808" s="11" t="n"/>
      <c r="F808" s="11" t="n"/>
      <c r="G808" s="8" t="n"/>
      <c r="H808" s="8" t="n"/>
      <c r="I808" s="8" t="n"/>
      <c r="J808" s="8" t="n"/>
      <c r="K808" s="12">
        <f>IF(OR(ISERROR(VLOOKUP(C808, Resultados_Reales!$A$4:$I$107, 5, FALSE)), ISERROR(VLOOKUP(C808, Resultados_Reales!$A$4:$I$107, 6, FALSE)), VLOOKUP(C808, Resultados_Reales!$A$4:$I$107, 5, FALSE)="", VLOOKUP(C808, Resultados_Reales!$A$4:$I$107, 6, FALSE)=""), 0, IF(AND(VLOOKUP(C808, Resultados_Reales!$A$4:$I$107, 5, FALSE)=G808, VLOOKUP(C808, Resultados_Reales!$A$4:$I$107, 6, FALSE)=H808), Configuracion!$B$5, IF(SIGN(VLOOKUP(C808, Resultados_Reales!$A$4:$I$107, 5, FALSE)-VLOOKUP(C808, Resultados_Reales!$A$4:$I$107, 6, FALSE)) = SIGN(G808-H808), Configuracion!$B$4, 0)))</f>
        <v/>
      </c>
      <c r="L808" s="11" t="n"/>
      <c r="M808" s="11" t="n"/>
      <c r="N808" s="11" t="n"/>
      <c r="O808" s="11" t="n"/>
      <c r="P808" s="11" t="n"/>
      <c r="Q808" s="11" t="n"/>
    </row>
    <row r="809">
      <c r="A809" s="8">
        <f>B809&amp;"_"&amp;C809</f>
        <v/>
      </c>
      <c r="B809" s="8" t="n"/>
      <c r="C809" s="8" t="n"/>
      <c r="D809" s="8" t="n"/>
      <c r="E809" s="11" t="n"/>
      <c r="F809" s="11" t="n"/>
      <c r="G809" s="8" t="n"/>
      <c r="H809" s="8" t="n"/>
      <c r="I809" s="8" t="n"/>
      <c r="J809" s="8" t="n"/>
      <c r="K809" s="12">
        <f>IF(OR(ISERROR(VLOOKUP(C809, Resultados_Reales!$A$4:$I$107, 5, FALSE)), ISERROR(VLOOKUP(C809, Resultados_Reales!$A$4:$I$107, 6, FALSE)), VLOOKUP(C809, Resultados_Reales!$A$4:$I$107, 5, FALSE)="", VLOOKUP(C809, Resultados_Reales!$A$4:$I$107, 6, FALSE)=""), 0, IF(AND(VLOOKUP(C809, Resultados_Reales!$A$4:$I$107, 5, FALSE)=G809, VLOOKUP(C809, Resultados_Reales!$A$4:$I$107, 6, FALSE)=H809), Configuracion!$B$5, IF(SIGN(VLOOKUP(C809, Resultados_Reales!$A$4:$I$107, 5, FALSE)-VLOOKUP(C809, Resultados_Reales!$A$4:$I$107, 6, FALSE)) = SIGN(G809-H809), Configuracion!$B$4, 0)))</f>
        <v/>
      </c>
      <c r="L809" s="11" t="n"/>
      <c r="M809" s="11" t="n"/>
      <c r="N809" s="11" t="n"/>
      <c r="O809" s="11" t="n"/>
      <c r="P809" s="11" t="n"/>
      <c r="Q809" s="11" t="n"/>
    </row>
    <row r="810">
      <c r="A810" s="8">
        <f>B810&amp;"_"&amp;C810</f>
        <v/>
      </c>
      <c r="B810" s="8" t="n"/>
      <c r="C810" s="8" t="n"/>
      <c r="D810" s="8" t="n"/>
      <c r="E810" s="11" t="n"/>
      <c r="F810" s="11" t="n"/>
      <c r="G810" s="8" t="n"/>
      <c r="H810" s="8" t="n"/>
      <c r="I810" s="8" t="n"/>
      <c r="J810" s="8" t="n"/>
      <c r="K810" s="12">
        <f>IF(OR(ISERROR(VLOOKUP(C810, Resultados_Reales!$A$4:$I$107, 5, FALSE)), ISERROR(VLOOKUP(C810, Resultados_Reales!$A$4:$I$107, 6, FALSE)), VLOOKUP(C810, Resultados_Reales!$A$4:$I$107, 5, FALSE)="", VLOOKUP(C810, Resultados_Reales!$A$4:$I$107, 6, FALSE)=""), 0, IF(AND(VLOOKUP(C810, Resultados_Reales!$A$4:$I$107, 5, FALSE)=G810, VLOOKUP(C810, Resultados_Reales!$A$4:$I$107, 6, FALSE)=H810), Configuracion!$B$5, IF(SIGN(VLOOKUP(C810, Resultados_Reales!$A$4:$I$107, 5, FALSE)-VLOOKUP(C810, Resultados_Reales!$A$4:$I$107, 6, FALSE)) = SIGN(G810-H810), Configuracion!$B$4, 0)))</f>
        <v/>
      </c>
      <c r="L810" s="11" t="n"/>
      <c r="M810" s="11" t="n"/>
      <c r="N810" s="11" t="n"/>
      <c r="O810" s="11" t="n"/>
      <c r="P810" s="11" t="n"/>
      <c r="Q810" s="11" t="n"/>
    </row>
    <row r="811">
      <c r="A811" s="8">
        <f>B811&amp;"_"&amp;C811</f>
        <v/>
      </c>
      <c r="B811" s="8" t="n"/>
      <c r="C811" s="8" t="n"/>
      <c r="D811" s="8" t="n"/>
      <c r="E811" s="11" t="n"/>
      <c r="F811" s="11" t="n"/>
      <c r="G811" s="8" t="n"/>
      <c r="H811" s="8" t="n"/>
      <c r="I811" s="8" t="n"/>
      <c r="J811" s="8" t="n"/>
      <c r="K811" s="12">
        <f>IF(OR(ISERROR(VLOOKUP(C811, Resultados_Reales!$A$4:$I$107, 5, FALSE)), ISERROR(VLOOKUP(C811, Resultados_Reales!$A$4:$I$107, 6, FALSE)), VLOOKUP(C811, Resultados_Reales!$A$4:$I$107, 5, FALSE)="", VLOOKUP(C811, Resultados_Reales!$A$4:$I$107, 6, FALSE)=""), 0, IF(AND(VLOOKUP(C811, Resultados_Reales!$A$4:$I$107, 5, FALSE)=G811, VLOOKUP(C811, Resultados_Reales!$A$4:$I$107, 6, FALSE)=H811), Configuracion!$B$5, IF(SIGN(VLOOKUP(C811, Resultados_Reales!$A$4:$I$107, 5, FALSE)-VLOOKUP(C811, Resultados_Reales!$A$4:$I$107, 6, FALSE)) = SIGN(G811-H811), Configuracion!$B$4, 0)))</f>
        <v/>
      </c>
      <c r="L811" s="11" t="n"/>
      <c r="M811" s="11" t="n"/>
      <c r="N811" s="11" t="n"/>
      <c r="O811" s="11" t="n"/>
      <c r="P811" s="11" t="n"/>
      <c r="Q811" s="11" t="n"/>
    </row>
    <row r="812">
      <c r="A812" s="8">
        <f>B812&amp;"_"&amp;C812</f>
        <v/>
      </c>
      <c r="B812" s="8" t="n"/>
      <c r="C812" s="8" t="n"/>
      <c r="D812" s="8" t="n"/>
      <c r="E812" s="11" t="n"/>
      <c r="F812" s="11" t="n"/>
      <c r="G812" s="8" t="n"/>
      <c r="H812" s="8" t="n"/>
      <c r="I812" s="8" t="n"/>
      <c r="J812" s="8" t="n"/>
      <c r="K812" s="12">
        <f>IF(OR(ISERROR(VLOOKUP(C812, Resultados_Reales!$A$4:$I$107, 5, FALSE)), ISERROR(VLOOKUP(C812, Resultados_Reales!$A$4:$I$107, 6, FALSE)), VLOOKUP(C812, Resultados_Reales!$A$4:$I$107, 5, FALSE)="", VLOOKUP(C812, Resultados_Reales!$A$4:$I$107, 6, FALSE)=""), 0, IF(AND(VLOOKUP(C812, Resultados_Reales!$A$4:$I$107, 5, FALSE)=G812, VLOOKUP(C812, Resultados_Reales!$A$4:$I$107, 6, FALSE)=H812), Configuracion!$B$5, IF(SIGN(VLOOKUP(C812, Resultados_Reales!$A$4:$I$107, 5, FALSE)-VLOOKUP(C812, Resultados_Reales!$A$4:$I$107, 6, FALSE)) = SIGN(G812-H812), Configuracion!$B$4, 0)))</f>
        <v/>
      </c>
      <c r="L812" s="11" t="n"/>
      <c r="M812" s="11" t="n"/>
      <c r="N812" s="11" t="n"/>
      <c r="O812" s="11" t="n"/>
      <c r="P812" s="11" t="n"/>
      <c r="Q812" s="11" t="n"/>
    </row>
    <row r="813">
      <c r="A813" s="8">
        <f>B813&amp;"_"&amp;C813</f>
        <v/>
      </c>
      <c r="B813" s="8" t="n"/>
      <c r="C813" s="8" t="n"/>
      <c r="D813" s="8" t="n"/>
      <c r="E813" s="11" t="n"/>
      <c r="F813" s="11" t="n"/>
      <c r="G813" s="8" t="n"/>
      <c r="H813" s="8" t="n"/>
      <c r="I813" s="8" t="n"/>
      <c r="J813" s="8" t="n"/>
      <c r="K813" s="12">
        <f>IF(OR(ISERROR(VLOOKUP(C813, Resultados_Reales!$A$4:$I$107, 5, FALSE)), ISERROR(VLOOKUP(C813, Resultados_Reales!$A$4:$I$107, 6, FALSE)), VLOOKUP(C813, Resultados_Reales!$A$4:$I$107, 5, FALSE)="", VLOOKUP(C813, Resultados_Reales!$A$4:$I$107, 6, FALSE)=""), 0, IF(AND(VLOOKUP(C813, Resultados_Reales!$A$4:$I$107, 5, FALSE)=G813, VLOOKUP(C813, Resultados_Reales!$A$4:$I$107, 6, FALSE)=H813), Configuracion!$B$5, IF(SIGN(VLOOKUP(C813, Resultados_Reales!$A$4:$I$107, 5, FALSE)-VLOOKUP(C813, Resultados_Reales!$A$4:$I$107, 6, FALSE)) = SIGN(G813-H813), Configuracion!$B$4, 0)))</f>
        <v/>
      </c>
      <c r="L813" s="11" t="n"/>
      <c r="M813" s="11" t="n"/>
      <c r="N813" s="11" t="n"/>
      <c r="O813" s="11" t="n"/>
      <c r="P813" s="11" t="n"/>
      <c r="Q813" s="11" t="n"/>
    </row>
    <row r="814">
      <c r="A814" s="8">
        <f>B814&amp;"_"&amp;C814</f>
        <v/>
      </c>
      <c r="B814" s="8" t="n"/>
      <c r="C814" s="8" t="n"/>
      <c r="D814" s="8" t="n"/>
      <c r="E814" s="11" t="n"/>
      <c r="F814" s="11" t="n"/>
      <c r="G814" s="8" t="n"/>
      <c r="H814" s="8" t="n"/>
      <c r="I814" s="8" t="n"/>
      <c r="J814" s="8" t="n"/>
      <c r="K814" s="12">
        <f>IF(OR(ISERROR(VLOOKUP(C814, Resultados_Reales!$A$4:$I$107, 5, FALSE)), ISERROR(VLOOKUP(C814, Resultados_Reales!$A$4:$I$107, 6, FALSE)), VLOOKUP(C814, Resultados_Reales!$A$4:$I$107, 5, FALSE)="", VLOOKUP(C814, Resultados_Reales!$A$4:$I$107, 6, FALSE)=""), 0, IF(AND(VLOOKUP(C814, Resultados_Reales!$A$4:$I$107, 5, FALSE)=G814, VLOOKUP(C814, Resultados_Reales!$A$4:$I$107, 6, FALSE)=H814), Configuracion!$B$5, IF(SIGN(VLOOKUP(C814, Resultados_Reales!$A$4:$I$107, 5, FALSE)-VLOOKUP(C814, Resultados_Reales!$A$4:$I$107, 6, FALSE)) = SIGN(G814-H814), Configuracion!$B$4, 0)))</f>
        <v/>
      </c>
      <c r="L814" s="11" t="n"/>
      <c r="M814" s="11" t="n"/>
      <c r="N814" s="11" t="n"/>
      <c r="O814" s="11" t="n"/>
      <c r="P814" s="11" t="n"/>
      <c r="Q814" s="11" t="n"/>
    </row>
    <row r="815">
      <c r="A815" s="8">
        <f>B815&amp;"_"&amp;C815</f>
        <v/>
      </c>
      <c r="B815" s="8" t="n"/>
      <c r="C815" s="8" t="n"/>
      <c r="D815" s="8" t="n"/>
      <c r="E815" s="11" t="n"/>
      <c r="F815" s="11" t="n"/>
      <c r="G815" s="8" t="n"/>
      <c r="H815" s="8" t="n"/>
      <c r="I815" s="8" t="n"/>
      <c r="J815" s="8" t="n"/>
      <c r="K815" s="12">
        <f>IF(OR(ISERROR(VLOOKUP(C815, Resultados_Reales!$A$4:$I$107, 5, FALSE)), ISERROR(VLOOKUP(C815, Resultados_Reales!$A$4:$I$107, 6, FALSE)), VLOOKUP(C815, Resultados_Reales!$A$4:$I$107, 5, FALSE)="", VLOOKUP(C815, Resultados_Reales!$A$4:$I$107, 6, FALSE)=""), 0, IF(AND(VLOOKUP(C815, Resultados_Reales!$A$4:$I$107, 5, FALSE)=G815, VLOOKUP(C815, Resultados_Reales!$A$4:$I$107, 6, FALSE)=H815), Configuracion!$B$5, IF(SIGN(VLOOKUP(C815, Resultados_Reales!$A$4:$I$107, 5, FALSE)-VLOOKUP(C815, Resultados_Reales!$A$4:$I$107, 6, FALSE)) = SIGN(G815-H815), Configuracion!$B$4, 0)))</f>
        <v/>
      </c>
      <c r="L815" s="11" t="n"/>
      <c r="M815" s="11" t="n"/>
      <c r="N815" s="11" t="n"/>
      <c r="O815" s="11" t="n"/>
      <c r="P815" s="11" t="n"/>
      <c r="Q815" s="11" t="n"/>
    </row>
    <row r="816">
      <c r="A816" s="8">
        <f>B816&amp;"_"&amp;C816</f>
        <v/>
      </c>
      <c r="B816" s="8" t="n"/>
      <c r="C816" s="8" t="n"/>
      <c r="D816" s="8" t="n"/>
      <c r="E816" s="11" t="n"/>
      <c r="F816" s="11" t="n"/>
      <c r="G816" s="8" t="n"/>
      <c r="H816" s="8" t="n"/>
      <c r="I816" s="8" t="n"/>
      <c r="J816" s="8" t="n"/>
      <c r="K816" s="12">
        <f>IF(OR(ISERROR(VLOOKUP(C816, Resultados_Reales!$A$4:$I$107, 5, FALSE)), ISERROR(VLOOKUP(C816, Resultados_Reales!$A$4:$I$107, 6, FALSE)), VLOOKUP(C816, Resultados_Reales!$A$4:$I$107, 5, FALSE)="", VLOOKUP(C816, Resultados_Reales!$A$4:$I$107, 6, FALSE)=""), 0, IF(AND(VLOOKUP(C816, Resultados_Reales!$A$4:$I$107, 5, FALSE)=G816, VLOOKUP(C816, Resultados_Reales!$A$4:$I$107, 6, FALSE)=H816), Configuracion!$B$5, IF(SIGN(VLOOKUP(C816, Resultados_Reales!$A$4:$I$107, 5, FALSE)-VLOOKUP(C816, Resultados_Reales!$A$4:$I$107, 6, FALSE)) = SIGN(G816-H816), Configuracion!$B$4, 0)))</f>
        <v/>
      </c>
      <c r="L816" s="11" t="n"/>
      <c r="M816" s="11" t="n"/>
      <c r="N816" s="11" t="n"/>
      <c r="O816" s="11" t="n"/>
      <c r="P816" s="11" t="n"/>
      <c r="Q816" s="11" t="n"/>
    </row>
    <row r="817">
      <c r="A817" s="8">
        <f>B817&amp;"_"&amp;C817</f>
        <v/>
      </c>
      <c r="B817" s="8" t="n"/>
      <c r="C817" s="8" t="n"/>
      <c r="D817" s="8" t="n"/>
      <c r="E817" s="11" t="n"/>
      <c r="F817" s="11" t="n"/>
      <c r="G817" s="8" t="n"/>
      <c r="H817" s="8" t="n"/>
      <c r="I817" s="8" t="n"/>
      <c r="J817" s="8" t="n"/>
      <c r="K817" s="12">
        <f>IF(OR(ISERROR(VLOOKUP(C817, Resultados_Reales!$A$4:$I$107, 5, FALSE)), ISERROR(VLOOKUP(C817, Resultados_Reales!$A$4:$I$107, 6, FALSE)), VLOOKUP(C817, Resultados_Reales!$A$4:$I$107, 5, FALSE)="", VLOOKUP(C817, Resultados_Reales!$A$4:$I$107, 6, FALSE)=""), 0, IF(AND(VLOOKUP(C817, Resultados_Reales!$A$4:$I$107, 5, FALSE)=G817, VLOOKUP(C817, Resultados_Reales!$A$4:$I$107, 6, FALSE)=H817), Configuracion!$B$5, IF(SIGN(VLOOKUP(C817, Resultados_Reales!$A$4:$I$107, 5, FALSE)-VLOOKUP(C817, Resultados_Reales!$A$4:$I$107, 6, FALSE)) = SIGN(G817-H817), Configuracion!$B$4, 0)))</f>
        <v/>
      </c>
      <c r="L817" s="11" t="n"/>
      <c r="M817" s="11" t="n"/>
      <c r="N817" s="11" t="n"/>
      <c r="O817" s="11" t="n"/>
      <c r="P817" s="11" t="n"/>
      <c r="Q817" s="11" t="n"/>
    </row>
    <row r="818">
      <c r="A818" s="8">
        <f>B818&amp;"_"&amp;C818</f>
        <v/>
      </c>
      <c r="B818" s="8" t="n"/>
      <c r="C818" s="8" t="n"/>
      <c r="D818" s="8" t="n"/>
      <c r="E818" s="11" t="n"/>
      <c r="F818" s="11" t="n"/>
      <c r="G818" s="8" t="n"/>
      <c r="H818" s="8" t="n"/>
      <c r="I818" s="8" t="n"/>
      <c r="J818" s="8" t="n"/>
      <c r="K818" s="12">
        <f>IF(OR(ISERROR(VLOOKUP(C818, Resultados_Reales!$A$4:$I$107, 5, FALSE)), ISERROR(VLOOKUP(C818, Resultados_Reales!$A$4:$I$107, 6, FALSE)), VLOOKUP(C818, Resultados_Reales!$A$4:$I$107, 5, FALSE)="", VLOOKUP(C818, Resultados_Reales!$A$4:$I$107, 6, FALSE)=""), 0, IF(AND(VLOOKUP(C818, Resultados_Reales!$A$4:$I$107, 5, FALSE)=G818, VLOOKUP(C818, Resultados_Reales!$A$4:$I$107, 6, FALSE)=H818), Configuracion!$B$5, IF(SIGN(VLOOKUP(C818, Resultados_Reales!$A$4:$I$107, 5, FALSE)-VLOOKUP(C818, Resultados_Reales!$A$4:$I$107, 6, FALSE)) = SIGN(G818-H818), Configuracion!$B$4, 0)))</f>
        <v/>
      </c>
      <c r="L818" s="11" t="n"/>
      <c r="M818" s="11" t="n"/>
      <c r="N818" s="11" t="n"/>
      <c r="O818" s="11" t="n"/>
      <c r="P818" s="11" t="n"/>
      <c r="Q818" s="11" t="n"/>
    </row>
    <row r="819">
      <c r="A819" s="8">
        <f>B819&amp;"_"&amp;C819</f>
        <v/>
      </c>
      <c r="B819" s="8" t="n"/>
      <c r="C819" s="8" t="n"/>
      <c r="D819" s="8" t="n"/>
      <c r="E819" s="11" t="n"/>
      <c r="F819" s="11" t="n"/>
      <c r="G819" s="8" t="n"/>
      <c r="H819" s="8" t="n"/>
      <c r="I819" s="8" t="n"/>
      <c r="J819" s="8" t="n"/>
      <c r="K819" s="12">
        <f>IF(OR(ISERROR(VLOOKUP(C819, Resultados_Reales!$A$4:$I$107, 5, FALSE)), ISERROR(VLOOKUP(C819, Resultados_Reales!$A$4:$I$107, 6, FALSE)), VLOOKUP(C819, Resultados_Reales!$A$4:$I$107, 5, FALSE)="", VLOOKUP(C819, Resultados_Reales!$A$4:$I$107, 6, FALSE)=""), 0, IF(AND(VLOOKUP(C819, Resultados_Reales!$A$4:$I$107, 5, FALSE)=G819, VLOOKUP(C819, Resultados_Reales!$A$4:$I$107, 6, FALSE)=H819), Configuracion!$B$5, IF(SIGN(VLOOKUP(C819, Resultados_Reales!$A$4:$I$107, 5, FALSE)-VLOOKUP(C819, Resultados_Reales!$A$4:$I$107, 6, FALSE)) = SIGN(G819-H819), Configuracion!$B$4, 0)))</f>
        <v/>
      </c>
      <c r="L819" s="11" t="n"/>
      <c r="M819" s="11" t="n"/>
      <c r="N819" s="11" t="n"/>
      <c r="O819" s="11" t="n"/>
      <c r="P819" s="11" t="n"/>
      <c r="Q819" s="11" t="n"/>
    </row>
    <row r="820">
      <c r="A820" s="8">
        <f>B820&amp;"_"&amp;C820</f>
        <v/>
      </c>
      <c r="B820" s="8" t="n"/>
      <c r="C820" s="8" t="n"/>
      <c r="D820" s="8" t="n"/>
      <c r="E820" s="11" t="n"/>
      <c r="F820" s="11" t="n"/>
      <c r="G820" s="8" t="n"/>
      <c r="H820" s="8" t="n"/>
      <c r="I820" s="8" t="n"/>
      <c r="J820" s="8" t="n"/>
      <c r="K820" s="12">
        <f>IF(OR(ISERROR(VLOOKUP(C820, Resultados_Reales!$A$4:$I$107, 5, FALSE)), ISERROR(VLOOKUP(C820, Resultados_Reales!$A$4:$I$107, 6, FALSE)), VLOOKUP(C820, Resultados_Reales!$A$4:$I$107, 5, FALSE)="", VLOOKUP(C820, Resultados_Reales!$A$4:$I$107, 6, FALSE)=""), 0, IF(AND(VLOOKUP(C820, Resultados_Reales!$A$4:$I$107, 5, FALSE)=G820, VLOOKUP(C820, Resultados_Reales!$A$4:$I$107, 6, FALSE)=H820), Configuracion!$B$5, IF(SIGN(VLOOKUP(C820, Resultados_Reales!$A$4:$I$107, 5, FALSE)-VLOOKUP(C820, Resultados_Reales!$A$4:$I$107, 6, FALSE)) = SIGN(G820-H820), Configuracion!$B$4, 0)))</f>
        <v/>
      </c>
      <c r="L820" s="11" t="n"/>
      <c r="M820" s="11" t="n"/>
      <c r="N820" s="11" t="n"/>
      <c r="O820" s="11" t="n"/>
      <c r="P820" s="11" t="n"/>
      <c r="Q820" s="11" t="n"/>
    </row>
    <row r="821">
      <c r="A821" s="8">
        <f>B821&amp;"_"&amp;C821</f>
        <v/>
      </c>
      <c r="B821" s="8" t="n"/>
      <c r="C821" s="8" t="n"/>
      <c r="D821" s="8" t="n"/>
      <c r="E821" s="11" t="n"/>
      <c r="F821" s="11" t="n"/>
      <c r="G821" s="8" t="n"/>
      <c r="H821" s="8" t="n"/>
      <c r="I821" s="8" t="n"/>
      <c r="J821" s="8" t="n"/>
      <c r="K821" s="12">
        <f>IF(OR(ISERROR(VLOOKUP(C821, Resultados_Reales!$A$4:$I$107, 5, FALSE)), ISERROR(VLOOKUP(C821, Resultados_Reales!$A$4:$I$107, 6, FALSE)), VLOOKUP(C821, Resultados_Reales!$A$4:$I$107, 5, FALSE)="", VLOOKUP(C821, Resultados_Reales!$A$4:$I$107, 6, FALSE)=""), 0, IF(AND(VLOOKUP(C821, Resultados_Reales!$A$4:$I$107, 5, FALSE)=G821, VLOOKUP(C821, Resultados_Reales!$A$4:$I$107, 6, FALSE)=H821), Configuracion!$B$5, IF(SIGN(VLOOKUP(C821, Resultados_Reales!$A$4:$I$107, 5, FALSE)-VLOOKUP(C821, Resultados_Reales!$A$4:$I$107, 6, FALSE)) = SIGN(G821-H821), Configuracion!$B$4, 0)))</f>
        <v/>
      </c>
      <c r="L821" s="11" t="n"/>
      <c r="M821" s="11" t="n"/>
      <c r="N821" s="11" t="n"/>
      <c r="O821" s="11" t="n"/>
      <c r="P821" s="11" t="n"/>
      <c r="Q821" s="11" t="n"/>
    </row>
    <row r="822">
      <c r="A822" s="8">
        <f>B822&amp;"_"&amp;C822</f>
        <v/>
      </c>
      <c r="B822" s="8" t="n"/>
      <c r="C822" s="8" t="n"/>
      <c r="D822" s="8" t="n"/>
      <c r="E822" s="11" t="n"/>
      <c r="F822" s="11" t="n"/>
      <c r="G822" s="8" t="n"/>
      <c r="H822" s="8" t="n"/>
      <c r="I822" s="8" t="n"/>
      <c r="J822" s="8" t="n"/>
      <c r="K822" s="12">
        <f>IF(OR(ISERROR(VLOOKUP(C822, Resultados_Reales!$A$4:$I$107, 5, FALSE)), ISERROR(VLOOKUP(C822, Resultados_Reales!$A$4:$I$107, 6, FALSE)), VLOOKUP(C822, Resultados_Reales!$A$4:$I$107, 5, FALSE)="", VLOOKUP(C822, Resultados_Reales!$A$4:$I$107, 6, FALSE)=""), 0, IF(AND(VLOOKUP(C822, Resultados_Reales!$A$4:$I$107, 5, FALSE)=G822, VLOOKUP(C822, Resultados_Reales!$A$4:$I$107, 6, FALSE)=H822), Configuracion!$B$5, IF(SIGN(VLOOKUP(C822, Resultados_Reales!$A$4:$I$107, 5, FALSE)-VLOOKUP(C822, Resultados_Reales!$A$4:$I$107, 6, FALSE)) = SIGN(G822-H822), Configuracion!$B$4, 0)))</f>
        <v/>
      </c>
      <c r="L822" s="11" t="n"/>
      <c r="M822" s="11" t="n"/>
      <c r="N822" s="11" t="n"/>
      <c r="O822" s="11" t="n"/>
      <c r="P822" s="11" t="n"/>
      <c r="Q822" s="11" t="n"/>
    </row>
    <row r="823">
      <c r="A823" s="8">
        <f>B823&amp;"_"&amp;C823</f>
        <v/>
      </c>
      <c r="B823" s="8" t="n"/>
      <c r="C823" s="8" t="n"/>
      <c r="D823" s="8" t="n"/>
      <c r="E823" s="11" t="n"/>
      <c r="F823" s="11" t="n"/>
      <c r="G823" s="8" t="n"/>
      <c r="H823" s="8" t="n"/>
      <c r="I823" s="8" t="n"/>
      <c r="J823" s="8" t="n"/>
      <c r="K823" s="12">
        <f>IF(OR(ISERROR(VLOOKUP(C823, Resultados_Reales!$A$4:$I$107, 5, FALSE)), ISERROR(VLOOKUP(C823, Resultados_Reales!$A$4:$I$107, 6, FALSE)), VLOOKUP(C823, Resultados_Reales!$A$4:$I$107, 5, FALSE)="", VLOOKUP(C823, Resultados_Reales!$A$4:$I$107, 6, FALSE)=""), 0, IF(AND(VLOOKUP(C823, Resultados_Reales!$A$4:$I$107, 5, FALSE)=G823, VLOOKUP(C823, Resultados_Reales!$A$4:$I$107, 6, FALSE)=H823), Configuracion!$B$5, IF(SIGN(VLOOKUP(C823, Resultados_Reales!$A$4:$I$107, 5, FALSE)-VLOOKUP(C823, Resultados_Reales!$A$4:$I$107, 6, FALSE)) = SIGN(G823-H823), Configuracion!$B$4, 0)))</f>
        <v/>
      </c>
      <c r="L823" s="11" t="n"/>
      <c r="M823" s="11" t="n"/>
      <c r="N823" s="11" t="n"/>
      <c r="O823" s="11" t="n"/>
      <c r="P823" s="11" t="n"/>
      <c r="Q823" s="11" t="n"/>
    </row>
    <row r="824">
      <c r="A824" s="8">
        <f>B824&amp;"_"&amp;C824</f>
        <v/>
      </c>
      <c r="B824" s="8" t="n"/>
      <c r="C824" s="8" t="n"/>
      <c r="D824" s="8" t="n"/>
      <c r="E824" s="11" t="n"/>
      <c r="F824" s="11" t="n"/>
      <c r="G824" s="8" t="n"/>
      <c r="H824" s="8" t="n"/>
      <c r="I824" s="8" t="n"/>
      <c r="J824" s="8" t="n"/>
      <c r="K824" s="12">
        <f>IF(OR(ISERROR(VLOOKUP(C824, Resultados_Reales!$A$4:$I$107, 5, FALSE)), ISERROR(VLOOKUP(C824, Resultados_Reales!$A$4:$I$107, 6, FALSE)), VLOOKUP(C824, Resultados_Reales!$A$4:$I$107, 5, FALSE)="", VLOOKUP(C824, Resultados_Reales!$A$4:$I$107, 6, FALSE)=""), 0, IF(AND(VLOOKUP(C824, Resultados_Reales!$A$4:$I$107, 5, FALSE)=G824, VLOOKUP(C824, Resultados_Reales!$A$4:$I$107, 6, FALSE)=H824), Configuracion!$B$5, IF(SIGN(VLOOKUP(C824, Resultados_Reales!$A$4:$I$107, 5, FALSE)-VLOOKUP(C824, Resultados_Reales!$A$4:$I$107, 6, FALSE)) = SIGN(G824-H824), Configuracion!$B$4, 0)))</f>
        <v/>
      </c>
      <c r="L824" s="11" t="n"/>
      <c r="M824" s="11" t="n"/>
      <c r="N824" s="11" t="n"/>
      <c r="O824" s="11" t="n"/>
      <c r="P824" s="11" t="n"/>
      <c r="Q824" s="11" t="n"/>
    </row>
    <row r="825">
      <c r="A825" s="8">
        <f>B825&amp;"_"&amp;C825</f>
        <v/>
      </c>
      <c r="B825" s="8" t="n"/>
      <c r="C825" s="8" t="n"/>
      <c r="D825" s="8" t="n"/>
      <c r="E825" s="11" t="n"/>
      <c r="F825" s="11" t="n"/>
      <c r="G825" s="8" t="n"/>
      <c r="H825" s="8" t="n"/>
      <c r="I825" s="8" t="n"/>
      <c r="J825" s="8" t="n"/>
      <c r="K825" s="12">
        <f>IF(OR(ISERROR(VLOOKUP(C825, Resultados_Reales!$A$4:$I$107, 5, FALSE)), ISERROR(VLOOKUP(C825, Resultados_Reales!$A$4:$I$107, 6, FALSE)), VLOOKUP(C825, Resultados_Reales!$A$4:$I$107, 5, FALSE)="", VLOOKUP(C825, Resultados_Reales!$A$4:$I$107, 6, FALSE)=""), 0, IF(AND(VLOOKUP(C825, Resultados_Reales!$A$4:$I$107, 5, FALSE)=G825, VLOOKUP(C825, Resultados_Reales!$A$4:$I$107, 6, FALSE)=H825), Configuracion!$B$5, IF(SIGN(VLOOKUP(C825, Resultados_Reales!$A$4:$I$107, 5, FALSE)-VLOOKUP(C825, Resultados_Reales!$A$4:$I$107, 6, FALSE)) = SIGN(G825-H825), Configuracion!$B$4, 0)))</f>
        <v/>
      </c>
      <c r="L825" s="11" t="n"/>
      <c r="M825" s="11" t="n"/>
      <c r="N825" s="11" t="n"/>
      <c r="O825" s="11" t="n"/>
      <c r="P825" s="11" t="n"/>
      <c r="Q825" s="11" t="n"/>
    </row>
    <row r="826">
      <c r="A826" s="8">
        <f>B826&amp;"_"&amp;C826</f>
        <v/>
      </c>
      <c r="B826" s="8" t="n"/>
      <c r="C826" s="8" t="n"/>
      <c r="D826" s="8" t="n"/>
      <c r="E826" s="11" t="n"/>
      <c r="F826" s="11" t="n"/>
      <c r="G826" s="8" t="n"/>
      <c r="H826" s="8" t="n"/>
      <c r="I826" s="8" t="n"/>
      <c r="J826" s="8" t="n"/>
      <c r="K826" s="12">
        <f>IF(OR(ISERROR(VLOOKUP(C826, Resultados_Reales!$A$4:$I$107, 5, FALSE)), ISERROR(VLOOKUP(C826, Resultados_Reales!$A$4:$I$107, 6, FALSE)), VLOOKUP(C826, Resultados_Reales!$A$4:$I$107, 5, FALSE)="", VLOOKUP(C826, Resultados_Reales!$A$4:$I$107, 6, FALSE)=""), 0, IF(AND(VLOOKUP(C826, Resultados_Reales!$A$4:$I$107, 5, FALSE)=G826, VLOOKUP(C826, Resultados_Reales!$A$4:$I$107, 6, FALSE)=H826), Configuracion!$B$5, IF(SIGN(VLOOKUP(C826, Resultados_Reales!$A$4:$I$107, 5, FALSE)-VLOOKUP(C826, Resultados_Reales!$A$4:$I$107, 6, FALSE)) = SIGN(G826-H826), Configuracion!$B$4, 0)))</f>
        <v/>
      </c>
      <c r="L826" s="11" t="n"/>
      <c r="M826" s="11" t="n"/>
      <c r="N826" s="11" t="n"/>
      <c r="O826" s="11" t="n"/>
      <c r="P826" s="11" t="n"/>
      <c r="Q826" s="11" t="n"/>
    </row>
    <row r="827">
      <c r="A827" s="8">
        <f>B827&amp;"_"&amp;C827</f>
        <v/>
      </c>
      <c r="B827" s="8" t="n"/>
      <c r="C827" s="8" t="n"/>
      <c r="D827" s="8" t="n"/>
      <c r="E827" s="11" t="n"/>
      <c r="F827" s="11" t="n"/>
      <c r="G827" s="8" t="n"/>
      <c r="H827" s="8" t="n"/>
      <c r="I827" s="8" t="n"/>
      <c r="J827" s="8" t="n"/>
      <c r="K827" s="12">
        <f>IF(OR(ISERROR(VLOOKUP(C827, Resultados_Reales!$A$4:$I$107, 5, FALSE)), ISERROR(VLOOKUP(C827, Resultados_Reales!$A$4:$I$107, 6, FALSE)), VLOOKUP(C827, Resultados_Reales!$A$4:$I$107, 5, FALSE)="", VLOOKUP(C827, Resultados_Reales!$A$4:$I$107, 6, FALSE)=""), 0, IF(AND(VLOOKUP(C827, Resultados_Reales!$A$4:$I$107, 5, FALSE)=G827, VLOOKUP(C827, Resultados_Reales!$A$4:$I$107, 6, FALSE)=H827), Configuracion!$B$5, IF(SIGN(VLOOKUP(C827, Resultados_Reales!$A$4:$I$107, 5, FALSE)-VLOOKUP(C827, Resultados_Reales!$A$4:$I$107, 6, FALSE)) = SIGN(G827-H827), Configuracion!$B$4, 0)))</f>
        <v/>
      </c>
      <c r="L827" s="11" t="n"/>
      <c r="M827" s="11" t="n"/>
      <c r="N827" s="11" t="n"/>
      <c r="O827" s="11" t="n"/>
      <c r="P827" s="11" t="n"/>
      <c r="Q827" s="11" t="n"/>
    </row>
    <row r="828">
      <c r="A828" s="8">
        <f>B828&amp;"_"&amp;C828</f>
        <v/>
      </c>
      <c r="B828" s="8" t="n"/>
      <c r="C828" s="8" t="n"/>
      <c r="D828" s="8" t="n"/>
      <c r="E828" s="11" t="n"/>
      <c r="F828" s="11" t="n"/>
      <c r="G828" s="8" t="n"/>
      <c r="H828" s="8" t="n"/>
      <c r="I828" s="8" t="n"/>
      <c r="J828" s="8" t="n"/>
      <c r="K828" s="12">
        <f>IF(OR(ISERROR(VLOOKUP(C828, Resultados_Reales!$A$4:$I$107, 5, FALSE)), ISERROR(VLOOKUP(C828, Resultados_Reales!$A$4:$I$107, 6, FALSE)), VLOOKUP(C828, Resultados_Reales!$A$4:$I$107, 5, FALSE)="", VLOOKUP(C828, Resultados_Reales!$A$4:$I$107, 6, FALSE)=""), 0, IF(AND(VLOOKUP(C828, Resultados_Reales!$A$4:$I$107, 5, FALSE)=G828, VLOOKUP(C828, Resultados_Reales!$A$4:$I$107, 6, FALSE)=H828), Configuracion!$B$5, IF(SIGN(VLOOKUP(C828, Resultados_Reales!$A$4:$I$107, 5, FALSE)-VLOOKUP(C828, Resultados_Reales!$A$4:$I$107, 6, FALSE)) = SIGN(G828-H828), Configuracion!$B$4, 0)))</f>
        <v/>
      </c>
      <c r="L828" s="11" t="n"/>
      <c r="M828" s="11" t="n"/>
      <c r="N828" s="11" t="n"/>
      <c r="O828" s="11" t="n"/>
      <c r="P828" s="11" t="n"/>
      <c r="Q828" s="11" t="n"/>
    </row>
    <row r="829">
      <c r="A829" s="8">
        <f>B829&amp;"_"&amp;C829</f>
        <v/>
      </c>
      <c r="B829" s="8" t="n"/>
      <c r="C829" s="8" t="n"/>
      <c r="D829" s="8" t="n"/>
      <c r="E829" s="11" t="n"/>
      <c r="F829" s="11" t="n"/>
      <c r="G829" s="8" t="n"/>
      <c r="H829" s="8" t="n"/>
      <c r="I829" s="8" t="n"/>
      <c r="J829" s="8" t="n"/>
      <c r="K829" s="12">
        <f>IF(OR(ISERROR(VLOOKUP(C829, Resultados_Reales!$A$4:$I$107, 5, FALSE)), ISERROR(VLOOKUP(C829, Resultados_Reales!$A$4:$I$107, 6, FALSE)), VLOOKUP(C829, Resultados_Reales!$A$4:$I$107, 5, FALSE)="", VLOOKUP(C829, Resultados_Reales!$A$4:$I$107, 6, FALSE)=""), 0, IF(AND(VLOOKUP(C829, Resultados_Reales!$A$4:$I$107, 5, FALSE)=G829, VLOOKUP(C829, Resultados_Reales!$A$4:$I$107, 6, FALSE)=H829), Configuracion!$B$5, IF(SIGN(VLOOKUP(C829, Resultados_Reales!$A$4:$I$107, 5, FALSE)-VLOOKUP(C829, Resultados_Reales!$A$4:$I$107, 6, FALSE)) = SIGN(G829-H829), Configuracion!$B$4, 0)))</f>
        <v/>
      </c>
      <c r="L829" s="11" t="n"/>
      <c r="M829" s="11" t="n"/>
      <c r="N829" s="11" t="n"/>
      <c r="O829" s="11" t="n"/>
      <c r="P829" s="11" t="n"/>
      <c r="Q829" s="11" t="n"/>
    </row>
    <row r="830">
      <c r="A830" s="8">
        <f>B830&amp;"_"&amp;C830</f>
        <v/>
      </c>
      <c r="B830" s="8" t="n"/>
      <c r="C830" s="8" t="n"/>
      <c r="D830" s="8" t="n"/>
      <c r="E830" s="11" t="n"/>
      <c r="F830" s="11" t="n"/>
      <c r="G830" s="8" t="n"/>
      <c r="H830" s="8" t="n"/>
      <c r="I830" s="8" t="n"/>
      <c r="J830" s="8" t="n"/>
      <c r="K830" s="12">
        <f>IF(OR(ISERROR(VLOOKUP(C830, Resultados_Reales!$A$4:$I$107, 5, FALSE)), ISERROR(VLOOKUP(C830, Resultados_Reales!$A$4:$I$107, 6, FALSE)), VLOOKUP(C830, Resultados_Reales!$A$4:$I$107, 5, FALSE)="", VLOOKUP(C830, Resultados_Reales!$A$4:$I$107, 6, FALSE)=""), 0, IF(AND(VLOOKUP(C830, Resultados_Reales!$A$4:$I$107, 5, FALSE)=G830, VLOOKUP(C830, Resultados_Reales!$A$4:$I$107, 6, FALSE)=H830), Configuracion!$B$5, IF(SIGN(VLOOKUP(C830, Resultados_Reales!$A$4:$I$107, 5, FALSE)-VLOOKUP(C830, Resultados_Reales!$A$4:$I$107, 6, FALSE)) = SIGN(G830-H830), Configuracion!$B$4, 0)))</f>
        <v/>
      </c>
      <c r="L830" s="11" t="n"/>
      <c r="M830" s="11" t="n"/>
      <c r="N830" s="11" t="n"/>
      <c r="O830" s="11" t="n"/>
      <c r="P830" s="11" t="n"/>
      <c r="Q830" s="11" t="n"/>
    </row>
    <row r="831">
      <c r="A831" s="8">
        <f>B831&amp;"_"&amp;C831</f>
        <v/>
      </c>
      <c r="B831" s="8" t="n"/>
      <c r="C831" s="8" t="n"/>
      <c r="D831" s="8" t="n"/>
      <c r="E831" s="11" t="n"/>
      <c r="F831" s="11" t="n"/>
      <c r="G831" s="8" t="n"/>
      <c r="H831" s="8" t="n"/>
      <c r="I831" s="8" t="n"/>
      <c r="J831" s="8" t="n"/>
      <c r="K831" s="12">
        <f>IF(OR(ISERROR(VLOOKUP(C831, Resultados_Reales!$A$4:$I$107, 5, FALSE)), ISERROR(VLOOKUP(C831, Resultados_Reales!$A$4:$I$107, 6, FALSE)), VLOOKUP(C831, Resultados_Reales!$A$4:$I$107, 5, FALSE)="", VLOOKUP(C831, Resultados_Reales!$A$4:$I$107, 6, FALSE)=""), 0, IF(AND(VLOOKUP(C831, Resultados_Reales!$A$4:$I$107, 5, FALSE)=G831, VLOOKUP(C831, Resultados_Reales!$A$4:$I$107, 6, FALSE)=H831), Configuracion!$B$5, IF(SIGN(VLOOKUP(C831, Resultados_Reales!$A$4:$I$107, 5, FALSE)-VLOOKUP(C831, Resultados_Reales!$A$4:$I$107, 6, FALSE)) = SIGN(G831-H831), Configuracion!$B$4, 0)))</f>
        <v/>
      </c>
      <c r="L831" s="11" t="n"/>
      <c r="M831" s="11" t="n"/>
      <c r="N831" s="11" t="n"/>
      <c r="O831" s="11" t="n"/>
      <c r="P831" s="11" t="n"/>
      <c r="Q831" s="11" t="n"/>
    </row>
    <row r="832">
      <c r="A832" s="8">
        <f>B832&amp;"_"&amp;C832</f>
        <v/>
      </c>
      <c r="B832" s="8" t="n"/>
      <c r="C832" s="8" t="n"/>
      <c r="D832" s="8" t="n"/>
      <c r="E832" s="11" t="n"/>
      <c r="F832" s="11" t="n"/>
      <c r="G832" s="8" t="n"/>
      <c r="H832" s="8" t="n"/>
      <c r="I832" s="8" t="n"/>
      <c r="J832" s="8" t="n"/>
      <c r="K832" s="12">
        <f>IF(OR(ISERROR(VLOOKUP(C832, Resultados_Reales!$A$4:$I$107, 5, FALSE)), ISERROR(VLOOKUP(C832, Resultados_Reales!$A$4:$I$107, 6, FALSE)), VLOOKUP(C832, Resultados_Reales!$A$4:$I$107, 5, FALSE)="", VLOOKUP(C832, Resultados_Reales!$A$4:$I$107, 6, FALSE)=""), 0, IF(AND(VLOOKUP(C832, Resultados_Reales!$A$4:$I$107, 5, FALSE)=G832, VLOOKUP(C832, Resultados_Reales!$A$4:$I$107, 6, FALSE)=H832), Configuracion!$B$5, IF(SIGN(VLOOKUP(C832, Resultados_Reales!$A$4:$I$107, 5, FALSE)-VLOOKUP(C832, Resultados_Reales!$A$4:$I$107, 6, FALSE)) = SIGN(G832-H832), Configuracion!$B$4, 0)))</f>
        <v/>
      </c>
      <c r="L832" s="11" t="n"/>
      <c r="M832" s="11" t="n"/>
      <c r="N832" s="11" t="n"/>
      <c r="O832" s="11" t="n"/>
      <c r="P832" s="11" t="n"/>
      <c r="Q832" s="11" t="n"/>
    </row>
    <row r="833">
      <c r="A833" s="8">
        <f>B833&amp;"_"&amp;C833</f>
        <v/>
      </c>
      <c r="B833" s="8" t="n"/>
      <c r="C833" s="8" t="n"/>
      <c r="D833" s="8" t="n"/>
      <c r="E833" s="11" t="n"/>
      <c r="F833" s="11" t="n"/>
      <c r="G833" s="8" t="n"/>
      <c r="H833" s="8" t="n"/>
      <c r="I833" s="8" t="n"/>
      <c r="J833" s="8" t="n"/>
      <c r="K833" s="12">
        <f>IF(OR(ISERROR(VLOOKUP(C833, Resultados_Reales!$A$4:$I$107, 5, FALSE)), ISERROR(VLOOKUP(C833, Resultados_Reales!$A$4:$I$107, 6, FALSE)), VLOOKUP(C833, Resultados_Reales!$A$4:$I$107, 5, FALSE)="", VLOOKUP(C833, Resultados_Reales!$A$4:$I$107, 6, FALSE)=""), 0, IF(AND(VLOOKUP(C833, Resultados_Reales!$A$4:$I$107, 5, FALSE)=G833, VLOOKUP(C833, Resultados_Reales!$A$4:$I$107, 6, FALSE)=H833), Configuracion!$B$5, IF(SIGN(VLOOKUP(C833, Resultados_Reales!$A$4:$I$107, 5, FALSE)-VLOOKUP(C833, Resultados_Reales!$A$4:$I$107, 6, FALSE)) = SIGN(G833-H833), Configuracion!$B$4, 0)))</f>
        <v/>
      </c>
      <c r="L833" s="11" t="n"/>
      <c r="M833" s="11" t="n"/>
      <c r="N833" s="11" t="n"/>
      <c r="O833" s="11" t="n"/>
      <c r="P833" s="11" t="n"/>
      <c r="Q833" s="11" t="n"/>
    </row>
    <row r="834">
      <c r="A834" s="8">
        <f>B834&amp;"_"&amp;C834</f>
        <v/>
      </c>
      <c r="B834" s="8" t="n"/>
      <c r="C834" s="8" t="n"/>
      <c r="D834" s="8" t="n"/>
      <c r="E834" s="11" t="n"/>
      <c r="F834" s="11" t="n"/>
      <c r="G834" s="8" t="n"/>
      <c r="H834" s="8" t="n"/>
      <c r="I834" s="8" t="n"/>
      <c r="J834" s="8" t="n"/>
      <c r="K834" s="12">
        <f>IF(OR(ISERROR(VLOOKUP(C834, Resultados_Reales!$A$4:$I$107, 5, FALSE)), ISERROR(VLOOKUP(C834, Resultados_Reales!$A$4:$I$107, 6, FALSE)), VLOOKUP(C834, Resultados_Reales!$A$4:$I$107, 5, FALSE)="", VLOOKUP(C834, Resultados_Reales!$A$4:$I$107, 6, FALSE)=""), 0, IF(AND(VLOOKUP(C834, Resultados_Reales!$A$4:$I$107, 5, FALSE)=G834, VLOOKUP(C834, Resultados_Reales!$A$4:$I$107, 6, FALSE)=H834), Configuracion!$B$5, IF(SIGN(VLOOKUP(C834, Resultados_Reales!$A$4:$I$107, 5, FALSE)-VLOOKUP(C834, Resultados_Reales!$A$4:$I$107, 6, FALSE)) = SIGN(G834-H834), Configuracion!$B$4, 0)))</f>
        <v/>
      </c>
      <c r="L834" s="11" t="n"/>
      <c r="M834" s="11" t="n"/>
      <c r="N834" s="11" t="n"/>
      <c r="O834" s="11" t="n"/>
      <c r="P834" s="11" t="n"/>
      <c r="Q834" s="11" t="n"/>
    </row>
    <row r="835">
      <c r="A835" s="8">
        <f>B835&amp;"_"&amp;C835</f>
        <v/>
      </c>
      <c r="B835" s="8" t="n"/>
      <c r="C835" s="8" t="n"/>
      <c r="D835" s="8" t="n"/>
      <c r="E835" s="11" t="n"/>
      <c r="F835" s="11" t="n"/>
      <c r="G835" s="8" t="n"/>
      <c r="H835" s="8" t="n"/>
      <c r="I835" s="8" t="n"/>
      <c r="J835" s="8" t="n"/>
      <c r="K835" s="12">
        <f>IF(OR(ISERROR(VLOOKUP(C835, Resultados_Reales!$A$4:$I$107, 5, FALSE)), ISERROR(VLOOKUP(C835, Resultados_Reales!$A$4:$I$107, 6, FALSE)), VLOOKUP(C835, Resultados_Reales!$A$4:$I$107, 5, FALSE)="", VLOOKUP(C835, Resultados_Reales!$A$4:$I$107, 6, FALSE)=""), 0, IF(AND(VLOOKUP(C835, Resultados_Reales!$A$4:$I$107, 5, FALSE)=G835, VLOOKUP(C835, Resultados_Reales!$A$4:$I$107, 6, FALSE)=H835), Configuracion!$B$5, IF(SIGN(VLOOKUP(C835, Resultados_Reales!$A$4:$I$107, 5, FALSE)-VLOOKUP(C835, Resultados_Reales!$A$4:$I$107, 6, FALSE)) = SIGN(G835-H835), Configuracion!$B$4, 0)))</f>
        <v/>
      </c>
      <c r="L835" s="11" t="n"/>
      <c r="M835" s="11" t="n"/>
      <c r="N835" s="11" t="n"/>
      <c r="O835" s="11" t="n"/>
      <c r="P835" s="11" t="n"/>
      <c r="Q835" s="11" t="n"/>
    </row>
    <row r="836">
      <c r="A836" s="8">
        <f>B836&amp;"_"&amp;C836</f>
        <v/>
      </c>
      <c r="B836" s="8" t="n"/>
      <c r="C836" s="8" t="n"/>
      <c r="D836" s="8" t="n"/>
      <c r="E836" s="11" t="n"/>
      <c r="F836" s="11" t="n"/>
      <c r="G836" s="8" t="n"/>
      <c r="H836" s="8" t="n"/>
      <c r="I836" s="8" t="n"/>
      <c r="J836" s="8" t="n"/>
      <c r="K836" s="12">
        <f>IF(OR(ISERROR(VLOOKUP(C836, Resultados_Reales!$A$4:$I$107, 5, FALSE)), ISERROR(VLOOKUP(C836, Resultados_Reales!$A$4:$I$107, 6, FALSE)), VLOOKUP(C836, Resultados_Reales!$A$4:$I$107, 5, FALSE)="", VLOOKUP(C836, Resultados_Reales!$A$4:$I$107, 6, FALSE)=""), 0, IF(AND(VLOOKUP(C836, Resultados_Reales!$A$4:$I$107, 5, FALSE)=G836, VLOOKUP(C836, Resultados_Reales!$A$4:$I$107, 6, FALSE)=H836), Configuracion!$B$5, IF(SIGN(VLOOKUP(C836, Resultados_Reales!$A$4:$I$107, 5, FALSE)-VLOOKUP(C836, Resultados_Reales!$A$4:$I$107, 6, FALSE)) = SIGN(G836-H836), Configuracion!$B$4, 0)))</f>
        <v/>
      </c>
      <c r="L836" s="11" t="n"/>
      <c r="M836" s="11" t="n"/>
      <c r="N836" s="11" t="n"/>
      <c r="O836" s="11" t="n"/>
      <c r="P836" s="11" t="n"/>
      <c r="Q836" s="11" t="n"/>
    </row>
    <row r="837">
      <c r="A837" s="8">
        <f>B837&amp;"_"&amp;C837</f>
        <v/>
      </c>
      <c r="B837" s="8" t="n"/>
      <c r="C837" s="8" t="n"/>
      <c r="D837" s="8" t="n"/>
      <c r="E837" s="11" t="n"/>
      <c r="F837" s="11" t="n"/>
      <c r="G837" s="8" t="n"/>
      <c r="H837" s="8" t="n"/>
      <c r="I837" s="8" t="n"/>
      <c r="J837" s="8" t="n"/>
      <c r="K837" s="12">
        <f>IF(OR(ISERROR(VLOOKUP(C837, Resultados_Reales!$A$4:$I$107, 5, FALSE)), ISERROR(VLOOKUP(C837, Resultados_Reales!$A$4:$I$107, 6, FALSE)), VLOOKUP(C837, Resultados_Reales!$A$4:$I$107, 5, FALSE)="", VLOOKUP(C837, Resultados_Reales!$A$4:$I$107, 6, FALSE)=""), 0, IF(AND(VLOOKUP(C837, Resultados_Reales!$A$4:$I$107, 5, FALSE)=G837, VLOOKUP(C837, Resultados_Reales!$A$4:$I$107, 6, FALSE)=H837), Configuracion!$B$5, IF(SIGN(VLOOKUP(C837, Resultados_Reales!$A$4:$I$107, 5, FALSE)-VLOOKUP(C837, Resultados_Reales!$A$4:$I$107, 6, FALSE)) = SIGN(G837-H837), Configuracion!$B$4, 0)))</f>
        <v/>
      </c>
      <c r="L837" s="11" t="n"/>
      <c r="M837" s="11" t="n"/>
      <c r="N837" s="11" t="n"/>
      <c r="O837" s="11" t="n"/>
      <c r="P837" s="11" t="n"/>
      <c r="Q837" s="11" t="n"/>
    </row>
    <row r="838">
      <c r="A838" s="8">
        <f>B838&amp;"_"&amp;C838</f>
        <v/>
      </c>
      <c r="B838" s="8" t="n"/>
      <c r="C838" s="8" t="n"/>
      <c r="D838" s="8" t="n"/>
      <c r="E838" s="11" t="n"/>
      <c r="F838" s="11" t="n"/>
      <c r="G838" s="8" t="n"/>
      <c r="H838" s="8" t="n"/>
      <c r="I838" s="8" t="n"/>
      <c r="J838" s="8" t="n"/>
      <c r="K838" s="12">
        <f>IF(OR(ISERROR(VLOOKUP(C838, Resultados_Reales!$A$4:$I$107, 5, FALSE)), ISERROR(VLOOKUP(C838, Resultados_Reales!$A$4:$I$107, 6, FALSE)), VLOOKUP(C838, Resultados_Reales!$A$4:$I$107, 5, FALSE)="", VLOOKUP(C838, Resultados_Reales!$A$4:$I$107, 6, FALSE)=""), 0, IF(AND(VLOOKUP(C838, Resultados_Reales!$A$4:$I$107, 5, FALSE)=G838, VLOOKUP(C838, Resultados_Reales!$A$4:$I$107, 6, FALSE)=H838), Configuracion!$B$5, IF(SIGN(VLOOKUP(C838, Resultados_Reales!$A$4:$I$107, 5, FALSE)-VLOOKUP(C838, Resultados_Reales!$A$4:$I$107, 6, FALSE)) = SIGN(G838-H838), Configuracion!$B$4, 0)))</f>
        <v/>
      </c>
      <c r="L838" s="11" t="n"/>
      <c r="M838" s="11" t="n"/>
      <c r="N838" s="11" t="n"/>
      <c r="O838" s="11" t="n"/>
      <c r="P838" s="11" t="n"/>
      <c r="Q838" s="11" t="n"/>
    </row>
    <row r="839">
      <c r="A839" s="8">
        <f>B839&amp;"_"&amp;C839</f>
        <v/>
      </c>
      <c r="B839" s="8" t="n"/>
      <c r="C839" s="8" t="n"/>
      <c r="D839" s="8" t="n"/>
      <c r="E839" s="11" t="n"/>
      <c r="F839" s="11" t="n"/>
      <c r="G839" s="8" t="n"/>
      <c r="H839" s="8" t="n"/>
      <c r="I839" s="8" t="n"/>
      <c r="J839" s="8" t="n"/>
      <c r="K839" s="12">
        <f>IF(OR(ISERROR(VLOOKUP(C839, Resultados_Reales!$A$4:$I$107, 5, FALSE)), ISERROR(VLOOKUP(C839, Resultados_Reales!$A$4:$I$107, 6, FALSE)), VLOOKUP(C839, Resultados_Reales!$A$4:$I$107, 5, FALSE)="", VLOOKUP(C839, Resultados_Reales!$A$4:$I$107, 6, FALSE)=""), 0, IF(AND(VLOOKUP(C839, Resultados_Reales!$A$4:$I$107, 5, FALSE)=G839, VLOOKUP(C839, Resultados_Reales!$A$4:$I$107, 6, FALSE)=H839), Configuracion!$B$5, IF(SIGN(VLOOKUP(C839, Resultados_Reales!$A$4:$I$107, 5, FALSE)-VLOOKUP(C839, Resultados_Reales!$A$4:$I$107, 6, FALSE)) = SIGN(G839-H839), Configuracion!$B$4, 0)))</f>
        <v/>
      </c>
      <c r="L839" s="11" t="n"/>
      <c r="M839" s="11" t="n"/>
      <c r="N839" s="11" t="n"/>
      <c r="O839" s="11" t="n"/>
      <c r="P839" s="11" t="n"/>
      <c r="Q839" s="11" t="n"/>
    </row>
    <row r="840">
      <c r="A840" s="8">
        <f>B840&amp;"_"&amp;C840</f>
        <v/>
      </c>
      <c r="B840" s="8" t="n"/>
      <c r="C840" s="8" t="n"/>
      <c r="D840" s="8" t="n"/>
      <c r="E840" s="11" t="n"/>
      <c r="F840" s="11" t="n"/>
      <c r="G840" s="8" t="n"/>
      <c r="H840" s="8" t="n"/>
      <c r="I840" s="8" t="n"/>
      <c r="J840" s="8" t="n"/>
      <c r="K840" s="12">
        <f>IF(OR(ISERROR(VLOOKUP(C840, Resultados_Reales!$A$4:$I$107, 5, FALSE)), ISERROR(VLOOKUP(C840, Resultados_Reales!$A$4:$I$107, 6, FALSE)), VLOOKUP(C840, Resultados_Reales!$A$4:$I$107, 5, FALSE)="", VLOOKUP(C840, Resultados_Reales!$A$4:$I$107, 6, FALSE)=""), 0, IF(AND(VLOOKUP(C840, Resultados_Reales!$A$4:$I$107, 5, FALSE)=G840, VLOOKUP(C840, Resultados_Reales!$A$4:$I$107, 6, FALSE)=H840), Configuracion!$B$5, IF(SIGN(VLOOKUP(C840, Resultados_Reales!$A$4:$I$107, 5, FALSE)-VLOOKUP(C840, Resultados_Reales!$A$4:$I$107, 6, FALSE)) = SIGN(G840-H840), Configuracion!$B$4, 0)))</f>
        <v/>
      </c>
      <c r="L840" s="11" t="n"/>
      <c r="M840" s="11" t="n"/>
      <c r="N840" s="11" t="n"/>
      <c r="O840" s="11" t="n"/>
      <c r="P840" s="11" t="n"/>
      <c r="Q840" s="11" t="n"/>
    </row>
    <row r="841">
      <c r="A841" s="8">
        <f>B841&amp;"_"&amp;C841</f>
        <v/>
      </c>
      <c r="B841" s="8" t="n"/>
      <c r="C841" s="8" t="n"/>
      <c r="D841" s="8" t="n"/>
      <c r="E841" s="11" t="n"/>
      <c r="F841" s="11" t="n"/>
      <c r="G841" s="8" t="n"/>
      <c r="H841" s="8" t="n"/>
      <c r="I841" s="8" t="n"/>
      <c r="J841" s="8" t="n"/>
      <c r="K841" s="12">
        <f>IF(OR(ISERROR(VLOOKUP(C841, Resultados_Reales!$A$4:$I$107, 5, FALSE)), ISERROR(VLOOKUP(C841, Resultados_Reales!$A$4:$I$107, 6, FALSE)), VLOOKUP(C841, Resultados_Reales!$A$4:$I$107, 5, FALSE)="", VLOOKUP(C841, Resultados_Reales!$A$4:$I$107, 6, FALSE)=""), 0, IF(AND(VLOOKUP(C841, Resultados_Reales!$A$4:$I$107, 5, FALSE)=G841, VLOOKUP(C841, Resultados_Reales!$A$4:$I$107, 6, FALSE)=H841), Configuracion!$B$5, IF(SIGN(VLOOKUP(C841, Resultados_Reales!$A$4:$I$107, 5, FALSE)-VLOOKUP(C841, Resultados_Reales!$A$4:$I$107, 6, FALSE)) = SIGN(G841-H841), Configuracion!$B$4, 0)))</f>
        <v/>
      </c>
      <c r="L841" s="11" t="n"/>
      <c r="M841" s="11" t="n"/>
      <c r="N841" s="11" t="n"/>
      <c r="O841" s="11" t="n"/>
      <c r="P841" s="11" t="n"/>
      <c r="Q841" s="11" t="n"/>
    </row>
    <row r="842">
      <c r="A842" s="8">
        <f>B842&amp;"_"&amp;C842</f>
        <v/>
      </c>
      <c r="B842" s="8" t="n"/>
      <c r="C842" s="8" t="n"/>
      <c r="D842" s="8" t="n"/>
      <c r="E842" s="11" t="n"/>
      <c r="F842" s="11" t="n"/>
      <c r="G842" s="8" t="n"/>
      <c r="H842" s="8" t="n"/>
      <c r="I842" s="8" t="n"/>
      <c r="J842" s="8" t="n"/>
      <c r="K842" s="12">
        <f>IF(OR(ISERROR(VLOOKUP(C842, Resultados_Reales!$A$4:$I$107, 5, FALSE)), ISERROR(VLOOKUP(C842, Resultados_Reales!$A$4:$I$107, 6, FALSE)), VLOOKUP(C842, Resultados_Reales!$A$4:$I$107, 5, FALSE)="", VLOOKUP(C842, Resultados_Reales!$A$4:$I$107, 6, FALSE)=""), 0, IF(AND(VLOOKUP(C842, Resultados_Reales!$A$4:$I$107, 5, FALSE)=G842, VLOOKUP(C842, Resultados_Reales!$A$4:$I$107, 6, FALSE)=H842), Configuracion!$B$5, IF(SIGN(VLOOKUP(C842, Resultados_Reales!$A$4:$I$107, 5, FALSE)-VLOOKUP(C842, Resultados_Reales!$A$4:$I$107, 6, FALSE)) = SIGN(G842-H842), Configuracion!$B$4, 0)))</f>
        <v/>
      </c>
      <c r="L842" s="11" t="n"/>
      <c r="M842" s="11" t="n"/>
      <c r="N842" s="11" t="n"/>
      <c r="O842" s="11" t="n"/>
      <c r="P842" s="11" t="n"/>
      <c r="Q842" s="11" t="n"/>
    </row>
    <row r="843">
      <c r="A843" s="8">
        <f>B843&amp;"_"&amp;C843</f>
        <v/>
      </c>
      <c r="B843" s="8" t="n"/>
      <c r="C843" s="8" t="n"/>
      <c r="D843" s="8" t="n"/>
      <c r="E843" s="11" t="n"/>
      <c r="F843" s="11" t="n"/>
      <c r="G843" s="8" t="n"/>
      <c r="H843" s="8" t="n"/>
      <c r="I843" s="8" t="n"/>
      <c r="J843" s="8" t="n"/>
      <c r="K843" s="12">
        <f>IF(OR(ISERROR(VLOOKUP(C843, Resultados_Reales!$A$4:$I$107, 5, FALSE)), ISERROR(VLOOKUP(C843, Resultados_Reales!$A$4:$I$107, 6, FALSE)), VLOOKUP(C843, Resultados_Reales!$A$4:$I$107, 5, FALSE)="", VLOOKUP(C843, Resultados_Reales!$A$4:$I$107, 6, FALSE)=""), 0, IF(AND(VLOOKUP(C843, Resultados_Reales!$A$4:$I$107, 5, FALSE)=G843, VLOOKUP(C843, Resultados_Reales!$A$4:$I$107, 6, FALSE)=H843), Configuracion!$B$5, IF(SIGN(VLOOKUP(C843, Resultados_Reales!$A$4:$I$107, 5, FALSE)-VLOOKUP(C843, Resultados_Reales!$A$4:$I$107, 6, FALSE)) = SIGN(G843-H843), Configuracion!$B$4, 0)))</f>
        <v/>
      </c>
      <c r="L843" s="11" t="n"/>
      <c r="M843" s="11" t="n"/>
      <c r="N843" s="11" t="n"/>
      <c r="O843" s="11" t="n"/>
      <c r="P843" s="11" t="n"/>
      <c r="Q843" s="11" t="n"/>
    </row>
    <row r="844">
      <c r="A844" s="8">
        <f>B844&amp;"_"&amp;C844</f>
        <v/>
      </c>
      <c r="B844" s="8" t="n"/>
      <c r="C844" s="8" t="n"/>
      <c r="D844" s="8" t="n"/>
      <c r="E844" s="11" t="n"/>
      <c r="F844" s="11" t="n"/>
      <c r="G844" s="8" t="n"/>
      <c r="H844" s="8" t="n"/>
      <c r="I844" s="8" t="n"/>
      <c r="J844" s="8" t="n"/>
      <c r="K844" s="12">
        <f>IF(OR(ISERROR(VLOOKUP(C844, Resultados_Reales!$A$4:$I$107, 5, FALSE)), ISERROR(VLOOKUP(C844, Resultados_Reales!$A$4:$I$107, 6, FALSE)), VLOOKUP(C844, Resultados_Reales!$A$4:$I$107, 5, FALSE)="", VLOOKUP(C844, Resultados_Reales!$A$4:$I$107, 6, FALSE)=""), 0, IF(AND(VLOOKUP(C844, Resultados_Reales!$A$4:$I$107, 5, FALSE)=G844, VLOOKUP(C844, Resultados_Reales!$A$4:$I$107, 6, FALSE)=H844), Configuracion!$B$5, IF(SIGN(VLOOKUP(C844, Resultados_Reales!$A$4:$I$107, 5, FALSE)-VLOOKUP(C844, Resultados_Reales!$A$4:$I$107, 6, FALSE)) = SIGN(G844-H844), Configuracion!$B$4, 0)))</f>
        <v/>
      </c>
      <c r="L844" s="11" t="n"/>
      <c r="M844" s="11" t="n"/>
      <c r="N844" s="11" t="n"/>
      <c r="O844" s="11" t="n"/>
      <c r="P844" s="11" t="n"/>
      <c r="Q844" s="11" t="n"/>
    </row>
    <row r="845">
      <c r="A845" s="8">
        <f>B845&amp;"_"&amp;C845</f>
        <v/>
      </c>
      <c r="B845" s="8" t="n"/>
      <c r="C845" s="8" t="n"/>
      <c r="D845" s="8" t="n"/>
      <c r="E845" s="11" t="n"/>
      <c r="F845" s="11" t="n"/>
      <c r="G845" s="8" t="n"/>
      <c r="H845" s="8" t="n"/>
      <c r="I845" s="8" t="n"/>
      <c r="J845" s="8" t="n"/>
      <c r="K845" s="12">
        <f>IF(OR(ISERROR(VLOOKUP(C845, Resultados_Reales!$A$4:$I$107, 5, FALSE)), ISERROR(VLOOKUP(C845, Resultados_Reales!$A$4:$I$107, 6, FALSE)), VLOOKUP(C845, Resultados_Reales!$A$4:$I$107, 5, FALSE)="", VLOOKUP(C845, Resultados_Reales!$A$4:$I$107, 6, FALSE)=""), 0, IF(AND(VLOOKUP(C845, Resultados_Reales!$A$4:$I$107, 5, FALSE)=G845, VLOOKUP(C845, Resultados_Reales!$A$4:$I$107, 6, FALSE)=H845), Configuracion!$B$5, IF(SIGN(VLOOKUP(C845, Resultados_Reales!$A$4:$I$107, 5, FALSE)-VLOOKUP(C845, Resultados_Reales!$A$4:$I$107, 6, FALSE)) = SIGN(G845-H845), Configuracion!$B$4, 0)))</f>
        <v/>
      </c>
      <c r="L845" s="11" t="n"/>
      <c r="M845" s="11" t="n"/>
      <c r="N845" s="11" t="n"/>
      <c r="O845" s="11" t="n"/>
      <c r="P845" s="11" t="n"/>
      <c r="Q845" s="11" t="n"/>
    </row>
    <row r="846">
      <c r="A846" s="8">
        <f>B846&amp;"_"&amp;C846</f>
        <v/>
      </c>
      <c r="B846" s="8" t="n"/>
      <c r="C846" s="8" t="n"/>
      <c r="D846" s="8" t="n"/>
      <c r="E846" s="11" t="n"/>
      <c r="F846" s="11" t="n"/>
      <c r="G846" s="8" t="n"/>
      <c r="H846" s="8" t="n"/>
      <c r="I846" s="8" t="n"/>
      <c r="J846" s="8" t="n"/>
      <c r="K846" s="12">
        <f>IF(OR(ISERROR(VLOOKUP(C846, Resultados_Reales!$A$4:$I$107, 5, FALSE)), ISERROR(VLOOKUP(C846, Resultados_Reales!$A$4:$I$107, 6, FALSE)), VLOOKUP(C846, Resultados_Reales!$A$4:$I$107, 5, FALSE)="", VLOOKUP(C846, Resultados_Reales!$A$4:$I$107, 6, FALSE)=""), 0, IF(AND(VLOOKUP(C846, Resultados_Reales!$A$4:$I$107, 5, FALSE)=G846, VLOOKUP(C846, Resultados_Reales!$A$4:$I$107, 6, FALSE)=H846), Configuracion!$B$5, IF(SIGN(VLOOKUP(C846, Resultados_Reales!$A$4:$I$107, 5, FALSE)-VLOOKUP(C846, Resultados_Reales!$A$4:$I$107, 6, FALSE)) = SIGN(G846-H846), Configuracion!$B$4, 0)))</f>
        <v/>
      </c>
      <c r="L846" s="11" t="n"/>
      <c r="M846" s="11" t="n"/>
      <c r="N846" s="11" t="n"/>
      <c r="O846" s="11" t="n"/>
      <c r="P846" s="11" t="n"/>
      <c r="Q846" s="11" t="n"/>
    </row>
    <row r="847">
      <c r="A847" s="8">
        <f>B847&amp;"_"&amp;C847</f>
        <v/>
      </c>
      <c r="B847" s="8" t="n"/>
      <c r="C847" s="8" t="n"/>
      <c r="D847" s="8" t="n"/>
      <c r="E847" s="11" t="n"/>
      <c r="F847" s="11" t="n"/>
      <c r="G847" s="8" t="n"/>
      <c r="H847" s="8" t="n"/>
      <c r="I847" s="8" t="n"/>
      <c r="J847" s="8" t="n"/>
      <c r="K847" s="12">
        <f>IF(OR(ISERROR(VLOOKUP(C847, Resultados_Reales!$A$4:$I$107, 5, FALSE)), ISERROR(VLOOKUP(C847, Resultados_Reales!$A$4:$I$107, 6, FALSE)), VLOOKUP(C847, Resultados_Reales!$A$4:$I$107, 5, FALSE)="", VLOOKUP(C847, Resultados_Reales!$A$4:$I$107, 6, FALSE)=""), 0, IF(AND(VLOOKUP(C847, Resultados_Reales!$A$4:$I$107, 5, FALSE)=G847, VLOOKUP(C847, Resultados_Reales!$A$4:$I$107, 6, FALSE)=H847), Configuracion!$B$5, IF(SIGN(VLOOKUP(C847, Resultados_Reales!$A$4:$I$107, 5, FALSE)-VLOOKUP(C847, Resultados_Reales!$A$4:$I$107, 6, FALSE)) = SIGN(G847-H847), Configuracion!$B$4, 0)))</f>
        <v/>
      </c>
      <c r="L847" s="11" t="n"/>
      <c r="M847" s="11" t="n"/>
      <c r="N847" s="11" t="n"/>
      <c r="O847" s="11" t="n"/>
      <c r="P847" s="11" t="n"/>
      <c r="Q847" s="11" t="n"/>
    </row>
    <row r="848">
      <c r="A848" s="8">
        <f>B848&amp;"_"&amp;C848</f>
        <v/>
      </c>
      <c r="B848" s="8" t="n"/>
      <c r="C848" s="8" t="n"/>
      <c r="D848" s="8" t="n"/>
      <c r="E848" s="11" t="n"/>
      <c r="F848" s="11" t="n"/>
      <c r="G848" s="8" t="n"/>
      <c r="H848" s="8" t="n"/>
      <c r="I848" s="8" t="n"/>
      <c r="J848" s="8" t="n"/>
      <c r="K848" s="12">
        <f>IF(OR(ISERROR(VLOOKUP(C848, Resultados_Reales!$A$4:$I$107, 5, FALSE)), ISERROR(VLOOKUP(C848, Resultados_Reales!$A$4:$I$107, 6, FALSE)), VLOOKUP(C848, Resultados_Reales!$A$4:$I$107, 5, FALSE)="", VLOOKUP(C848, Resultados_Reales!$A$4:$I$107, 6, FALSE)=""), 0, IF(AND(VLOOKUP(C848, Resultados_Reales!$A$4:$I$107, 5, FALSE)=G848, VLOOKUP(C848, Resultados_Reales!$A$4:$I$107, 6, FALSE)=H848), Configuracion!$B$5, IF(SIGN(VLOOKUP(C848, Resultados_Reales!$A$4:$I$107, 5, FALSE)-VLOOKUP(C848, Resultados_Reales!$A$4:$I$107, 6, FALSE)) = SIGN(G848-H848), Configuracion!$B$4, 0)))</f>
        <v/>
      </c>
      <c r="L848" s="11" t="n"/>
      <c r="M848" s="11" t="n"/>
      <c r="N848" s="11" t="n"/>
      <c r="O848" s="11" t="n"/>
      <c r="P848" s="11" t="n"/>
      <c r="Q848" s="11" t="n"/>
    </row>
    <row r="849">
      <c r="A849" s="8">
        <f>B849&amp;"_"&amp;C849</f>
        <v/>
      </c>
      <c r="B849" s="8" t="n"/>
      <c r="C849" s="8" t="n"/>
      <c r="D849" s="8" t="n"/>
      <c r="E849" s="11" t="n"/>
      <c r="F849" s="11" t="n"/>
      <c r="G849" s="8" t="n"/>
      <c r="H849" s="8" t="n"/>
      <c r="I849" s="8" t="n"/>
      <c r="J849" s="8" t="n"/>
      <c r="K849" s="12">
        <f>IF(OR(ISERROR(VLOOKUP(C849, Resultados_Reales!$A$4:$I$107, 5, FALSE)), ISERROR(VLOOKUP(C849, Resultados_Reales!$A$4:$I$107, 6, FALSE)), VLOOKUP(C849, Resultados_Reales!$A$4:$I$107, 5, FALSE)="", VLOOKUP(C849, Resultados_Reales!$A$4:$I$107, 6, FALSE)=""), 0, IF(AND(VLOOKUP(C849, Resultados_Reales!$A$4:$I$107, 5, FALSE)=G849, VLOOKUP(C849, Resultados_Reales!$A$4:$I$107, 6, FALSE)=H849), Configuracion!$B$5, IF(SIGN(VLOOKUP(C849, Resultados_Reales!$A$4:$I$107, 5, FALSE)-VLOOKUP(C849, Resultados_Reales!$A$4:$I$107, 6, FALSE)) = SIGN(G849-H849), Configuracion!$B$4, 0)))</f>
        <v/>
      </c>
      <c r="L849" s="11" t="n"/>
      <c r="M849" s="11" t="n"/>
      <c r="N849" s="11" t="n"/>
      <c r="O849" s="11" t="n"/>
      <c r="P849" s="11" t="n"/>
      <c r="Q849" s="11" t="n"/>
    </row>
    <row r="850">
      <c r="A850" s="8">
        <f>B850&amp;"_"&amp;C850</f>
        <v/>
      </c>
      <c r="B850" s="8" t="n"/>
      <c r="C850" s="8" t="n"/>
      <c r="D850" s="8" t="n"/>
      <c r="E850" s="11" t="n"/>
      <c r="F850" s="11" t="n"/>
      <c r="G850" s="8" t="n"/>
      <c r="H850" s="8" t="n"/>
      <c r="I850" s="8" t="n"/>
      <c r="J850" s="8" t="n"/>
      <c r="K850" s="12">
        <f>IF(OR(ISERROR(VLOOKUP(C850, Resultados_Reales!$A$4:$I$107, 5, FALSE)), ISERROR(VLOOKUP(C850, Resultados_Reales!$A$4:$I$107, 6, FALSE)), VLOOKUP(C850, Resultados_Reales!$A$4:$I$107, 5, FALSE)="", VLOOKUP(C850, Resultados_Reales!$A$4:$I$107, 6, FALSE)=""), 0, IF(AND(VLOOKUP(C850, Resultados_Reales!$A$4:$I$107, 5, FALSE)=G850, VLOOKUP(C850, Resultados_Reales!$A$4:$I$107, 6, FALSE)=H850), Configuracion!$B$5, IF(SIGN(VLOOKUP(C850, Resultados_Reales!$A$4:$I$107, 5, FALSE)-VLOOKUP(C850, Resultados_Reales!$A$4:$I$107, 6, FALSE)) = SIGN(G850-H850), Configuracion!$B$4, 0)))</f>
        <v/>
      </c>
      <c r="L850" s="11" t="n"/>
      <c r="M850" s="11" t="n"/>
      <c r="N850" s="11" t="n"/>
      <c r="O850" s="11" t="n"/>
      <c r="P850" s="11" t="n"/>
      <c r="Q850" s="11" t="n"/>
    </row>
    <row r="851">
      <c r="A851" s="8">
        <f>B851&amp;"_"&amp;C851</f>
        <v/>
      </c>
      <c r="B851" s="8" t="n"/>
      <c r="C851" s="8" t="n"/>
      <c r="D851" s="8" t="n"/>
      <c r="E851" s="11" t="n"/>
      <c r="F851" s="11" t="n"/>
      <c r="G851" s="8" t="n"/>
      <c r="H851" s="8" t="n"/>
      <c r="I851" s="8" t="n"/>
      <c r="J851" s="8" t="n"/>
      <c r="K851" s="12">
        <f>IF(OR(ISERROR(VLOOKUP(C851, Resultados_Reales!$A$4:$I$107, 5, FALSE)), ISERROR(VLOOKUP(C851, Resultados_Reales!$A$4:$I$107, 6, FALSE)), VLOOKUP(C851, Resultados_Reales!$A$4:$I$107, 5, FALSE)="", VLOOKUP(C851, Resultados_Reales!$A$4:$I$107, 6, FALSE)=""), 0, IF(AND(VLOOKUP(C851, Resultados_Reales!$A$4:$I$107, 5, FALSE)=G851, VLOOKUP(C851, Resultados_Reales!$A$4:$I$107, 6, FALSE)=H851), Configuracion!$B$5, IF(SIGN(VLOOKUP(C851, Resultados_Reales!$A$4:$I$107, 5, FALSE)-VLOOKUP(C851, Resultados_Reales!$A$4:$I$107, 6, FALSE)) = SIGN(G851-H851), Configuracion!$B$4, 0)))</f>
        <v/>
      </c>
      <c r="L851" s="11" t="n"/>
      <c r="M851" s="11" t="n"/>
      <c r="N851" s="11" t="n"/>
      <c r="O851" s="11" t="n"/>
      <c r="P851" s="11" t="n"/>
      <c r="Q851" s="11" t="n"/>
    </row>
    <row r="852">
      <c r="A852" s="8">
        <f>B852&amp;"_"&amp;C852</f>
        <v/>
      </c>
      <c r="B852" s="8" t="n"/>
      <c r="C852" s="8" t="n"/>
      <c r="D852" s="8" t="n"/>
      <c r="E852" s="11" t="n"/>
      <c r="F852" s="11" t="n"/>
      <c r="G852" s="8" t="n"/>
      <c r="H852" s="8" t="n"/>
      <c r="I852" s="8" t="n"/>
      <c r="J852" s="8" t="n"/>
      <c r="K852" s="12">
        <f>IF(OR(ISERROR(VLOOKUP(C852, Resultados_Reales!$A$4:$I$107, 5, FALSE)), ISERROR(VLOOKUP(C852, Resultados_Reales!$A$4:$I$107, 6, FALSE)), VLOOKUP(C852, Resultados_Reales!$A$4:$I$107, 5, FALSE)="", VLOOKUP(C852, Resultados_Reales!$A$4:$I$107, 6, FALSE)=""), 0, IF(AND(VLOOKUP(C852, Resultados_Reales!$A$4:$I$107, 5, FALSE)=G852, VLOOKUP(C852, Resultados_Reales!$A$4:$I$107, 6, FALSE)=H852), Configuracion!$B$5, IF(SIGN(VLOOKUP(C852, Resultados_Reales!$A$4:$I$107, 5, FALSE)-VLOOKUP(C852, Resultados_Reales!$A$4:$I$107, 6, FALSE)) = SIGN(G852-H852), Configuracion!$B$4, 0)))</f>
        <v/>
      </c>
      <c r="L852" s="11" t="n"/>
      <c r="M852" s="11" t="n"/>
      <c r="N852" s="11" t="n"/>
      <c r="O852" s="11" t="n"/>
      <c r="P852" s="11" t="n"/>
      <c r="Q852" s="11" t="n"/>
    </row>
    <row r="853">
      <c r="A853" s="8">
        <f>B853&amp;"_"&amp;C853</f>
        <v/>
      </c>
      <c r="B853" s="8" t="n"/>
      <c r="C853" s="8" t="n"/>
      <c r="D853" s="8" t="n"/>
      <c r="E853" s="11" t="n"/>
      <c r="F853" s="11" t="n"/>
      <c r="G853" s="8" t="n"/>
      <c r="H853" s="8" t="n"/>
      <c r="I853" s="8" t="n"/>
      <c r="J853" s="8" t="n"/>
      <c r="K853" s="12">
        <f>IF(OR(ISERROR(VLOOKUP(C853, Resultados_Reales!$A$4:$I$107, 5, FALSE)), ISERROR(VLOOKUP(C853, Resultados_Reales!$A$4:$I$107, 6, FALSE)), VLOOKUP(C853, Resultados_Reales!$A$4:$I$107, 5, FALSE)="", VLOOKUP(C853, Resultados_Reales!$A$4:$I$107, 6, FALSE)=""), 0, IF(AND(VLOOKUP(C853, Resultados_Reales!$A$4:$I$107, 5, FALSE)=G853, VLOOKUP(C853, Resultados_Reales!$A$4:$I$107, 6, FALSE)=H853), Configuracion!$B$5, IF(SIGN(VLOOKUP(C853, Resultados_Reales!$A$4:$I$107, 5, FALSE)-VLOOKUP(C853, Resultados_Reales!$A$4:$I$107, 6, FALSE)) = SIGN(G853-H853), Configuracion!$B$4, 0)))</f>
        <v/>
      </c>
      <c r="L853" s="11" t="n"/>
      <c r="M853" s="11" t="n"/>
      <c r="N853" s="11" t="n"/>
      <c r="O853" s="11" t="n"/>
      <c r="P853" s="11" t="n"/>
      <c r="Q853" s="11" t="n"/>
    </row>
    <row r="854">
      <c r="A854" s="8">
        <f>B854&amp;"_"&amp;C854</f>
        <v/>
      </c>
      <c r="B854" s="8" t="n"/>
      <c r="C854" s="8" t="n"/>
      <c r="D854" s="8" t="n"/>
      <c r="E854" s="11" t="n"/>
      <c r="F854" s="11" t="n"/>
      <c r="G854" s="8" t="n"/>
      <c r="H854" s="8" t="n"/>
      <c r="I854" s="8" t="n"/>
      <c r="J854" s="8" t="n"/>
      <c r="K854" s="12">
        <f>IF(OR(ISERROR(VLOOKUP(C854, Resultados_Reales!$A$4:$I$107, 5, FALSE)), ISERROR(VLOOKUP(C854, Resultados_Reales!$A$4:$I$107, 6, FALSE)), VLOOKUP(C854, Resultados_Reales!$A$4:$I$107, 5, FALSE)="", VLOOKUP(C854, Resultados_Reales!$A$4:$I$107, 6, FALSE)=""), 0, IF(AND(VLOOKUP(C854, Resultados_Reales!$A$4:$I$107, 5, FALSE)=G854, VLOOKUP(C854, Resultados_Reales!$A$4:$I$107, 6, FALSE)=H854), Configuracion!$B$5, IF(SIGN(VLOOKUP(C854, Resultados_Reales!$A$4:$I$107, 5, FALSE)-VLOOKUP(C854, Resultados_Reales!$A$4:$I$107, 6, FALSE)) = SIGN(G854-H854), Configuracion!$B$4, 0)))</f>
        <v/>
      </c>
      <c r="L854" s="11" t="n"/>
      <c r="M854" s="11" t="n"/>
      <c r="N854" s="11" t="n"/>
      <c r="O854" s="11" t="n"/>
      <c r="P854" s="11" t="n"/>
      <c r="Q854" s="11" t="n"/>
    </row>
    <row r="855">
      <c r="A855" s="8">
        <f>B855&amp;"_"&amp;C855</f>
        <v/>
      </c>
      <c r="B855" s="8" t="n"/>
      <c r="C855" s="8" t="n"/>
      <c r="D855" s="8" t="n"/>
      <c r="E855" s="11" t="n"/>
      <c r="F855" s="11" t="n"/>
      <c r="G855" s="8" t="n"/>
      <c r="H855" s="8" t="n"/>
      <c r="I855" s="8" t="n"/>
      <c r="J855" s="8" t="n"/>
      <c r="K855" s="12">
        <f>IF(OR(ISERROR(VLOOKUP(C855, Resultados_Reales!$A$4:$I$107, 5, FALSE)), ISERROR(VLOOKUP(C855, Resultados_Reales!$A$4:$I$107, 6, FALSE)), VLOOKUP(C855, Resultados_Reales!$A$4:$I$107, 5, FALSE)="", VLOOKUP(C855, Resultados_Reales!$A$4:$I$107, 6, FALSE)=""), 0, IF(AND(VLOOKUP(C855, Resultados_Reales!$A$4:$I$107, 5, FALSE)=G855, VLOOKUP(C855, Resultados_Reales!$A$4:$I$107, 6, FALSE)=H855), Configuracion!$B$5, IF(SIGN(VLOOKUP(C855, Resultados_Reales!$A$4:$I$107, 5, FALSE)-VLOOKUP(C855, Resultados_Reales!$A$4:$I$107, 6, FALSE)) = SIGN(G855-H855), Configuracion!$B$4, 0)))</f>
        <v/>
      </c>
      <c r="L855" s="11" t="n"/>
      <c r="M855" s="11" t="n"/>
      <c r="N855" s="11" t="n"/>
      <c r="O855" s="11" t="n"/>
      <c r="P855" s="11" t="n"/>
      <c r="Q855" s="11" t="n"/>
    </row>
    <row r="856">
      <c r="A856" s="8">
        <f>B856&amp;"_"&amp;C856</f>
        <v/>
      </c>
      <c r="B856" s="8" t="n"/>
      <c r="C856" s="8" t="n"/>
      <c r="D856" s="8" t="n"/>
      <c r="E856" s="11" t="n"/>
      <c r="F856" s="11" t="n"/>
      <c r="G856" s="8" t="n"/>
      <c r="H856" s="8" t="n"/>
      <c r="I856" s="8" t="n"/>
      <c r="J856" s="8" t="n"/>
      <c r="K856" s="12">
        <f>IF(OR(ISERROR(VLOOKUP(C856, Resultados_Reales!$A$4:$I$107, 5, FALSE)), ISERROR(VLOOKUP(C856, Resultados_Reales!$A$4:$I$107, 6, FALSE)), VLOOKUP(C856, Resultados_Reales!$A$4:$I$107, 5, FALSE)="", VLOOKUP(C856, Resultados_Reales!$A$4:$I$107, 6, FALSE)=""), 0, IF(AND(VLOOKUP(C856, Resultados_Reales!$A$4:$I$107, 5, FALSE)=G856, VLOOKUP(C856, Resultados_Reales!$A$4:$I$107, 6, FALSE)=H856), Configuracion!$B$5, IF(SIGN(VLOOKUP(C856, Resultados_Reales!$A$4:$I$107, 5, FALSE)-VLOOKUP(C856, Resultados_Reales!$A$4:$I$107, 6, FALSE)) = SIGN(G856-H856), Configuracion!$B$4, 0)))</f>
        <v/>
      </c>
      <c r="L856" s="11" t="n"/>
      <c r="M856" s="11" t="n"/>
      <c r="N856" s="11" t="n"/>
      <c r="O856" s="11" t="n"/>
      <c r="P856" s="11" t="n"/>
      <c r="Q856" s="11" t="n"/>
    </row>
    <row r="857">
      <c r="A857" s="8">
        <f>B857&amp;"_"&amp;C857</f>
        <v/>
      </c>
      <c r="B857" s="8" t="n"/>
      <c r="C857" s="8" t="n"/>
      <c r="D857" s="8" t="n"/>
      <c r="E857" s="11" t="n"/>
      <c r="F857" s="11" t="n"/>
      <c r="G857" s="8" t="n"/>
      <c r="H857" s="8" t="n"/>
      <c r="I857" s="8" t="n"/>
      <c r="J857" s="8" t="n"/>
      <c r="K857" s="12">
        <f>IF(OR(ISERROR(VLOOKUP(C857, Resultados_Reales!$A$4:$I$107, 5, FALSE)), ISERROR(VLOOKUP(C857, Resultados_Reales!$A$4:$I$107, 6, FALSE)), VLOOKUP(C857, Resultados_Reales!$A$4:$I$107, 5, FALSE)="", VLOOKUP(C857, Resultados_Reales!$A$4:$I$107, 6, FALSE)=""), 0, IF(AND(VLOOKUP(C857, Resultados_Reales!$A$4:$I$107, 5, FALSE)=G857, VLOOKUP(C857, Resultados_Reales!$A$4:$I$107, 6, FALSE)=H857), Configuracion!$B$5, IF(SIGN(VLOOKUP(C857, Resultados_Reales!$A$4:$I$107, 5, FALSE)-VLOOKUP(C857, Resultados_Reales!$A$4:$I$107, 6, FALSE)) = SIGN(G857-H857), Configuracion!$B$4, 0)))</f>
        <v/>
      </c>
      <c r="L857" s="11" t="n"/>
      <c r="M857" s="11" t="n"/>
      <c r="N857" s="11" t="n"/>
      <c r="O857" s="11" t="n"/>
      <c r="P857" s="11" t="n"/>
      <c r="Q857" s="11" t="n"/>
    </row>
    <row r="858">
      <c r="A858" s="8">
        <f>B858&amp;"_"&amp;C858</f>
        <v/>
      </c>
      <c r="B858" s="8" t="n"/>
      <c r="C858" s="8" t="n"/>
      <c r="D858" s="8" t="n"/>
      <c r="E858" s="11" t="n"/>
      <c r="F858" s="11" t="n"/>
      <c r="G858" s="8" t="n"/>
      <c r="H858" s="8" t="n"/>
      <c r="I858" s="8" t="n"/>
      <c r="J858" s="8" t="n"/>
      <c r="K858" s="12">
        <f>IF(OR(ISERROR(VLOOKUP(C858, Resultados_Reales!$A$4:$I$107, 5, FALSE)), ISERROR(VLOOKUP(C858, Resultados_Reales!$A$4:$I$107, 6, FALSE)), VLOOKUP(C858, Resultados_Reales!$A$4:$I$107, 5, FALSE)="", VLOOKUP(C858, Resultados_Reales!$A$4:$I$107, 6, FALSE)=""), 0, IF(AND(VLOOKUP(C858, Resultados_Reales!$A$4:$I$107, 5, FALSE)=G858, VLOOKUP(C858, Resultados_Reales!$A$4:$I$107, 6, FALSE)=H858), Configuracion!$B$5, IF(SIGN(VLOOKUP(C858, Resultados_Reales!$A$4:$I$107, 5, FALSE)-VLOOKUP(C858, Resultados_Reales!$A$4:$I$107, 6, FALSE)) = SIGN(G858-H858), Configuracion!$B$4, 0)))</f>
        <v/>
      </c>
      <c r="L858" s="11" t="n"/>
      <c r="M858" s="11" t="n"/>
      <c r="N858" s="11" t="n"/>
      <c r="O858" s="11" t="n"/>
      <c r="P858" s="11" t="n"/>
      <c r="Q858" s="11" t="n"/>
    </row>
    <row r="859">
      <c r="A859" s="8">
        <f>B859&amp;"_"&amp;C859</f>
        <v/>
      </c>
      <c r="B859" s="8" t="n"/>
      <c r="C859" s="8" t="n"/>
      <c r="D859" s="8" t="n"/>
      <c r="E859" s="11" t="n"/>
      <c r="F859" s="11" t="n"/>
      <c r="G859" s="8" t="n"/>
      <c r="H859" s="8" t="n"/>
      <c r="I859" s="8" t="n"/>
      <c r="J859" s="8" t="n"/>
      <c r="K859" s="12">
        <f>IF(OR(ISERROR(VLOOKUP(C859, Resultados_Reales!$A$4:$I$107, 5, FALSE)), ISERROR(VLOOKUP(C859, Resultados_Reales!$A$4:$I$107, 6, FALSE)), VLOOKUP(C859, Resultados_Reales!$A$4:$I$107, 5, FALSE)="", VLOOKUP(C859, Resultados_Reales!$A$4:$I$107, 6, FALSE)=""), 0, IF(AND(VLOOKUP(C859, Resultados_Reales!$A$4:$I$107, 5, FALSE)=G859, VLOOKUP(C859, Resultados_Reales!$A$4:$I$107, 6, FALSE)=H859), Configuracion!$B$5, IF(SIGN(VLOOKUP(C859, Resultados_Reales!$A$4:$I$107, 5, FALSE)-VLOOKUP(C859, Resultados_Reales!$A$4:$I$107, 6, FALSE)) = SIGN(G859-H859), Configuracion!$B$4, 0)))</f>
        <v/>
      </c>
      <c r="L859" s="11" t="n"/>
      <c r="M859" s="11" t="n"/>
      <c r="N859" s="11" t="n"/>
      <c r="O859" s="11" t="n"/>
      <c r="P859" s="11" t="n"/>
      <c r="Q859" s="11" t="n"/>
    </row>
    <row r="860">
      <c r="A860" s="8">
        <f>B860&amp;"_"&amp;C860</f>
        <v/>
      </c>
      <c r="B860" s="8" t="n"/>
      <c r="C860" s="8" t="n"/>
      <c r="D860" s="8" t="n"/>
      <c r="E860" s="11" t="n"/>
      <c r="F860" s="11" t="n"/>
      <c r="G860" s="8" t="n"/>
      <c r="H860" s="8" t="n"/>
      <c r="I860" s="8" t="n"/>
      <c r="J860" s="8" t="n"/>
      <c r="K860" s="12">
        <f>IF(OR(ISERROR(VLOOKUP(C860, Resultados_Reales!$A$4:$I$107, 5, FALSE)), ISERROR(VLOOKUP(C860, Resultados_Reales!$A$4:$I$107, 6, FALSE)), VLOOKUP(C860, Resultados_Reales!$A$4:$I$107, 5, FALSE)="", VLOOKUP(C860, Resultados_Reales!$A$4:$I$107, 6, FALSE)=""), 0, IF(AND(VLOOKUP(C860, Resultados_Reales!$A$4:$I$107, 5, FALSE)=G860, VLOOKUP(C860, Resultados_Reales!$A$4:$I$107, 6, FALSE)=H860), Configuracion!$B$5, IF(SIGN(VLOOKUP(C860, Resultados_Reales!$A$4:$I$107, 5, FALSE)-VLOOKUP(C860, Resultados_Reales!$A$4:$I$107, 6, FALSE)) = SIGN(G860-H860), Configuracion!$B$4, 0)))</f>
        <v/>
      </c>
      <c r="L860" s="11" t="n"/>
      <c r="M860" s="11" t="n"/>
      <c r="N860" s="11" t="n"/>
      <c r="O860" s="11" t="n"/>
      <c r="P860" s="11" t="n"/>
      <c r="Q860" s="11" t="n"/>
    </row>
    <row r="861">
      <c r="A861" s="8">
        <f>B861&amp;"_"&amp;C861</f>
        <v/>
      </c>
      <c r="B861" s="8" t="n"/>
      <c r="C861" s="8" t="n"/>
      <c r="D861" s="8" t="n"/>
      <c r="E861" s="11" t="n"/>
      <c r="F861" s="11" t="n"/>
      <c r="G861" s="8" t="n"/>
      <c r="H861" s="8" t="n"/>
      <c r="I861" s="8" t="n"/>
      <c r="J861" s="8" t="n"/>
      <c r="K861" s="12">
        <f>IF(OR(ISERROR(VLOOKUP(C861, Resultados_Reales!$A$4:$I$107, 5, FALSE)), ISERROR(VLOOKUP(C861, Resultados_Reales!$A$4:$I$107, 6, FALSE)), VLOOKUP(C861, Resultados_Reales!$A$4:$I$107, 5, FALSE)="", VLOOKUP(C861, Resultados_Reales!$A$4:$I$107, 6, FALSE)=""), 0, IF(AND(VLOOKUP(C861, Resultados_Reales!$A$4:$I$107, 5, FALSE)=G861, VLOOKUP(C861, Resultados_Reales!$A$4:$I$107, 6, FALSE)=H861), Configuracion!$B$5, IF(SIGN(VLOOKUP(C861, Resultados_Reales!$A$4:$I$107, 5, FALSE)-VLOOKUP(C861, Resultados_Reales!$A$4:$I$107, 6, FALSE)) = SIGN(G861-H861), Configuracion!$B$4, 0)))</f>
        <v/>
      </c>
      <c r="L861" s="11" t="n"/>
      <c r="M861" s="11" t="n"/>
      <c r="N861" s="11" t="n"/>
      <c r="O861" s="11" t="n"/>
      <c r="P861" s="11" t="n"/>
      <c r="Q861" s="11" t="n"/>
    </row>
    <row r="862">
      <c r="A862" s="8">
        <f>B862&amp;"_"&amp;C862</f>
        <v/>
      </c>
      <c r="B862" s="8" t="n"/>
      <c r="C862" s="8" t="n"/>
      <c r="D862" s="8" t="n"/>
      <c r="E862" s="11" t="n"/>
      <c r="F862" s="11" t="n"/>
      <c r="G862" s="8" t="n"/>
      <c r="H862" s="8" t="n"/>
      <c r="I862" s="8" t="n"/>
      <c r="J862" s="8" t="n"/>
      <c r="K862" s="12">
        <f>IF(OR(ISERROR(VLOOKUP(C862, Resultados_Reales!$A$4:$I$107, 5, FALSE)), ISERROR(VLOOKUP(C862, Resultados_Reales!$A$4:$I$107, 6, FALSE)), VLOOKUP(C862, Resultados_Reales!$A$4:$I$107, 5, FALSE)="", VLOOKUP(C862, Resultados_Reales!$A$4:$I$107, 6, FALSE)=""), 0, IF(AND(VLOOKUP(C862, Resultados_Reales!$A$4:$I$107, 5, FALSE)=G862, VLOOKUP(C862, Resultados_Reales!$A$4:$I$107, 6, FALSE)=H862), Configuracion!$B$5, IF(SIGN(VLOOKUP(C862, Resultados_Reales!$A$4:$I$107, 5, FALSE)-VLOOKUP(C862, Resultados_Reales!$A$4:$I$107, 6, FALSE)) = SIGN(G862-H862), Configuracion!$B$4, 0)))</f>
        <v/>
      </c>
      <c r="L862" s="11" t="n"/>
      <c r="M862" s="11" t="n"/>
      <c r="N862" s="11" t="n"/>
      <c r="O862" s="11" t="n"/>
      <c r="P862" s="11" t="n"/>
      <c r="Q862" s="11" t="n"/>
    </row>
    <row r="863">
      <c r="A863" s="8">
        <f>B863&amp;"_"&amp;C863</f>
        <v/>
      </c>
      <c r="B863" s="8" t="n"/>
      <c r="C863" s="8" t="n"/>
      <c r="D863" s="8" t="n"/>
      <c r="E863" s="11" t="n"/>
      <c r="F863" s="11" t="n"/>
      <c r="G863" s="8" t="n"/>
      <c r="H863" s="8" t="n"/>
      <c r="I863" s="8" t="n"/>
      <c r="J863" s="8" t="n"/>
      <c r="K863" s="12">
        <f>IF(OR(ISERROR(VLOOKUP(C863, Resultados_Reales!$A$4:$I$107, 5, FALSE)), ISERROR(VLOOKUP(C863, Resultados_Reales!$A$4:$I$107, 6, FALSE)), VLOOKUP(C863, Resultados_Reales!$A$4:$I$107, 5, FALSE)="", VLOOKUP(C863, Resultados_Reales!$A$4:$I$107, 6, FALSE)=""), 0, IF(AND(VLOOKUP(C863, Resultados_Reales!$A$4:$I$107, 5, FALSE)=G863, VLOOKUP(C863, Resultados_Reales!$A$4:$I$107, 6, FALSE)=H863), Configuracion!$B$5, IF(SIGN(VLOOKUP(C863, Resultados_Reales!$A$4:$I$107, 5, FALSE)-VLOOKUP(C863, Resultados_Reales!$A$4:$I$107, 6, FALSE)) = SIGN(G863-H863), Configuracion!$B$4, 0)))</f>
        <v/>
      </c>
      <c r="L863" s="11" t="n"/>
      <c r="M863" s="11" t="n"/>
      <c r="N863" s="11" t="n"/>
      <c r="O863" s="11" t="n"/>
      <c r="P863" s="11" t="n"/>
      <c r="Q863" s="11" t="n"/>
    </row>
    <row r="864">
      <c r="A864" s="8">
        <f>B864&amp;"_"&amp;C864</f>
        <v/>
      </c>
      <c r="B864" s="8" t="n"/>
      <c r="C864" s="8" t="n"/>
      <c r="D864" s="8" t="n"/>
      <c r="E864" s="11" t="n"/>
      <c r="F864" s="11" t="n"/>
      <c r="G864" s="8" t="n"/>
      <c r="H864" s="8" t="n"/>
      <c r="I864" s="8" t="n"/>
      <c r="J864" s="8" t="n"/>
      <c r="K864" s="12">
        <f>IF(OR(ISERROR(VLOOKUP(C864, Resultados_Reales!$A$4:$I$107, 5, FALSE)), ISERROR(VLOOKUP(C864, Resultados_Reales!$A$4:$I$107, 6, FALSE)), VLOOKUP(C864, Resultados_Reales!$A$4:$I$107, 5, FALSE)="", VLOOKUP(C864, Resultados_Reales!$A$4:$I$107, 6, FALSE)=""), 0, IF(AND(VLOOKUP(C864, Resultados_Reales!$A$4:$I$107, 5, FALSE)=G864, VLOOKUP(C864, Resultados_Reales!$A$4:$I$107, 6, FALSE)=H864), Configuracion!$B$5, IF(SIGN(VLOOKUP(C864, Resultados_Reales!$A$4:$I$107, 5, FALSE)-VLOOKUP(C864, Resultados_Reales!$A$4:$I$107, 6, FALSE)) = SIGN(G864-H864), Configuracion!$B$4, 0)))</f>
        <v/>
      </c>
      <c r="L864" s="11" t="n"/>
      <c r="M864" s="11" t="n"/>
      <c r="N864" s="11" t="n"/>
      <c r="O864" s="11" t="n"/>
      <c r="P864" s="11" t="n"/>
      <c r="Q864" s="11" t="n"/>
    </row>
    <row r="865">
      <c r="A865" s="8">
        <f>B865&amp;"_"&amp;C865</f>
        <v/>
      </c>
      <c r="B865" s="8" t="n"/>
      <c r="C865" s="8" t="n"/>
      <c r="D865" s="8" t="n"/>
      <c r="E865" s="11" t="n"/>
      <c r="F865" s="11" t="n"/>
      <c r="G865" s="8" t="n"/>
      <c r="H865" s="8" t="n"/>
      <c r="I865" s="8" t="n"/>
      <c r="J865" s="8" t="n"/>
      <c r="K865" s="12">
        <f>IF(OR(ISERROR(VLOOKUP(C865, Resultados_Reales!$A$4:$I$107, 5, FALSE)), ISERROR(VLOOKUP(C865, Resultados_Reales!$A$4:$I$107, 6, FALSE)), VLOOKUP(C865, Resultados_Reales!$A$4:$I$107, 5, FALSE)="", VLOOKUP(C865, Resultados_Reales!$A$4:$I$107, 6, FALSE)=""), 0, IF(AND(VLOOKUP(C865, Resultados_Reales!$A$4:$I$107, 5, FALSE)=G865, VLOOKUP(C865, Resultados_Reales!$A$4:$I$107, 6, FALSE)=H865), Configuracion!$B$5, IF(SIGN(VLOOKUP(C865, Resultados_Reales!$A$4:$I$107, 5, FALSE)-VLOOKUP(C865, Resultados_Reales!$A$4:$I$107, 6, FALSE)) = SIGN(G865-H865), Configuracion!$B$4, 0)))</f>
        <v/>
      </c>
      <c r="L865" s="11" t="n"/>
      <c r="M865" s="11" t="n"/>
      <c r="N865" s="11" t="n"/>
      <c r="O865" s="11" t="n"/>
      <c r="P865" s="11" t="n"/>
      <c r="Q865" s="11" t="n"/>
    </row>
    <row r="866">
      <c r="A866" s="8">
        <f>B866&amp;"_"&amp;C866</f>
        <v/>
      </c>
      <c r="B866" s="8" t="n"/>
      <c r="C866" s="8" t="n"/>
      <c r="D866" s="8" t="n"/>
      <c r="E866" s="11" t="n"/>
      <c r="F866" s="11" t="n"/>
      <c r="G866" s="8" t="n"/>
      <c r="H866" s="8" t="n"/>
      <c r="I866" s="8" t="n"/>
      <c r="J866" s="8" t="n"/>
      <c r="K866" s="12">
        <f>IF(OR(ISERROR(VLOOKUP(C866, Resultados_Reales!$A$4:$I$107, 5, FALSE)), ISERROR(VLOOKUP(C866, Resultados_Reales!$A$4:$I$107, 6, FALSE)), VLOOKUP(C866, Resultados_Reales!$A$4:$I$107, 5, FALSE)="", VLOOKUP(C866, Resultados_Reales!$A$4:$I$107, 6, FALSE)=""), 0, IF(AND(VLOOKUP(C866, Resultados_Reales!$A$4:$I$107, 5, FALSE)=G866, VLOOKUP(C866, Resultados_Reales!$A$4:$I$107, 6, FALSE)=H866), Configuracion!$B$5, IF(SIGN(VLOOKUP(C866, Resultados_Reales!$A$4:$I$107, 5, FALSE)-VLOOKUP(C866, Resultados_Reales!$A$4:$I$107, 6, FALSE)) = SIGN(G866-H866), Configuracion!$B$4, 0)))</f>
        <v/>
      </c>
      <c r="L866" s="11" t="n"/>
      <c r="M866" s="11" t="n"/>
      <c r="N866" s="11" t="n"/>
      <c r="O866" s="11" t="n"/>
      <c r="P866" s="11" t="n"/>
      <c r="Q866" s="11" t="n"/>
    </row>
    <row r="867">
      <c r="A867" s="8">
        <f>B867&amp;"_"&amp;C867</f>
        <v/>
      </c>
      <c r="B867" s="8" t="n"/>
      <c r="C867" s="8" t="n"/>
      <c r="D867" s="8" t="n"/>
      <c r="E867" s="11" t="n"/>
      <c r="F867" s="11" t="n"/>
      <c r="G867" s="8" t="n"/>
      <c r="H867" s="8" t="n"/>
      <c r="I867" s="8" t="n"/>
      <c r="J867" s="8" t="n"/>
      <c r="K867" s="12">
        <f>IF(OR(ISERROR(VLOOKUP(C867, Resultados_Reales!$A$4:$I$107, 5, FALSE)), ISERROR(VLOOKUP(C867, Resultados_Reales!$A$4:$I$107, 6, FALSE)), VLOOKUP(C867, Resultados_Reales!$A$4:$I$107, 5, FALSE)="", VLOOKUP(C867, Resultados_Reales!$A$4:$I$107, 6, FALSE)=""), 0, IF(AND(VLOOKUP(C867, Resultados_Reales!$A$4:$I$107, 5, FALSE)=G867, VLOOKUP(C867, Resultados_Reales!$A$4:$I$107, 6, FALSE)=H867), Configuracion!$B$5, IF(SIGN(VLOOKUP(C867, Resultados_Reales!$A$4:$I$107, 5, FALSE)-VLOOKUP(C867, Resultados_Reales!$A$4:$I$107, 6, FALSE)) = SIGN(G867-H867), Configuracion!$B$4, 0)))</f>
        <v/>
      </c>
      <c r="L867" s="11" t="n"/>
      <c r="M867" s="11" t="n"/>
      <c r="N867" s="11" t="n"/>
      <c r="O867" s="11" t="n"/>
      <c r="P867" s="11" t="n"/>
      <c r="Q867" s="11" t="n"/>
    </row>
    <row r="868">
      <c r="A868" s="8">
        <f>B868&amp;"_"&amp;C868</f>
        <v/>
      </c>
      <c r="B868" s="8" t="n"/>
      <c r="C868" s="8" t="n"/>
      <c r="D868" s="8" t="n"/>
      <c r="E868" s="11" t="n"/>
      <c r="F868" s="11" t="n"/>
      <c r="G868" s="8" t="n"/>
      <c r="H868" s="8" t="n"/>
      <c r="I868" s="8" t="n"/>
      <c r="J868" s="8" t="n"/>
      <c r="K868" s="12">
        <f>IF(OR(ISERROR(VLOOKUP(C868, Resultados_Reales!$A$4:$I$107, 5, FALSE)), ISERROR(VLOOKUP(C868, Resultados_Reales!$A$4:$I$107, 6, FALSE)), VLOOKUP(C868, Resultados_Reales!$A$4:$I$107, 5, FALSE)="", VLOOKUP(C868, Resultados_Reales!$A$4:$I$107, 6, FALSE)=""), 0, IF(AND(VLOOKUP(C868, Resultados_Reales!$A$4:$I$107, 5, FALSE)=G868, VLOOKUP(C868, Resultados_Reales!$A$4:$I$107, 6, FALSE)=H868), Configuracion!$B$5, IF(SIGN(VLOOKUP(C868, Resultados_Reales!$A$4:$I$107, 5, FALSE)-VLOOKUP(C868, Resultados_Reales!$A$4:$I$107, 6, FALSE)) = SIGN(G868-H868), Configuracion!$B$4, 0)))</f>
        <v/>
      </c>
      <c r="L868" s="11" t="n"/>
      <c r="M868" s="11" t="n"/>
      <c r="N868" s="11" t="n"/>
      <c r="O868" s="11" t="n"/>
      <c r="P868" s="11" t="n"/>
      <c r="Q868" s="11" t="n"/>
    </row>
    <row r="869">
      <c r="A869" s="8">
        <f>B869&amp;"_"&amp;C869</f>
        <v/>
      </c>
      <c r="B869" s="8" t="n"/>
      <c r="C869" s="8" t="n"/>
      <c r="D869" s="8" t="n"/>
      <c r="E869" s="11" t="n"/>
      <c r="F869" s="11" t="n"/>
      <c r="G869" s="8" t="n"/>
      <c r="H869" s="8" t="n"/>
      <c r="I869" s="8" t="n"/>
      <c r="J869" s="8" t="n"/>
      <c r="K869" s="12">
        <f>IF(OR(ISERROR(VLOOKUP(C869, Resultados_Reales!$A$4:$I$107, 5, FALSE)), ISERROR(VLOOKUP(C869, Resultados_Reales!$A$4:$I$107, 6, FALSE)), VLOOKUP(C869, Resultados_Reales!$A$4:$I$107, 5, FALSE)="", VLOOKUP(C869, Resultados_Reales!$A$4:$I$107, 6, FALSE)=""), 0, IF(AND(VLOOKUP(C869, Resultados_Reales!$A$4:$I$107, 5, FALSE)=G869, VLOOKUP(C869, Resultados_Reales!$A$4:$I$107, 6, FALSE)=H869), Configuracion!$B$5, IF(SIGN(VLOOKUP(C869, Resultados_Reales!$A$4:$I$107, 5, FALSE)-VLOOKUP(C869, Resultados_Reales!$A$4:$I$107, 6, FALSE)) = SIGN(G869-H869), Configuracion!$B$4, 0)))</f>
        <v/>
      </c>
      <c r="L869" s="11" t="n"/>
      <c r="M869" s="11" t="n"/>
      <c r="N869" s="11" t="n"/>
      <c r="O869" s="11" t="n"/>
      <c r="P869" s="11" t="n"/>
      <c r="Q869" s="11" t="n"/>
    </row>
    <row r="870">
      <c r="A870" s="8">
        <f>B870&amp;"_"&amp;C870</f>
        <v/>
      </c>
      <c r="B870" s="8" t="n"/>
      <c r="C870" s="8" t="n"/>
      <c r="D870" s="8" t="n"/>
      <c r="E870" s="11" t="n"/>
      <c r="F870" s="11" t="n"/>
      <c r="G870" s="8" t="n"/>
      <c r="H870" s="8" t="n"/>
      <c r="I870" s="8" t="n"/>
      <c r="J870" s="8" t="n"/>
      <c r="K870" s="12">
        <f>IF(OR(ISERROR(VLOOKUP(C870, Resultados_Reales!$A$4:$I$107, 5, FALSE)), ISERROR(VLOOKUP(C870, Resultados_Reales!$A$4:$I$107, 6, FALSE)), VLOOKUP(C870, Resultados_Reales!$A$4:$I$107, 5, FALSE)="", VLOOKUP(C870, Resultados_Reales!$A$4:$I$107, 6, FALSE)=""), 0, IF(AND(VLOOKUP(C870, Resultados_Reales!$A$4:$I$107, 5, FALSE)=G870, VLOOKUP(C870, Resultados_Reales!$A$4:$I$107, 6, FALSE)=H870), Configuracion!$B$5, IF(SIGN(VLOOKUP(C870, Resultados_Reales!$A$4:$I$107, 5, FALSE)-VLOOKUP(C870, Resultados_Reales!$A$4:$I$107, 6, FALSE)) = SIGN(G870-H870), Configuracion!$B$4, 0)))</f>
        <v/>
      </c>
      <c r="L870" s="11" t="n"/>
      <c r="M870" s="11" t="n"/>
      <c r="N870" s="11" t="n"/>
      <c r="O870" s="11" t="n"/>
      <c r="P870" s="11" t="n"/>
      <c r="Q870" s="11" t="n"/>
    </row>
    <row r="871">
      <c r="A871" s="8">
        <f>B871&amp;"_"&amp;C871</f>
        <v/>
      </c>
      <c r="B871" s="8" t="n"/>
      <c r="C871" s="8" t="n"/>
      <c r="D871" s="8" t="n"/>
      <c r="E871" s="11" t="n"/>
      <c r="F871" s="11" t="n"/>
      <c r="G871" s="8" t="n"/>
      <c r="H871" s="8" t="n"/>
      <c r="I871" s="8" t="n"/>
      <c r="J871" s="8" t="n"/>
      <c r="K871" s="12">
        <f>IF(OR(ISERROR(VLOOKUP(C871, Resultados_Reales!$A$4:$I$107, 5, FALSE)), ISERROR(VLOOKUP(C871, Resultados_Reales!$A$4:$I$107, 6, FALSE)), VLOOKUP(C871, Resultados_Reales!$A$4:$I$107, 5, FALSE)="", VLOOKUP(C871, Resultados_Reales!$A$4:$I$107, 6, FALSE)=""), 0, IF(AND(VLOOKUP(C871, Resultados_Reales!$A$4:$I$107, 5, FALSE)=G871, VLOOKUP(C871, Resultados_Reales!$A$4:$I$107, 6, FALSE)=H871), Configuracion!$B$5, IF(SIGN(VLOOKUP(C871, Resultados_Reales!$A$4:$I$107, 5, FALSE)-VLOOKUP(C871, Resultados_Reales!$A$4:$I$107, 6, FALSE)) = SIGN(G871-H871), Configuracion!$B$4, 0)))</f>
        <v/>
      </c>
      <c r="L871" s="11" t="n"/>
      <c r="M871" s="11" t="n"/>
      <c r="N871" s="11" t="n"/>
      <c r="O871" s="11" t="n"/>
      <c r="P871" s="11" t="n"/>
      <c r="Q871" s="11" t="n"/>
    </row>
    <row r="872">
      <c r="A872" s="8">
        <f>B872&amp;"_"&amp;C872</f>
        <v/>
      </c>
      <c r="B872" s="8" t="n"/>
      <c r="C872" s="8" t="n"/>
      <c r="D872" s="8" t="n"/>
      <c r="E872" s="11" t="n"/>
      <c r="F872" s="11" t="n"/>
      <c r="G872" s="8" t="n"/>
      <c r="H872" s="8" t="n"/>
      <c r="I872" s="8" t="n"/>
      <c r="J872" s="8" t="n"/>
      <c r="K872" s="12">
        <f>IF(OR(ISERROR(VLOOKUP(C872, Resultados_Reales!$A$4:$I$107, 5, FALSE)), ISERROR(VLOOKUP(C872, Resultados_Reales!$A$4:$I$107, 6, FALSE)), VLOOKUP(C872, Resultados_Reales!$A$4:$I$107, 5, FALSE)="", VLOOKUP(C872, Resultados_Reales!$A$4:$I$107, 6, FALSE)=""), 0, IF(AND(VLOOKUP(C872, Resultados_Reales!$A$4:$I$107, 5, FALSE)=G872, VLOOKUP(C872, Resultados_Reales!$A$4:$I$107, 6, FALSE)=H872), Configuracion!$B$5, IF(SIGN(VLOOKUP(C872, Resultados_Reales!$A$4:$I$107, 5, FALSE)-VLOOKUP(C872, Resultados_Reales!$A$4:$I$107, 6, FALSE)) = SIGN(G872-H872), Configuracion!$B$4, 0)))</f>
        <v/>
      </c>
      <c r="L872" s="11" t="n"/>
      <c r="M872" s="11" t="n"/>
      <c r="N872" s="11" t="n"/>
      <c r="O872" s="11" t="n"/>
      <c r="P872" s="11" t="n"/>
      <c r="Q872" s="11" t="n"/>
    </row>
    <row r="873">
      <c r="A873" s="8">
        <f>B873&amp;"_"&amp;C873</f>
        <v/>
      </c>
      <c r="B873" s="8" t="n"/>
      <c r="C873" s="8" t="n"/>
      <c r="D873" s="8" t="n"/>
      <c r="E873" s="11" t="n"/>
      <c r="F873" s="11" t="n"/>
      <c r="G873" s="8" t="n"/>
      <c r="H873" s="8" t="n"/>
      <c r="I873" s="8" t="n"/>
      <c r="J873" s="8" t="n"/>
      <c r="K873" s="12">
        <f>IF(OR(ISERROR(VLOOKUP(C873, Resultados_Reales!$A$4:$I$107, 5, FALSE)), ISERROR(VLOOKUP(C873, Resultados_Reales!$A$4:$I$107, 6, FALSE)), VLOOKUP(C873, Resultados_Reales!$A$4:$I$107, 5, FALSE)="", VLOOKUP(C873, Resultados_Reales!$A$4:$I$107, 6, FALSE)=""), 0, IF(AND(VLOOKUP(C873, Resultados_Reales!$A$4:$I$107, 5, FALSE)=G873, VLOOKUP(C873, Resultados_Reales!$A$4:$I$107, 6, FALSE)=H873), Configuracion!$B$5, IF(SIGN(VLOOKUP(C873, Resultados_Reales!$A$4:$I$107, 5, FALSE)-VLOOKUP(C873, Resultados_Reales!$A$4:$I$107, 6, FALSE)) = SIGN(G873-H873), Configuracion!$B$4, 0)))</f>
        <v/>
      </c>
      <c r="L873" s="11" t="n"/>
      <c r="M873" s="11" t="n"/>
      <c r="N873" s="11" t="n"/>
      <c r="O873" s="11" t="n"/>
      <c r="P873" s="11" t="n"/>
      <c r="Q873" s="11" t="n"/>
    </row>
    <row r="874">
      <c r="A874" s="8">
        <f>B874&amp;"_"&amp;C874</f>
        <v/>
      </c>
      <c r="B874" s="8" t="n"/>
      <c r="C874" s="8" t="n"/>
      <c r="D874" s="8" t="n"/>
      <c r="E874" s="11" t="n"/>
      <c r="F874" s="11" t="n"/>
      <c r="G874" s="8" t="n"/>
      <c r="H874" s="8" t="n"/>
      <c r="I874" s="8" t="n"/>
      <c r="J874" s="8" t="n"/>
      <c r="K874" s="12">
        <f>IF(OR(ISERROR(VLOOKUP(C874, Resultados_Reales!$A$4:$I$107, 5, FALSE)), ISERROR(VLOOKUP(C874, Resultados_Reales!$A$4:$I$107, 6, FALSE)), VLOOKUP(C874, Resultados_Reales!$A$4:$I$107, 5, FALSE)="", VLOOKUP(C874, Resultados_Reales!$A$4:$I$107, 6, FALSE)=""), 0, IF(AND(VLOOKUP(C874, Resultados_Reales!$A$4:$I$107, 5, FALSE)=G874, VLOOKUP(C874, Resultados_Reales!$A$4:$I$107, 6, FALSE)=H874), Configuracion!$B$5, IF(SIGN(VLOOKUP(C874, Resultados_Reales!$A$4:$I$107, 5, FALSE)-VLOOKUP(C874, Resultados_Reales!$A$4:$I$107, 6, FALSE)) = SIGN(G874-H874), Configuracion!$B$4, 0)))</f>
        <v/>
      </c>
      <c r="L874" s="11" t="n"/>
      <c r="M874" s="11" t="n"/>
      <c r="N874" s="11" t="n"/>
      <c r="O874" s="11" t="n"/>
      <c r="P874" s="11" t="n"/>
      <c r="Q874" s="11" t="n"/>
    </row>
    <row r="875">
      <c r="A875" s="8">
        <f>B875&amp;"_"&amp;C875</f>
        <v/>
      </c>
      <c r="B875" s="8" t="n"/>
      <c r="C875" s="8" t="n"/>
      <c r="D875" s="8" t="n"/>
      <c r="E875" s="11" t="n"/>
      <c r="F875" s="11" t="n"/>
      <c r="G875" s="8" t="n"/>
      <c r="H875" s="8" t="n"/>
      <c r="I875" s="8" t="n"/>
      <c r="J875" s="8" t="n"/>
      <c r="K875" s="12">
        <f>IF(OR(ISERROR(VLOOKUP(C875, Resultados_Reales!$A$4:$I$107, 5, FALSE)), ISERROR(VLOOKUP(C875, Resultados_Reales!$A$4:$I$107, 6, FALSE)), VLOOKUP(C875, Resultados_Reales!$A$4:$I$107, 5, FALSE)="", VLOOKUP(C875, Resultados_Reales!$A$4:$I$107, 6, FALSE)=""), 0, IF(AND(VLOOKUP(C875, Resultados_Reales!$A$4:$I$107, 5, FALSE)=G875, VLOOKUP(C875, Resultados_Reales!$A$4:$I$107, 6, FALSE)=H875), Configuracion!$B$5, IF(SIGN(VLOOKUP(C875, Resultados_Reales!$A$4:$I$107, 5, FALSE)-VLOOKUP(C875, Resultados_Reales!$A$4:$I$107, 6, FALSE)) = SIGN(G875-H875), Configuracion!$B$4, 0)))</f>
        <v/>
      </c>
      <c r="L875" s="11" t="n"/>
      <c r="M875" s="11" t="n"/>
      <c r="N875" s="11" t="n"/>
      <c r="O875" s="11" t="n"/>
      <c r="P875" s="11" t="n"/>
      <c r="Q875" s="11" t="n"/>
    </row>
    <row r="876">
      <c r="A876" s="8">
        <f>B876&amp;"_"&amp;C876</f>
        <v/>
      </c>
      <c r="B876" s="8" t="n"/>
      <c r="C876" s="8" t="n"/>
      <c r="D876" s="8" t="n"/>
      <c r="E876" s="11" t="n"/>
      <c r="F876" s="11" t="n"/>
      <c r="G876" s="8" t="n"/>
      <c r="H876" s="8" t="n"/>
      <c r="I876" s="8" t="n"/>
      <c r="J876" s="8" t="n"/>
      <c r="K876" s="12">
        <f>IF(OR(ISERROR(VLOOKUP(C876, Resultados_Reales!$A$4:$I$107, 5, FALSE)), ISERROR(VLOOKUP(C876, Resultados_Reales!$A$4:$I$107, 6, FALSE)), VLOOKUP(C876, Resultados_Reales!$A$4:$I$107, 5, FALSE)="", VLOOKUP(C876, Resultados_Reales!$A$4:$I$107, 6, FALSE)=""), 0, IF(AND(VLOOKUP(C876, Resultados_Reales!$A$4:$I$107, 5, FALSE)=G876, VLOOKUP(C876, Resultados_Reales!$A$4:$I$107, 6, FALSE)=H876), Configuracion!$B$5, IF(SIGN(VLOOKUP(C876, Resultados_Reales!$A$4:$I$107, 5, FALSE)-VLOOKUP(C876, Resultados_Reales!$A$4:$I$107, 6, FALSE)) = SIGN(G876-H876), Configuracion!$B$4, 0)))</f>
        <v/>
      </c>
      <c r="L876" s="11" t="n"/>
      <c r="M876" s="11" t="n"/>
      <c r="N876" s="11" t="n"/>
      <c r="O876" s="11" t="n"/>
      <c r="P876" s="11" t="n"/>
      <c r="Q876" s="11" t="n"/>
    </row>
    <row r="877">
      <c r="A877" s="8">
        <f>B877&amp;"_"&amp;C877</f>
        <v/>
      </c>
      <c r="B877" s="8" t="n"/>
      <c r="C877" s="8" t="n"/>
      <c r="D877" s="8" t="n"/>
      <c r="E877" s="11" t="n"/>
      <c r="F877" s="11" t="n"/>
      <c r="G877" s="8" t="n"/>
      <c r="H877" s="8" t="n"/>
      <c r="I877" s="8" t="n"/>
      <c r="J877" s="8" t="n"/>
      <c r="K877" s="12">
        <f>IF(OR(ISERROR(VLOOKUP(C877, Resultados_Reales!$A$4:$I$107, 5, FALSE)), ISERROR(VLOOKUP(C877, Resultados_Reales!$A$4:$I$107, 6, FALSE)), VLOOKUP(C877, Resultados_Reales!$A$4:$I$107, 5, FALSE)="", VLOOKUP(C877, Resultados_Reales!$A$4:$I$107, 6, FALSE)=""), 0, IF(AND(VLOOKUP(C877, Resultados_Reales!$A$4:$I$107, 5, FALSE)=G877, VLOOKUP(C877, Resultados_Reales!$A$4:$I$107, 6, FALSE)=H877), Configuracion!$B$5, IF(SIGN(VLOOKUP(C877, Resultados_Reales!$A$4:$I$107, 5, FALSE)-VLOOKUP(C877, Resultados_Reales!$A$4:$I$107, 6, FALSE)) = SIGN(G877-H877), Configuracion!$B$4, 0)))</f>
        <v/>
      </c>
      <c r="L877" s="11" t="n"/>
      <c r="M877" s="11" t="n"/>
      <c r="N877" s="11" t="n"/>
      <c r="O877" s="11" t="n"/>
      <c r="P877" s="11" t="n"/>
      <c r="Q877" s="11" t="n"/>
    </row>
    <row r="878">
      <c r="A878" s="8">
        <f>B878&amp;"_"&amp;C878</f>
        <v/>
      </c>
      <c r="B878" s="8" t="n"/>
      <c r="C878" s="8" t="n"/>
      <c r="D878" s="8" t="n"/>
      <c r="E878" s="11" t="n"/>
      <c r="F878" s="11" t="n"/>
      <c r="G878" s="8" t="n"/>
      <c r="H878" s="8" t="n"/>
      <c r="I878" s="8" t="n"/>
      <c r="J878" s="8" t="n"/>
      <c r="K878" s="12">
        <f>IF(OR(ISERROR(VLOOKUP(C878, Resultados_Reales!$A$4:$I$107, 5, FALSE)), ISERROR(VLOOKUP(C878, Resultados_Reales!$A$4:$I$107, 6, FALSE)), VLOOKUP(C878, Resultados_Reales!$A$4:$I$107, 5, FALSE)="", VLOOKUP(C878, Resultados_Reales!$A$4:$I$107, 6, FALSE)=""), 0, IF(AND(VLOOKUP(C878, Resultados_Reales!$A$4:$I$107, 5, FALSE)=G878, VLOOKUP(C878, Resultados_Reales!$A$4:$I$107, 6, FALSE)=H878), Configuracion!$B$5, IF(SIGN(VLOOKUP(C878, Resultados_Reales!$A$4:$I$107, 5, FALSE)-VLOOKUP(C878, Resultados_Reales!$A$4:$I$107, 6, FALSE)) = SIGN(G878-H878), Configuracion!$B$4, 0)))</f>
        <v/>
      </c>
      <c r="L878" s="11" t="n"/>
      <c r="M878" s="11" t="n"/>
      <c r="N878" s="11" t="n"/>
      <c r="O878" s="11" t="n"/>
      <c r="P878" s="11" t="n"/>
      <c r="Q878" s="11" t="n"/>
    </row>
    <row r="879">
      <c r="A879" s="8">
        <f>B879&amp;"_"&amp;C879</f>
        <v/>
      </c>
      <c r="B879" s="8" t="n"/>
      <c r="C879" s="8" t="n"/>
      <c r="D879" s="8" t="n"/>
      <c r="E879" s="11" t="n"/>
      <c r="F879" s="11" t="n"/>
      <c r="G879" s="8" t="n"/>
      <c r="H879" s="8" t="n"/>
      <c r="I879" s="8" t="n"/>
      <c r="J879" s="8" t="n"/>
      <c r="K879" s="12">
        <f>IF(OR(ISERROR(VLOOKUP(C879, Resultados_Reales!$A$4:$I$107, 5, FALSE)), ISERROR(VLOOKUP(C879, Resultados_Reales!$A$4:$I$107, 6, FALSE)), VLOOKUP(C879, Resultados_Reales!$A$4:$I$107, 5, FALSE)="", VLOOKUP(C879, Resultados_Reales!$A$4:$I$107, 6, FALSE)=""), 0, IF(AND(VLOOKUP(C879, Resultados_Reales!$A$4:$I$107, 5, FALSE)=G879, VLOOKUP(C879, Resultados_Reales!$A$4:$I$107, 6, FALSE)=H879), Configuracion!$B$5, IF(SIGN(VLOOKUP(C879, Resultados_Reales!$A$4:$I$107, 5, FALSE)-VLOOKUP(C879, Resultados_Reales!$A$4:$I$107, 6, FALSE)) = SIGN(G879-H879), Configuracion!$B$4, 0)))</f>
        <v/>
      </c>
      <c r="L879" s="11" t="n"/>
      <c r="M879" s="11" t="n"/>
      <c r="N879" s="11" t="n"/>
      <c r="O879" s="11" t="n"/>
      <c r="P879" s="11" t="n"/>
      <c r="Q879" s="11" t="n"/>
    </row>
    <row r="880">
      <c r="A880" s="8">
        <f>B880&amp;"_"&amp;C880</f>
        <v/>
      </c>
      <c r="B880" s="8" t="n"/>
      <c r="C880" s="8" t="n"/>
      <c r="D880" s="8" t="n"/>
      <c r="E880" s="11" t="n"/>
      <c r="F880" s="11" t="n"/>
      <c r="G880" s="8" t="n"/>
      <c r="H880" s="8" t="n"/>
      <c r="I880" s="8" t="n"/>
      <c r="J880" s="8" t="n"/>
      <c r="K880" s="12">
        <f>IF(OR(ISERROR(VLOOKUP(C880, Resultados_Reales!$A$4:$I$107, 5, FALSE)), ISERROR(VLOOKUP(C880, Resultados_Reales!$A$4:$I$107, 6, FALSE)), VLOOKUP(C880, Resultados_Reales!$A$4:$I$107, 5, FALSE)="", VLOOKUP(C880, Resultados_Reales!$A$4:$I$107, 6, FALSE)=""), 0, IF(AND(VLOOKUP(C880, Resultados_Reales!$A$4:$I$107, 5, FALSE)=G880, VLOOKUP(C880, Resultados_Reales!$A$4:$I$107, 6, FALSE)=H880), Configuracion!$B$5, IF(SIGN(VLOOKUP(C880, Resultados_Reales!$A$4:$I$107, 5, FALSE)-VLOOKUP(C880, Resultados_Reales!$A$4:$I$107, 6, FALSE)) = SIGN(G880-H880), Configuracion!$B$4, 0)))</f>
        <v/>
      </c>
      <c r="L880" s="11" t="n"/>
      <c r="M880" s="11" t="n"/>
      <c r="N880" s="11" t="n"/>
      <c r="O880" s="11" t="n"/>
      <c r="P880" s="11" t="n"/>
      <c r="Q880" s="11" t="n"/>
    </row>
    <row r="881">
      <c r="A881" s="8">
        <f>B881&amp;"_"&amp;C881</f>
        <v/>
      </c>
      <c r="B881" s="8" t="n"/>
      <c r="C881" s="8" t="n"/>
      <c r="D881" s="8" t="n"/>
      <c r="E881" s="11" t="n"/>
      <c r="F881" s="11" t="n"/>
      <c r="G881" s="8" t="n"/>
      <c r="H881" s="8" t="n"/>
      <c r="I881" s="8" t="n"/>
      <c r="J881" s="8" t="n"/>
      <c r="K881" s="12">
        <f>IF(OR(ISERROR(VLOOKUP(C881, Resultados_Reales!$A$4:$I$107, 5, FALSE)), ISERROR(VLOOKUP(C881, Resultados_Reales!$A$4:$I$107, 6, FALSE)), VLOOKUP(C881, Resultados_Reales!$A$4:$I$107, 5, FALSE)="", VLOOKUP(C881, Resultados_Reales!$A$4:$I$107, 6, FALSE)=""), 0, IF(AND(VLOOKUP(C881, Resultados_Reales!$A$4:$I$107, 5, FALSE)=G881, VLOOKUP(C881, Resultados_Reales!$A$4:$I$107, 6, FALSE)=H881), Configuracion!$B$5, IF(SIGN(VLOOKUP(C881, Resultados_Reales!$A$4:$I$107, 5, FALSE)-VLOOKUP(C881, Resultados_Reales!$A$4:$I$107, 6, FALSE)) = SIGN(G881-H881), Configuracion!$B$4, 0)))</f>
        <v/>
      </c>
      <c r="L881" s="11" t="n"/>
      <c r="M881" s="11" t="n"/>
      <c r="N881" s="11" t="n"/>
      <c r="O881" s="11" t="n"/>
      <c r="P881" s="11" t="n"/>
      <c r="Q881" s="11" t="n"/>
    </row>
    <row r="882">
      <c r="A882" s="8">
        <f>B882&amp;"_"&amp;C882</f>
        <v/>
      </c>
      <c r="B882" s="8" t="n"/>
      <c r="C882" s="8" t="n"/>
      <c r="D882" s="8" t="n"/>
      <c r="E882" s="11" t="n"/>
      <c r="F882" s="11" t="n"/>
      <c r="G882" s="8" t="n"/>
      <c r="H882" s="8" t="n"/>
      <c r="I882" s="8" t="n"/>
      <c r="J882" s="8" t="n"/>
      <c r="K882" s="12">
        <f>IF(OR(ISERROR(VLOOKUP(C882, Resultados_Reales!$A$4:$I$107, 5, FALSE)), ISERROR(VLOOKUP(C882, Resultados_Reales!$A$4:$I$107, 6, FALSE)), VLOOKUP(C882, Resultados_Reales!$A$4:$I$107, 5, FALSE)="", VLOOKUP(C882, Resultados_Reales!$A$4:$I$107, 6, FALSE)=""), 0, IF(AND(VLOOKUP(C882, Resultados_Reales!$A$4:$I$107, 5, FALSE)=G882, VLOOKUP(C882, Resultados_Reales!$A$4:$I$107, 6, FALSE)=H882), Configuracion!$B$5, IF(SIGN(VLOOKUP(C882, Resultados_Reales!$A$4:$I$107, 5, FALSE)-VLOOKUP(C882, Resultados_Reales!$A$4:$I$107, 6, FALSE)) = SIGN(G882-H882), Configuracion!$B$4, 0)))</f>
        <v/>
      </c>
      <c r="L882" s="11" t="n"/>
      <c r="M882" s="11" t="n"/>
      <c r="N882" s="11" t="n"/>
      <c r="O882" s="11" t="n"/>
      <c r="P882" s="11" t="n"/>
      <c r="Q882" s="11" t="n"/>
    </row>
    <row r="883">
      <c r="A883" s="8">
        <f>B883&amp;"_"&amp;C883</f>
        <v/>
      </c>
      <c r="B883" s="8" t="n"/>
      <c r="C883" s="8" t="n"/>
      <c r="D883" s="8" t="n"/>
      <c r="E883" s="11" t="n"/>
      <c r="F883" s="11" t="n"/>
      <c r="G883" s="8" t="n"/>
      <c r="H883" s="8" t="n"/>
      <c r="I883" s="8" t="n"/>
      <c r="J883" s="8" t="n"/>
      <c r="K883" s="12">
        <f>IF(OR(ISERROR(VLOOKUP(C883, Resultados_Reales!$A$4:$I$107, 5, FALSE)), ISERROR(VLOOKUP(C883, Resultados_Reales!$A$4:$I$107, 6, FALSE)), VLOOKUP(C883, Resultados_Reales!$A$4:$I$107, 5, FALSE)="", VLOOKUP(C883, Resultados_Reales!$A$4:$I$107, 6, FALSE)=""), 0, IF(AND(VLOOKUP(C883, Resultados_Reales!$A$4:$I$107, 5, FALSE)=G883, VLOOKUP(C883, Resultados_Reales!$A$4:$I$107, 6, FALSE)=H883), Configuracion!$B$5, IF(SIGN(VLOOKUP(C883, Resultados_Reales!$A$4:$I$107, 5, FALSE)-VLOOKUP(C883, Resultados_Reales!$A$4:$I$107, 6, FALSE)) = SIGN(G883-H883), Configuracion!$B$4, 0)))</f>
        <v/>
      </c>
      <c r="L883" s="11" t="n"/>
      <c r="M883" s="11" t="n"/>
      <c r="N883" s="11" t="n"/>
      <c r="O883" s="11" t="n"/>
      <c r="P883" s="11" t="n"/>
      <c r="Q883" s="11" t="n"/>
    </row>
    <row r="884">
      <c r="A884" s="8">
        <f>B884&amp;"_"&amp;C884</f>
        <v/>
      </c>
      <c r="B884" s="8" t="n"/>
      <c r="C884" s="8" t="n"/>
      <c r="D884" s="8" t="n"/>
      <c r="E884" s="11" t="n"/>
      <c r="F884" s="11" t="n"/>
      <c r="G884" s="8" t="n"/>
      <c r="H884" s="8" t="n"/>
      <c r="I884" s="8" t="n"/>
      <c r="J884" s="8" t="n"/>
      <c r="K884" s="12">
        <f>IF(OR(ISERROR(VLOOKUP(C884, Resultados_Reales!$A$4:$I$107, 5, FALSE)), ISERROR(VLOOKUP(C884, Resultados_Reales!$A$4:$I$107, 6, FALSE)), VLOOKUP(C884, Resultados_Reales!$A$4:$I$107, 5, FALSE)="", VLOOKUP(C884, Resultados_Reales!$A$4:$I$107, 6, FALSE)=""), 0, IF(AND(VLOOKUP(C884, Resultados_Reales!$A$4:$I$107, 5, FALSE)=G884, VLOOKUP(C884, Resultados_Reales!$A$4:$I$107, 6, FALSE)=H884), Configuracion!$B$5, IF(SIGN(VLOOKUP(C884, Resultados_Reales!$A$4:$I$107, 5, FALSE)-VLOOKUP(C884, Resultados_Reales!$A$4:$I$107, 6, FALSE)) = SIGN(G884-H884), Configuracion!$B$4, 0)))</f>
        <v/>
      </c>
      <c r="L884" s="11" t="n"/>
      <c r="M884" s="11" t="n"/>
      <c r="N884" s="11" t="n"/>
      <c r="O884" s="11" t="n"/>
      <c r="P884" s="11" t="n"/>
      <c r="Q884" s="11" t="n"/>
    </row>
    <row r="885">
      <c r="A885" s="8">
        <f>B885&amp;"_"&amp;C885</f>
        <v/>
      </c>
      <c r="B885" s="8" t="n"/>
      <c r="C885" s="8" t="n"/>
      <c r="D885" s="8" t="n"/>
      <c r="E885" s="11" t="n"/>
      <c r="F885" s="11" t="n"/>
      <c r="G885" s="8" t="n"/>
      <c r="H885" s="8" t="n"/>
      <c r="I885" s="8" t="n"/>
      <c r="J885" s="8" t="n"/>
      <c r="K885" s="12">
        <f>IF(OR(ISERROR(VLOOKUP(C885, Resultados_Reales!$A$4:$I$107, 5, FALSE)), ISERROR(VLOOKUP(C885, Resultados_Reales!$A$4:$I$107, 6, FALSE)), VLOOKUP(C885, Resultados_Reales!$A$4:$I$107, 5, FALSE)="", VLOOKUP(C885, Resultados_Reales!$A$4:$I$107, 6, FALSE)=""), 0, IF(AND(VLOOKUP(C885, Resultados_Reales!$A$4:$I$107, 5, FALSE)=G885, VLOOKUP(C885, Resultados_Reales!$A$4:$I$107, 6, FALSE)=H885), Configuracion!$B$5, IF(SIGN(VLOOKUP(C885, Resultados_Reales!$A$4:$I$107, 5, FALSE)-VLOOKUP(C885, Resultados_Reales!$A$4:$I$107, 6, FALSE)) = SIGN(G885-H885), Configuracion!$B$4, 0)))</f>
        <v/>
      </c>
      <c r="L885" s="11" t="n"/>
      <c r="M885" s="11" t="n"/>
      <c r="N885" s="11" t="n"/>
      <c r="O885" s="11" t="n"/>
      <c r="P885" s="11" t="n"/>
      <c r="Q885" s="11" t="n"/>
    </row>
    <row r="886">
      <c r="A886" s="8">
        <f>B886&amp;"_"&amp;C886</f>
        <v/>
      </c>
      <c r="B886" s="8" t="n"/>
      <c r="C886" s="8" t="n"/>
      <c r="D886" s="8" t="n"/>
      <c r="E886" s="11" t="n"/>
      <c r="F886" s="11" t="n"/>
      <c r="G886" s="8" t="n"/>
      <c r="H886" s="8" t="n"/>
      <c r="I886" s="8" t="n"/>
      <c r="J886" s="8" t="n"/>
      <c r="K886" s="12">
        <f>IF(OR(ISERROR(VLOOKUP(C886, Resultados_Reales!$A$4:$I$107, 5, FALSE)), ISERROR(VLOOKUP(C886, Resultados_Reales!$A$4:$I$107, 6, FALSE)), VLOOKUP(C886, Resultados_Reales!$A$4:$I$107, 5, FALSE)="", VLOOKUP(C886, Resultados_Reales!$A$4:$I$107, 6, FALSE)=""), 0, IF(AND(VLOOKUP(C886, Resultados_Reales!$A$4:$I$107, 5, FALSE)=G886, VLOOKUP(C886, Resultados_Reales!$A$4:$I$107, 6, FALSE)=H886), Configuracion!$B$5, IF(SIGN(VLOOKUP(C886, Resultados_Reales!$A$4:$I$107, 5, FALSE)-VLOOKUP(C886, Resultados_Reales!$A$4:$I$107, 6, FALSE)) = SIGN(G886-H886), Configuracion!$B$4, 0)))</f>
        <v/>
      </c>
      <c r="L886" s="11" t="n"/>
      <c r="M886" s="11" t="n"/>
      <c r="N886" s="11" t="n"/>
      <c r="O886" s="11" t="n"/>
      <c r="P886" s="11" t="n"/>
      <c r="Q886" s="11" t="n"/>
    </row>
    <row r="887">
      <c r="A887" s="8">
        <f>B887&amp;"_"&amp;C887</f>
        <v/>
      </c>
      <c r="B887" s="8" t="n"/>
      <c r="C887" s="8" t="n"/>
      <c r="D887" s="8" t="n"/>
      <c r="E887" s="11" t="n"/>
      <c r="F887" s="11" t="n"/>
      <c r="G887" s="8" t="n"/>
      <c r="H887" s="8" t="n"/>
      <c r="I887" s="8" t="n"/>
      <c r="J887" s="8" t="n"/>
      <c r="K887" s="12">
        <f>IF(OR(ISERROR(VLOOKUP(C887, Resultados_Reales!$A$4:$I$107, 5, FALSE)), ISERROR(VLOOKUP(C887, Resultados_Reales!$A$4:$I$107, 6, FALSE)), VLOOKUP(C887, Resultados_Reales!$A$4:$I$107, 5, FALSE)="", VLOOKUP(C887, Resultados_Reales!$A$4:$I$107, 6, FALSE)=""), 0, IF(AND(VLOOKUP(C887, Resultados_Reales!$A$4:$I$107, 5, FALSE)=G887, VLOOKUP(C887, Resultados_Reales!$A$4:$I$107, 6, FALSE)=H887), Configuracion!$B$5, IF(SIGN(VLOOKUP(C887, Resultados_Reales!$A$4:$I$107, 5, FALSE)-VLOOKUP(C887, Resultados_Reales!$A$4:$I$107, 6, FALSE)) = SIGN(G887-H887), Configuracion!$B$4, 0)))</f>
        <v/>
      </c>
      <c r="L887" s="11" t="n"/>
      <c r="M887" s="11" t="n"/>
      <c r="N887" s="11" t="n"/>
      <c r="O887" s="11" t="n"/>
      <c r="P887" s="11" t="n"/>
      <c r="Q887" s="11" t="n"/>
    </row>
    <row r="888">
      <c r="A888" s="8">
        <f>B888&amp;"_"&amp;C888</f>
        <v/>
      </c>
      <c r="B888" s="8" t="n"/>
      <c r="C888" s="8" t="n"/>
      <c r="D888" s="8" t="n"/>
      <c r="E888" s="11" t="n"/>
      <c r="F888" s="11" t="n"/>
      <c r="G888" s="8" t="n"/>
      <c r="H888" s="8" t="n"/>
      <c r="I888" s="8" t="n"/>
      <c r="J888" s="8" t="n"/>
      <c r="K888" s="12">
        <f>IF(OR(ISERROR(VLOOKUP(C888, Resultados_Reales!$A$4:$I$107, 5, FALSE)), ISERROR(VLOOKUP(C888, Resultados_Reales!$A$4:$I$107, 6, FALSE)), VLOOKUP(C888, Resultados_Reales!$A$4:$I$107, 5, FALSE)="", VLOOKUP(C888, Resultados_Reales!$A$4:$I$107, 6, FALSE)=""), 0, IF(AND(VLOOKUP(C888, Resultados_Reales!$A$4:$I$107, 5, FALSE)=G888, VLOOKUP(C888, Resultados_Reales!$A$4:$I$107, 6, FALSE)=H888), Configuracion!$B$5, IF(SIGN(VLOOKUP(C888, Resultados_Reales!$A$4:$I$107, 5, FALSE)-VLOOKUP(C888, Resultados_Reales!$A$4:$I$107, 6, FALSE)) = SIGN(G888-H888), Configuracion!$B$4, 0)))</f>
        <v/>
      </c>
      <c r="L888" s="11" t="n"/>
      <c r="M888" s="11" t="n"/>
      <c r="N888" s="11" t="n"/>
      <c r="O888" s="11" t="n"/>
      <c r="P888" s="11" t="n"/>
      <c r="Q888" s="11" t="n"/>
    </row>
    <row r="889">
      <c r="A889" s="8">
        <f>B889&amp;"_"&amp;C889</f>
        <v/>
      </c>
      <c r="B889" s="8" t="n"/>
      <c r="C889" s="8" t="n"/>
      <c r="D889" s="8" t="n"/>
      <c r="E889" s="11" t="n"/>
      <c r="F889" s="11" t="n"/>
      <c r="G889" s="8" t="n"/>
      <c r="H889" s="8" t="n"/>
      <c r="I889" s="8" t="n"/>
      <c r="J889" s="8" t="n"/>
      <c r="K889" s="12">
        <f>IF(OR(ISERROR(VLOOKUP(C889, Resultados_Reales!$A$4:$I$107, 5, FALSE)), ISERROR(VLOOKUP(C889, Resultados_Reales!$A$4:$I$107, 6, FALSE)), VLOOKUP(C889, Resultados_Reales!$A$4:$I$107, 5, FALSE)="", VLOOKUP(C889, Resultados_Reales!$A$4:$I$107, 6, FALSE)=""), 0, IF(AND(VLOOKUP(C889, Resultados_Reales!$A$4:$I$107, 5, FALSE)=G889, VLOOKUP(C889, Resultados_Reales!$A$4:$I$107, 6, FALSE)=H889), Configuracion!$B$5, IF(SIGN(VLOOKUP(C889, Resultados_Reales!$A$4:$I$107, 5, FALSE)-VLOOKUP(C889, Resultados_Reales!$A$4:$I$107, 6, FALSE)) = SIGN(G889-H889), Configuracion!$B$4, 0)))</f>
        <v/>
      </c>
      <c r="L889" s="11" t="n"/>
      <c r="M889" s="11" t="n"/>
      <c r="N889" s="11" t="n"/>
      <c r="O889" s="11" t="n"/>
      <c r="P889" s="11" t="n"/>
      <c r="Q889" s="11" t="n"/>
    </row>
    <row r="890">
      <c r="A890" s="8">
        <f>B890&amp;"_"&amp;C890</f>
        <v/>
      </c>
      <c r="B890" s="8" t="n"/>
      <c r="C890" s="8" t="n"/>
      <c r="D890" s="8" t="n"/>
      <c r="E890" s="11" t="n"/>
      <c r="F890" s="11" t="n"/>
      <c r="G890" s="8" t="n"/>
      <c r="H890" s="8" t="n"/>
      <c r="I890" s="8" t="n"/>
      <c r="J890" s="8" t="n"/>
      <c r="K890" s="12">
        <f>IF(OR(ISERROR(VLOOKUP(C890, Resultados_Reales!$A$4:$I$107, 5, FALSE)), ISERROR(VLOOKUP(C890, Resultados_Reales!$A$4:$I$107, 6, FALSE)), VLOOKUP(C890, Resultados_Reales!$A$4:$I$107, 5, FALSE)="", VLOOKUP(C890, Resultados_Reales!$A$4:$I$107, 6, FALSE)=""), 0, IF(AND(VLOOKUP(C890, Resultados_Reales!$A$4:$I$107, 5, FALSE)=G890, VLOOKUP(C890, Resultados_Reales!$A$4:$I$107, 6, FALSE)=H890), Configuracion!$B$5, IF(SIGN(VLOOKUP(C890, Resultados_Reales!$A$4:$I$107, 5, FALSE)-VLOOKUP(C890, Resultados_Reales!$A$4:$I$107, 6, FALSE)) = SIGN(G890-H890), Configuracion!$B$4, 0)))</f>
        <v/>
      </c>
      <c r="L890" s="11" t="n"/>
      <c r="M890" s="11" t="n"/>
      <c r="N890" s="11" t="n"/>
      <c r="O890" s="11" t="n"/>
      <c r="P890" s="11" t="n"/>
      <c r="Q890" s="11" t="n"/>
    </row>
    <row r="891">
      <c r="A891" s="8">
        <f>B891&amp;"_"&amp;C891</f>
        <v/>
      </c>
      <c r="B891" s="8" t="n"/>
      <c r="C891" s="8" t="n"/>
      <c r="D891" s="8" t="n"/>
      <c r="E891" s="11" t="n"/>
      <c r="F891" s="11" t="n"/>
      <c r="G891" s="8" t="n"/>
      <c r="H891" s="8" t="n"/>
      <c r="I891" s="8" t="n"/>
      <c r="J891" s="8" t="n"/>
      <c r="K891" s="12">
        <f>IF(OR(ISERROR(VLOOKUP(C891, Resultados_Reales!$A$4:$I$107, 5, FALSE)), ISERROR(VLOOKUP(C891, Resultados_Reales!$A$4:$I$107, 6, FALSE)), VLOOKUP(C891, Resultados_Reales!$A$4:$I$107, 5, FALSE)="", VLOOKUP(C891, Resultados_Reales!$A$4:$I$107, 6, FALSE)=""), 0, IF(AND(VLOOKUP(C891, Resultados_Reales!$A$4:$I$107, 5, FALSE)=G891, VLOOKUP(C891, Resultados_Reales!$A$4:$I$107, 6, FALSE)=H891), Configuracion!$B$5, IF(SIGN(VLOOKUP(C891, Resultados_Reales!$A$4:$I$107, 5, FALSE)-VLOOKUP(C891, Resultados_Reales!$A$4:$I$107, 6, FALSE)) = SIGN(G891-H891), Configuracion!$B$4, 0)))</f>
        <v/>
      </c>
      <c r="L891" s="11" t="n"/>
      <c r="M891" s="11" t="n"/>
      <c r="N891" s="11" t="n"/>
      <c r="O891" s="11" t="n"/>
      <c r="P891" s="11" t="n"/>
      <c r="Q891" s="11" t="n"/>
    </row>
    <row r="892">
      <c r="A892" s="8">
        <f>B892&amp;"_"&amp;C892</f>
        <v/>
      </c>
      <c r="B892" s="8" t="n"/>
      <c r="C892" s="8" t="n"/>
      <c r="D892" s="8" t="n"/>
      <c r="E892" s="11" t="n"/>
      <c r="F892" s="11" t="n"/>
      <c r="G892" s="8" t="n"/>
      <c r="H892" s="8" t="n"/>
      <c r="I892" s="8" t="n"/>
      <c r="J892" s="8" t="n"/>
      <c r="K892" s="12">
        <f>IF(OR(ISERROR(VLOOKUP(C892, Resultados_Reales!$A$4:$I$107, 5, FALSE)), ISERROR(VLOOKUP(C892, Resultados_Reales!$A$4:$I$107, 6, FALSE)), VLOOKUP(C892, Resultados_Reales!$A$4:$I$107, 5, FALSE)="", VLOOKUP(C892, Resultados_Reales!$A$4:$I$107, 6, FALSE)=""), 0, IF(AND(VLOOKUP(C892, Resultados_Reales!$A$4:$I$107, 5, FALSE)=G892, VLOOKUP(C892, Resultados_Reales!$A$4:$I$107, 6, FALSE)=H892), Configuracion!$B$5, IF(SIGN(VLOOKUP(C892, Resultados_Reales!$A$4:$I$107, 5, FALSE)-VLOOKUP(C892, Resultados_Reales!$A$4:$I$107, 6, FALSE)) = SIGN(G892-H892), Configuracion!$B$4, 0)))</f>
        <v/>
      </c>
      <c r="L892" s="11" t="n"/>
      <c r="M892" s="11" t="n"/>
      <c r="N892" s="11" t="n"/>
      <c r="O892" s="11" t="n"/>
      <c r="P892" s="11" t="n"/>
      <c r="Q892" s="11" t="n"/>
    </row>
    <row r="893">
      <c r="A893" s="8">
        <f>B893&amp;"_"&amp;C893</f>
        <v/>
      </c>
      <c r="B893" s="8" t="n"/>
      <c r="C893" s="8" t="n"/>
      <c r="D893" s="8" t="n"/>
      <c r="E893" s="11" t="n"/>
      <c r="F893" s="11" t="n"/>
      <c r="G893" s="8" t="n"/>
      <c r="H893" s="8" t="n"/>
      <c r="I893" s="8" t="n"/>
      <c r="J893" s="8" t="n"/>
      <c r="K893" s="12">
        <f>IF(OR(ISERROR(VLOOKUP(C893, Resultados_Reales!$A$4:$I$107, 5, FALSE)), ISERROR(VLOOKUP(C893, Resultados_Reales!$A$4:$I$107, 6, FALSE)), VLOOKUP(C893, Resultados_Reales!$A$4:$I$107, 5, FALSE)="", VLOOKUP(C893, Resultados_Reales!$A$4:$I$107, 6, FALSE)=""), 0, IF(AND(VLOOKUP(C893, Resultados_Reales!$A$4:$I$107, 5, FALSE)=G893, VLOOKUP(C893, Resultados_Reales!$A$4:$I$107, 6, FALSE)=H893), Configuracion!$B$5, IF(SIGN(VLOOKUP(C893, Resultados_Reales!$A$4:$I$107, 5, FALSE)-VLOOKUP(C893, Resultados_Reales!$A$4:$I$107, 6, FALSE)) = SIGN(G893-H893), Configuracion!$B$4, 0)))</f>
        <v/>
      </c>
      <c r="L893" s="11" t="n"/>
      <c r="M893" s="11" t="n"/>
      <c r="N893" s="11" t="n"/>
      <c r="O893" s="11" t="n"/>
      <c r="P893" s="11" t="n"/>
      <c r="Q893" s="11" t="n"/>
    </row>
    <row r="894">
      <c r="A894" s="8">
        <f>B894&amp;"_"&amp;C894</f>
        <v/>
      </c>
      <c r="B894" s="8" t="n"/>
      <c r="C894" s="8" t="n"/>
      <c r="D894" s="8" t="n"/>
      <c r="E894" s="11" t="n"/>
      <c r="F894" s="11" t="n"/>
      <c r="G894" s="8" t="n"/>
      <c r="H894" s="8" t="n"/>
      <c r="I894" s="8" t="n"/>
      <c r="J894" s="8" t="n"/>
      <c r="K894" s="12">
        <f>IF(OR(ISERROR(VLOOKUP(C894, Resultados_Reales!$A$4:$I$107, 5, FALSE)), ISERROR(VLOOKUP(C894, Resultados_Reales!$A$4:$I$107, 6, FALSE)), VLOOKUP(C894, Resultados_Reales!$A$4:$I$107, 5, FALSE)="", VLOOKUP(C894, Resultados_Reales!$A$4:$I$107, 6, FALSE)=""), 0, IF(AND(VLOOKUP(C894, Resultados_Reales!$A$4:$I$107, 5, FALSE)=G894, VLOOKUP(C894, Resultados_Reales!$A$4:$I$107, 6, FALSE)=H894), Configuracion!$B$5, IF(SIGN(VLOOKUP(C894, Resultados_Reales!$A$4:$I$107, 5, FALSE)-VLOOKUP(C894, Resultados_Reales!$A$4:$I$107, 6, FALSE)) = SIGN(G894-H894), Configuracion!$B$4, 0)))</f>
        <v/>
      </c>
      <c r="L894" s="11" t="n"/>
      <c r="M894" s="11" t="n"/>
      <c r="N894" s="11" t="n"/>
      <c r="O894" s="11" t="n"/>
      <c r="P894" s="11" t="n"/>
      <c r="Q894" s="11" t="n"/>
    </row>
    <row r="895">
      <c r="A895" s="8">
        <f>B895&amp;"_"&amp;C895</f>
        <v/>
      </c>
      <c r="B895" s="8" t="n"/>
      <c r="C895" s="8" t="n"/>
      <c r="D895" s="8" t="n"/>
      <c r="E895" s="11" t="n"/>
      <c r="F895" s="11" t="n"/>
      <c r="G895" s="8" t="n"/>
      <c r="H895" s="8" t="n"/>
      <c r="I895" s="8" t="n"/>
      <c r="J895" s="8" t="n"/>
      <c r="K895" s="12">
        <f>IF(OR(ISERROR(VLOOKUP(C895, Resultados_Reales!$A$4:$I$107, 5, FALSE)), ISERROR(VLOOKUP(C895, Resultados_Reales!$A$4:$I$107, 6, FALSE)), VLOOKUP(C895, Resultados_Reales!$A$4:$I$107, 5, FALSE)="", VLOOKUP(C895, Resultados_Reales!$A$4:$I$107, 6, FALSE)=""), 0, IF(AND(VLOOKUP(C895, Resultados_Reales!$A$4:$I$107, 5, FALSE)=G895, VLOOKUP(C895, Resultados_Reales!$A$4:$I$107, 6, FALSE)=H895), Configuracion!$B$5, IF(SIGN(VLOOKUP(C895, Resultados_Reales!$A$4:$I$107, 5, FALSE)-VLOOKUP(C895, Resultados_Reales!$A$4:$I$107, 6, FALSE)) = SIGN(G895-H895), Configuracion!$B$4, 0)))</f>
        <v/>
      </c>
      <c r="L895" s="11" t="n"/>
      <c r="M895" s="11" t="n"/>
      <c r="N895" s="11" t="n"/>
      <c r="O895" s="11" t="n"/>
      <c r="P895" s="11" t="n"/>
      <c r="Q895" s="11" t="n"/>
    </row>
    <row r="896">
      <c r="A896" s="8">
        <f>B896&amp;"_"&amp;C896</f>
        <v/>
      </c>
      <c r="B896" s="8" t="n"/>
      <c r="C896" s="8" t="n"/>
      <c r="D896" s="8" t="n"/>
      <c r="E896" s="11" t="n"/>
      <c r="F896" s="11" t="n"/>
      <c r="G896" s="8" t="n"/>
      <c r="H896" s="8" t="n"/>
      <c r="I896" s="8" t="n"/>
      <c r="J896" s="8" t="n"/>
      <c r="K896" s="12">
        <f>IF(OR(ISERROR(VLOOKUP(C896, Resultados_Reales!$A$4:$I$107, 5, FALSE)), ISERROR(VLOOKUP(C896, Resultados_Reales!$A$4:$I$107, 6, FALSE)), VLOOKUP(C896, Resultados_Reales!$A$4:$I$107, 5, FALSE)="", VLOOKUP(C896, Resultados_Reales!$A$4:$I$107, 6, FALSE)=""), 0, IF(AND(VLOOKUP(C896, Resultados_Reales!$A$4:$I$107, 5, FALSE)=G896, VLOOKUP(C896, Resultados_Reales!$A$4:$I$107, 6, FALSE)=H896), Configuracion!$B$5, IF(SIGN(VLOOKUP(C896, Resultados_Reales!$A$4:$I$107, 5, FALSE)-VLOOKUP(C896, Resultados_Reales!$A$4:$I$107, 6, FALSE)) = SIGN(G896-H896), Configuracion!$B$4, 0)))</f>
        <v/>
      </c>
      <c r="L896" s="11" t="n"/>
      <c r="M896" s="11" t="n"/>
      <c r="N896" s="11" t="n"/>
      <c r="O896" s="11" t="n"/>
      <c r="P896" s="11" t="n"/>
      <c r="Q896" s="11" t="n"/>
    </row>
    <row r="897">
      <c r="A897" s="8">
        <f>B897&amp;"_"&amp;C897</f>
        <v/>
      </c>
      <c r="B897" s="8" t="n"/>
      <c r="C897" s="8" t="n"/>
      <c r="D897" s="8" t="n"/>
      <c r="E897" s="11" t="n"/>
      <c r="F897" s="11" t="n"/>
      <c r="G897" s="8" t="n"/>
      <c r="H897" s="8" t="n"/>
      <c r="I897" s="8" t="n"/>
      <c r="J897" s="8" t="n"/>
      <c r="K897" s="12">
        <f>IF(OR(ISERROR(VLOOKUP(C897, Resultados_Reales!$A$4:$I$107, 5, FALSE)), ISERROR(VLOOKUP(C897, Resultados_Reales!$A$4:$I$107, 6, FALSE)), VLOOKUP(C897, Resultados_Reales!$A$4:$I$107, 5, FALSE)="", VLOOKUP(C897, Resultados_Reales!$A$4:$I$107, 6, FALSE)=""), 0, IF(AND(VLOOKUP(C897, Resultados_Reales!$A$4:$I$107, 5, FALSE)=G897, VLOOKUP(C897, Resultados_Reales!$A$4:$I$107, 6, FALSE)=H897), Configuracion!$B$5, IF(SIGN(VLOOKUP(C897, Resultados_Reales!$A$4:$I$107, 5, FALSE)-VLOOKUP(C897, Resultados_Reales!$A$4:$I$107, 6, FALSE)) = SIGN(G897-H897), Configuracion!$B$4, 0)))</f>
        <v/>
      </c>
      <c r="L897" s="11" t="n"/>
      <c r="M897" s="11" t="n"/>
      <c r="N897" s="11" t="n"/>
      <c r="O897" s="11" t="n"/>
      <c r="P897" s="11" t="n"/>
      <c r="Q897" s="11" t="n"/>
    </row>
    <row r="898">
      <c r="A898" s="8">
        <f>B898&amp;"_"&amp;C898</f>
        <v/>
      </c>
      <c r="B898" s="8" t="n"/>
      <c r="C898" s="8" t="n"/>
      <c r="D898" s="8" t="n"/>
      <c r="E898" s="11" t="n"/>
      <c r="F898" s="11" t="n"/>
      <c r="G898" s="8" t="n"/>
      <c r="H898" s="8" t="n"/>
      <c r="I898" s="8" t="n"/>
      <c r="J898" s="8" t="n"/>
      <c r="K898" s="12">
        <f>IF(OR(ISERROR(VLOOKUP(C898, Resultados_Reales!$A$4:$I$107, 5, FALSE)), ISERROR(VLOOKUP(C898, Resultados_Reales!$A$4:$I$107, 6, FALSE)), VLOOKUP(C898, Resultados_Reales!$A$4:$I$107, 5, FALSE)="", VLOOKUP(C898, Resultados_Reales!$A$4:$I$107, 6, FALSE)=""), 0, IF(AND(VLOOKUP(C898, Resultados_Reales!$A$4:$I$107, 5, FALSE)=G898, VLOOKUP(C898, Resultados_Reales!$A$4:$I$107, 6, FALSE)=H898), Configuracion!$B$5, IF(SIGN(VLOOKUP(C898, Resultados_Reales!$A$4:$I$107, 5, FALSE)-VLOOKUP(C898, Resultados_Reales!$A$4:$I$107, 6, FALSE)) = SIGN(G898-H898), Configuracion!$B$4, 0)))</f>
        <v/>
      </c>
      <c r="L898" s="11" t="n"/>
      <c r="M898" s="11" t="n"/>
      <c r="N898" s="11" t="n"/>
      <c r="O898" s="11" t="n"/>
      <c r="P898" s="11" t="n"/>
      <c r="Q898" s="11" t="n"/>
    </row>
    <row r="899">
      <c r="A899" s="8">
        <f>B899&amp;"_"&amp;C899</f>
        <v/>
      </c>
      <c r="B899" s="8" t="n"/>
      <c r="C899" s="8" t="n"/>
      <c r="D899" s="8" t="n"/>
      <c r="E899" s="11" t="n"/>
      <c r="F899" s="11" t="n"/>
      <c r="G899" s="8" t="n"/>
      <c r="H899" s="8" t="n"/>
      <c r="I899" s="8" t="n"/>
      <c r="J899" s="8" t="n"/>
      <c r="K899" s="12">
        <f>IF(OR(ISERROR(VLOOKUP(C899, Resultados_Reales!$A$4:$I$107, 5, FALSE)), ISERROR(VLOOKUP(C899, Resultados_Reales!$A$4:$I$107, 6, FALSE)), VLOOKUP(C899, Resultados_Reales!$A$4:$I$107, 5, FALSE)="", VLOOKUP(C899, Resultados_Reales!$A$4:$I$107, 6, FALSE)=""), 0, IF(AND(VLOOKUP(C899, Resultados_Reales!$A$4:$I$107, 5, FALSE)=G899, VLOOKUP(C899, Resultados_Reales!$A$4:$I$107, 6, FALSE)=H899), Configuracion!$B$5, IF(SIGN(VLOOKUP(C899, Resultados_Reales!$A$4:$I$107, 5, FALSE)-VLOOKUP(C899, Resultados_Reales!$A$4:$I$107, 6, FALSE)) = SIGN(G899-H899), Configuracion!$B$4, 0)))</f>
        <v/>
      </c>
      <c r="L899" s="11" t="n"/>
      <c r="M899" s="11" t="n"/>
      <c r="N899" s="11" t="n"/>
      <c r="O899" s="11" t="n"/>
      <c r="P899" s="11" t="n"/>
      <c r="Q899" s="11" t="n"/>
    </row>
    <row r="900">
      <c r="A900" s="8">
        <f>B900&amp;"_"&amp;C900</f>
        <v/>
      </c>
      <c r="B900" s="8" t="n"/>
      <c r="C900" s="8" t="n"/>
      <c r="D900" s="8" t="n"/>
      <c r="E900" s="11" t="n"/>
      <c r="F900" s="11" t="n"/>
      <c r="G900" s="8" t="n"/>
      <c r="H900" s="8" t="n"/>
      <c r="I900" s="8" t="n"/>
      <c r="J900" s="8" t="n"/>
      <c r="K900" s="12">
        <f>IF(OR(ISERROR(VLOOKUP(C900, Resultados_Reales!$A$4:$I$107, 5, FALSE)), ISERROR(VLOOKUP(C900, Resultados_Reales!$A$4:$I$107, 6, FALSE)), VLOOKUP(C900, Resultados_Reales!$A$4:$I$107, 5, FALSE)="", VLOOKUP(C900, Resultados_Reales!$A$4:$I$107, 6, FALSE)=""), 0, IF(AND(VLOOKUP(C900, Resultados_Reales!$A$4:$I$107, 5, FALSE)=G900, VLOOKUP(C900, Resultados_Reales!$A$4:$I$107, 6, FALSE)=H900), Configuracion!$B$5, IF(SIGN(VLOOKUP(C900, Resultados_Reales!$A$4:$I$107, 5, FALSE)-VLOOKUP(C900, Resultados_Reales!$A$4:$I$107, 6, FALSE)) = SIGN(G900-H900), Configuracion!$B$4, 0)))</f>
        <v/>
      </c>
      <c r="L900" s="11" t="n"/>
      <c r="M900" s="11" t="n"/>
      <c r="N900" s="11" t="n"/>
      <c r="O900" s="11" t="n"/>
      <c r="P900" s="11" t="n"/>
      <c r="Q900" s="11" t="n"/>
    </row>
    <row r="901">
      <c r="A901" s="8">
        <f>B901&amp;"_"&amp;C901</f>
        <v/>
      </c>
      <c r="B901" s="8" t="n"/>
      <c r="C901" s="8" t="n"/>
      <c r="D901" s="8" t="n"/>
      <c r="E901" s="11" t="n"/>
      <c r="F901" s="11" t="n"/>
      <c r="G901" s="8" t="n"/>
      <c r="H901" s="8" t="n"/>
      <c r="I901" s="8" t="n"/>
      <c r="J901" s="8" t="n"/>
      <c r="K901" s="12">
        <f>IF(OR(ISERROR(VLOOKUP(C901, Resultados_Reales!$A$4:$I$107, 5, FALSE)), ISERROR(VLOOKUP(C901, Resultados_Reales!$A$4:$I$107, 6, FALSE)), VLOOKUP(C901, Resultados_Reales!$A$4:$I$107, 5, FALSE)="", VLOOKUP(C901, Resultados_Reales!$A$4:$I$107, 6, FALSE)=""), 0, IF(AND(VLOOKUP(C901, Resultados_Reales!$A$4:$I$107, 5, FALSE)=G901, VLOOKUP(C901, Resultados_Reales!$A$4:$I$107, 6, FALSE)=H901), Configuracion!$B$5, IF(SIGN(VLOOKUP(C901, Resultados_Reales!$A$4:$I$107, 5, FALSE)-VLOOKUP(C901, Resultados_Reales!$A$4:$I$107, 6, FALSE)) = SIGN(G901-H901), Configuracion!$B$4, 0)))</f>
        <v/>
      </c>
      <c r="L901" s="11" t="n"/>
      <c r="M901" s="11" t="n"/>
      <c r="N901" s="11" t="n"/>
      <c r="O901" s="11" t="n"/>
      <c r="P901" s="11" t="n"/>
      <c r="Q901" s="11" t="n"/>
    </row>
    <row r="902">
      <c r="A902" s="8">
        <f>B902&amp;"_"&amp;C902</f>
        <v/>
      </c>
      <c r="B902" s="8" t="n"/>
      <c r="C902" s="8" t="n"/>
      <c r="D902" s="8" t="n"/>
      <c r="E902" s="11" t="n"/>
      <c r="F902" s="11" t="n"/>
      <c r="G902" s="8" t="n"/>
      <c r="H902" s="8" t="n"/>
      <c r="I902" s="8" t="n"/>
      <c r="J902" s="8" t="n"/>
      <c r="K902" s="12">
        <f>IF(OR(ISERROR(VLOOKUP(C902, Resultados_Reales!$A$4:$I$107, 5, FALSE)), ISERROR(VLOOKUP(C902, Resultados_Reales!$A$4:$I$107, 6, FALSE)), VLOOKUP(C902, Resultados_Reales!$A$4:$I$107, 5, FALSE)="", VLOOKUP(C902, Resultados_Reales!$A$4:$I$107, 6, FALSE)=""), 0, IF(AND(VLOOKUP(C902, Resultados_Reales!$A$4:$I$107, 5, FALSE)=G902, VLOOKUP(C902, Resultados_Reales!$A$4:$I$107, 6, FALSE)=H902), Configuracion!$B$5, IF(SIGN(VLOOKUP(C902, Resultados_Reales!$A$4:$I$107, 5, FALSE)-VLOOKUP(C902, Resultados_Reales!$A$4:$I$107, 6, FALSE)) = SIGN(G902-H902), Configuracion!$B$4, 0)))</f>
        <v/>
      </c>
      <c r="L902" s="11" t="n"/>
      <c r="M902" s="11" t="n"/>
      <c r="N902" s="11" t="n"/>
      <c r="O902" s="11" t="n"/>
      <c r="P902" s="11" t="n"/>
      <c r="Q902" s="11" t="n"/>
    </row>
    <row r="903">
      <c r="A903" s="8">
        <f>B903&amp;"_"&amp;C903</f>
        <v/>
      </c>
      <c r="B903" s="8" t="n"/>
      <c r="C903" s="8" t="n"/>
      <c r="D903" s="8" t="n"/>
      <c r="E903" s="11" t="n"/>
      <c r="F903" s="11" t="n"/>
      <c r="G903" s="8" t="n"/>
      <c r="H903" s="8" t="n"/>
      <c r="I903" s="8" t="n"/>
      <c r="J903" s="8" t="n"/>
      <c r="K903" s="12">
        <f>IF(OR(ISERROR(VLOOKUP(C903, Resultados_Reales!$A$4:$I$107, 5, FALSE)), ISERROR(VLOOKUP(C903, Resultados_Reales!$A$4:$I$107, 6, FALSE)), VLOOKUP(C903, Resultados_Reales!$A$4:$I$107, 5, FALSE)="", VLOOKUP(C903, Resultados_Reales!$A$4:$I$107, 6, FALSE)=""), 0, IF(AND(VLOOKUP(C903, Resultados_Reales!$A$4:$I$107, 5, FALSE)=G903, VLOOKUP(C903, Resultados_Reales!$A$4:$I$107, 6, FALSE)=H903), Configuracion!$B$5, IF(SIGN(VLOOKUP(C903, Resultados_Reales!$A$4:$I$107, 5, FALSE)-VLOOKUP(C903, Resultados_Reales!$A$4:$I$107, 6, FALSE)) = SIGN(G903-H903), Configuracion!$B$4, 0)))</f>
        <v/>
      </c>
      <c r="L903" s="11" t="n"/>
      <c r="M903" s="11" t="n"/>
      <c r="N903" s="11" t="n"/>
      <c r="O903" s="11" t="n"/>
      <c r="P903" s="11" t="n"/>
      <c r="Q903" s="11" t="n"/>
    </row>
    <row r="904">
      <c r="A904" s="8">
        <f>B904&amp;"_"&amp;C904</f>
        <v/>
      </c>
      <c r="B904" s="8" t="n"/>
      <c r="C904" s="8" t="n"/>
      <c r="D904" s="8" t="n"/>
      <c r="E904" s="11" t="n"/>
      <c r="F904" s="11" t="n"/>
      <c r="G904" s="8" t="n"/>
      <c r="H904" s="8" t="n"/>
      <c r="I904" s="8" t="n"/>
      <c r="J904" s="8" t="n"/>
      <c r="K904" s="12">
        <f>IF(OR(ISERROR(VLOOKUP(C904, Resultados_Reales!$A$4:$I$107, 5, FALSE)), ISERROR(VLOOKUP(C904, Resultados_Reales!$A$4:$I$107, 6, FALSE)), VLOOKUP(C904, Resultados_Reales!$A$4:$I$107, 5, FALSE)="", VLOOKUP(C904, Resultados_Reales!$A$4:$I$107, 6, FALSE)=""), 0, IF(AND(VLOOKUP(C904, Resultados_Reales!$A$4:$I$107, 5, FALSE)=G904, VLOOKUP(C904, Resultados_Reales!$A$4:$I$107, 6, FALSE)=H904), Configuracion!$B$5, IF(SIGN(VLOOKUP(C904, Resultados_Reales!$A$4:$I$107, 5, FALSE)-VLOOKUP(C904, Resultados_Reales!$A$4:$I$107, 6, FALSE)) = SIGN(G904-H904), Configuracion!$B$4, 0)))</f>
        <v/>
      </c>
      <c r="L904" s="11" t="n"/>
      <c r="M904" s="11" t="n"/>
      <c r="N904" s="11" t="n"/>
      <c r="O904" s="11" t="n"/>
      <c r="P904" s="11" t="n"/>
      <c r="Q904" s="11" t="n"/>
    </row>
    <row r="905">
      <c r="A905" s="8">
        <f>B905&amp;"_"&amp;C905</f>
        <v/>
      </c>
      <c r="B905" s="8" t="n"/>
      <c r="C905" s="8" t="n"/>
      <c r="D905" s="8" t="n"/>
      <c r="E905" s="11" t="n"/>
      <c r="F905" s="11" t="n"/>
      <c r="G905" s="8" t="n"/>
      <c r="H905" s="8" t="n"/>
      <c r="I905" s="8" t="n"/>
      <c r="J905" s="8" t="n"/>
      <c r="K905" s="12">
        <f>IF(OR(ISERROR(VLOOKUP(C905, Resultados_Reales!$A$4:$I$107, 5, FALSE)), ISERROR(VLOOKUP(C905, Resultados_Reales!$A$4:$I$107, 6, FALSE)), VLOOKUP(C905, Resultados_Reales!$A$4:$I$107, 5, FALSE)="", VLOOKUP(C905, Resultados_Reales!$A$4:$I$107, 6, FALSE)=""), 0, IF(AND(VLOOKUP(C905, Resultados_Reales!$A$4:$I$107, 5, FALSE)=G905, VLOOKUP(C905, Resultados_Reales!$A$4:$I$107, 6, FALSE)=H905), Configuracion!$B$5, IF(SIGN(VLOOKUP(C905, Resultados_Reales!$A$4:$I$107, 5, FALSE)-VLOOKUP(C905, Resultados_Reales!$A$4:$I$107, 6, FALSE)) = SIGN(G905-H905), Configuracion!$B$4, 0)))</f>
        <v/>
      </c>
      <c r="L905" s="11" t="n"/>
      <c r="M905" s="11" t="n"/>
      <c r="N905" s="11" t="n"/>
      <c r="O905" s="11" t="n"/>
      <c r="P905" s="11" t="n"/>
      <c r="Q905" s="11" t="n"/>
    </row>
    <row r="906">
      <c r="A906" s="8">
        <f>B906&amp;"_"&amp;C906</f>
        <v/>
      </c>
      <c r="B906" s="8" t="n"/>
      <c r="C906" s="8" t="n"/>
      <c r="D906" s="8" t="n"/>
      <c r="E906" s="11" t="n"/>
      <c r="F906" s="11" t="n"/>
      <c r="G906" s="8" t="n"/>
      <c r="H906" s="8" t="n"/>
      <c r="I906" s="8" t="n"/>
      <c r="J906" s="8" t="n"/>
      <c r="K906" s="12">
        <f>IF(OR(ISERROR(VLOOKUP(C906, Resultados_Reales!$A$4:$I$107, 5, FALSE)), ISERROR(VLOOKUP(C906, Resultados_Reales!$A$4:$I$107, 6, FALSE)), VLOOKUP(C906, Resultados_Reales!$A$4:$I$107, 5, FALSE)="", VLOOKUP(C906, Resultados_Reales!$A$4:$I$107, 6, FALSE)=""), 0, IF(AND(VLOOKUP(C906, Resultados_Reales!$A$4:$I$107, 5, FALSE)=G906, VLOOKUP(C906, Resultados_Reales!$A$4:$I$107, 6, FALSE)=H906), Configuracion!$B$5, IF(SIGN(VLOOKUP(C906, Resultados_Reales!$A$4:$I$107, 5, FALSE)-VLOOKUP(C906, Resultados_Reales!$A$4:$I$107, 6, FALSE)) = SIGN(G906-H906), Configuracion!$B$4, 0)))</f>
        <v/>
      </c>
      <c r="L906" s="11" t="n"/>
      <c r="M906" s="11" t="n"/>
      <c r="N906" s="11" t="n"/>
      <c r="O906" s="11" t="n"/>
      <c r="P906" s="11" t="n"/>
      <c r="Q906" s="11" t="n"/>
    </row>
    <row r="907">
      <c r="A907" s="8">
        <f>B907&amp;"_"&amp;C907</f>
        <v/>
      </c>
      <c r="B907" s="8" t="n"/>
      <c r="C907" s="8" t="n"/>
      <c r="D907" s="8" t="n"/>
      <c r="E907" s="11" t="n"/>
      <c r="F907" s="11" t="n"/>
      <c r="G907" s="8" t="n"/>
      <c r="H907" s="8" t="n"/>
      <c r="I907" s="8" t="n"/>
      <c r="J907" s="8" t="n"/>
      <c r="K907" s="12">
        <f>IF(OR(ISERROR(VLOOKUP(C907, Resultados_Reales!$A$4:$I$107, 5, FALSE)), ISERROR(VLOOKUP(C907, Resultados_Reales!$A$4:$I$107, 6, FALSE)), VLOOKUP(C907, Resultados_Reales!$A$4:$I$107, 5, FALSE)="", VLOOKUP(C907, Resultados_Reales!$A$4:$I$107, 6, FALSE)=""), 0, IF(AND(VLOOKUP(C907, Resultados_Reales!$A$4:$I$107, 5, FALSE)=G907, VLOOKUP(C907, Resultados_Reales!$A$4:$I$107, 6, FALSE)=H907), Configuracion!$B$5, IF(SIGN(VLOOKUP(C907, Resultados_Reales!$A$4:$I$107, 5, FALSE)-VLOOKUP(C907, Resultados_Reales!$A$4:$I$107, 6, FALSE)) = SIGN(G907-H907), Configuracion!$B$4, 0)))</f>
        <v/>
      </c>
      <c r="L907" s="11" t="n"/>
      <c r="M907" s="11" t="n"/>
      <c r="N907" s="11" t="n"/>
      <c r="O907" s="11" t="n"/>
      <c r="P907" s="11" t="n"/>
      <c r="Q907" s="11" t="n"/>
    </row>
    <row r="908">
      <c r="A908" s="8">
        <f>B908&amp;"_"&amp;C908</f>
        <v/>
      </c>
      <c r="B908" s="8" t="n"/>
      <c r="C908" s="8" t="n"/>
      <c r="D908" s="8" t="n"/>
      <c r="E908" s="11" t="n"/>
      <c r="F908" s="11" t="n"/>
      <c r="G908" s="8" t="n"/>
      <c r="H908" s="8" t="n"/>
      <c r="I908" s="8" t="n"/>
      <c r="J908" s="8" t="n"/>
      <c r="K908" s="12">
        <f>IF(OR(ISERROR(VLOOKUP(C908, Resultados_Reales!$A$4:$I$107, 5, FALSE)), ISERROR(VLOOKUP(C908, Resultados_Reales!$A$4:$I$107, 6, FALSE)), VLOOKUP(C908, Resultados_Reales!$A$4:$I$107, 5, FALSE)="", VLOOKUP(C908, Resultados_Reales!$A$4:$I$107, 6, FALSE)=""), 0, IF(AND(VLOOKUP(C908, Resultados_Reales!$A$4:$I$107, 5, FALSE)=G908, VLOOKUP(C908, Resultados_Reales!$A$4:$I$107, 6, FALSE)=H908), Configuracion!$B$5, IF(SIGN(VLOOKUP(C908, Resultados_Reales!$A$4:$I$107, 5, FALSE)-VLOOKUP(C908, Resultados_Reales!$A$4:$I$107, 6, FALSE)) = SIGN(G908-H908), Configuracion!$B$4, 0)))</f>
        <v/>
      </c>
      <c r="L908" s="11" t="n"/>
      <c r="M908" s="11" t="n"/>
      <c r="N908" s="11" t="n"/>
      <c r="O908" s="11" t="n"/>
      <c r="P908" s="11" t="n"/>
      <c r="Q908" s="11" t="n"/>
    </row>
    <row r="909">
      <c r="A909" s="8">
        <f>B909&amp;"_"&amp;C909</f>
        <v/>
      </c>
      <c r="B909" s="8" t="n"/>
      <c r="C909" s="8" t="n"/>
      <c r="D909" s="8" t="n"/>
      <c r="E909" s="11" t="n"/>
      <c r="F909" s="11" t="n"/>
      <c r="G909" s="8" t="n"/>
      <c r="H909" s="8" t="n"/>
      <c r="I909" s="8" t="n"/>
      <c r="J909" s="8" t="n"/>
      <c r="K909" s="12">
        <f>IF(OR(ISERROR(VLOOKUP(C909, Resultados_Reales!$A$4:$I$107, 5, FALSE)), ISERROR(VLOOKUP(C909, Resultados_Reales!$A$4:$I$107, 6, FALSE)), VLOOKUP(C909, Resultados_Reales!$A$4:$I$107, 5, FALSE)="", VLOOKUP(C909, Resultados_Reales!$A$4:$I$107, 6, FALSE)=""), 0, IF(AND(VLOOKUP(C909, Resultados_Reales!$A$4:$I$107, 5, FALSE)=G909, VLOOKUP(C909, Resultados_Reales!$A$4:$I$107, 6, FALSE)=H909), Configuracion!$B$5, IF(SIGN(VLOOKUP(C909, Resultados_Reales!$A$4:$I$107, 5, FALSE)-VLOOKUP(C909, Resultados_Reales!$A$4:$I$107, 6, FALSE)) = SIGN(G909-H909), Configuracion!$B$4, 0)))</f>
        <v/>
      </c>
      <c r="L909" s="11" t="n"/>
      <c r="M909" s="11" t="n"/>
      <c r="N909" s="11" t="n"/>
      <c r="O909" s="11" t="n"/>
      <c r="P909" s="11" t="n"/>
      <c r="Q909" s="11" t="n"/>
    </row>
    <row r="910">
      <c r="A910" s="8">
        <f>B910&amp;"_"&amp;C910</f>
        <v/>
      </c>
      <c r="B910" s="8" t="n"/>
      <c r="C910" s="8" t="n"/>
      <c r="D910" s="8" t="n"/>
      <c r="E910" s="11" t="n"/>
      <c r="F910" s="11" t="n"/>
      <c r="G910" s="8" t="n"/>
      <c r="H910" s="8" t="n"/>
      <c r="I910" s="8" t="n"/>
      <c r="J910" s="8" t="n"/>
      <c r="K910" s="12">
        <f>IF(OR(ISERROR(VLOOKUP(C910, Resultados_Reales!$A$4:$I$107, 5, FALSE)), ISERROR(VLOOKUP(C910, Resultados_Reales!$A$4:$I$107, 6, FALSE)), VLOOKUP(C910, Resultados_Reales!$A$4:$I$107, 5, FALSE)="", VLOOKUP(C910, Resultados_Reales!$A$4:$I$107, 6, FALSE)=""), 0, IF(AND(VLOOKUP(C910, Resultados_Reales!$A$4:$I$107, 5, FALSE)=G910, VLOOKUP(C910, Resultados_Reales!$A$4:$I$107, 6, FALSE)=H910), Configuracion!$B$5, IF(SIGN(VLOOKUP(C910, Resultados_Reales!$A$4:$I$107, 5, FALSE)-VLOOKUP(C910, Resultados_Reales!$A$4:$I$107, 6, FALSE)) = SIGN(G910-H910), Configuracion!$B$4, 0)))</f>
        <v/>
      </c>
      <c r="L910" s="11" t="n"/>
      <c r="M910" s="11" t="n"/>
      <c r="N910" s="11" t="n"/>
      <c r="O910" s="11" t="n"/>
      <c r="P910" s="11" t="n"/>
      <c r="Q910" s="11" t="n"/>
    </row>
    <row r="911">
      <c r="A911" s="8">
        <f>B911&amp;"_"&amp;C911</f>
        <v/>
      </c>
      <c r="B911" s="8" t="n"/>
      <c r="C911" s="8" t="n"/>
      <c r="D911" s="8" t="n"/>
      <c r="E911" s="11" t="n"/>
      <c r="F911" s="11" t="n"/>
      <c r="G911" s="8" t="n"/>
      <c r="H911" s="8" t="n"/>
      <c r="I911" s="8" t="n"/>
      <c r="J911" s="8" t="n"/>
      <c r="K911" s="12">
        <f>IF(OR(ISERROR(VLOOKUP(C911, Resultados_Reales!$A$4:$I$107, 5, FALSE)), ISERROR(VLOOKUP(C911, Resultados_Reales!$A$4:$I$107, 6, FALSE)), VLOOKUP(C911, Resultados_Reales!$A$4:$I$107, 5, FALSE)="", VLOOKUP(C911, Resultados_Reales!$A$4:$I$107, 6, FALSE)=""), 0, IF(AND(VLOOKUP(C911, Resultados_Reales!$A$4:$I$107, 5, FALSE)=G911, VLOOKUP(C911, Resultados_Reales!$A$4:$I$107, 6, FALSE)=H911), Configuracion!$B$5, IF(SIGN(VLOOKUP(C911, Resultados_Reales!$A$4:$I$107, 5, FALSE)-VLOOKUP(C911, Resultados_Reales!$A$4:$I$107, 6, FALSE)) = SIGN(G911-H911), Configuracion!$B$4, 0)))</f>
        <v/>
      </c>
      <c r="L911" s="11" t="n"/>
      <c r="M911" s="11" t="n"/>
      <c r="N911" s="11" t="n"/>
      <c r="O911" s="11" t="n"/>
      <c r="P911" s="11" t="n"/>
      <c r="Q911" s="11" t="n"/>
    </row>
    <row r="912">
      <c r="A912" s="8">
        <f>B912&amp;"_"&amp;C912</f>
        <v/>
      </c>
      <c r="B912" s="8" t="n"/>
      <c r="C912" s="8" t="n"/>
      <c r="D912" s="8" t="n"/>
      <c r="E912" s="11" t="n"/>
      <c r="F912" s="11" t="n"/>
      <c r="G912" s="8" t="n"/>
      <c r="H912" s="8" t="n"/>
      <c r="I912" s="8" t="n"/>
      <c r="J912" s="8" t="n"/>
      <c r="K912" s="12">
        <f>IF(OR(ISERROR(VLOOKUP(C912, Resultados_Reales!$A$4:$I$107, 5, FALSE)), ISERROR(VLOOKUP(C912, Resultados_Reales!$A$4:$I$107, 6, FALSE)), VLOOKUP(C912, Resultados_Reales!$A$4:$I$107, 5, FALSE)="", VLOOKUP(C912, Resultados_Reales!$A$4:$I$107, 6, FALSE)=""), 0, IF(AND(VLOOKUP(C912, Resultados_Reales!$A$4:$I$107, 5, FALSE)=G912, VLOOKUP(C912, Resultados_Reales!$A$4:$I$107, 6, FALSE)=H912), Configuracion!$B$5, IF(SIGN(VLOOKUP(C912, Resultados_Reales!$A$4:$I$107, 5, FALSE)-VLOOKUP(C912, Resultados_Reales!$A$4:$I$107, 6, FALSE)) = SIGN(G912-H912), Configuracion!$B$4, 0)))</f>
        <v/>
      </c>
      <c r="L912" s="11" t="n"/>
      <c r="M912" s="11" t="n"/>
      <c r="N912" s="11" t="n"/>
      <c r="O912" s="11" t="n"/>
      <c r="P912" s="11" t="n"/>
      <c r="Q912" s="11" t="n"/>
    </row>
    <row r="913">
      <c r="A913" s="8">
        <f>B913&amp;"_"&amp;C913</f>
        <v/>
      </c>
      <c r="B913" s="8" t="n"/>
      <c r="C913" s="8" t="n"/>
      <c r="D913" s="8" t="n"/>
      <c r="E913" s="11" t="n"/>
      <c r="F913" s="11" t="n"/>
      <c r="G913" s="8" t="n"/>
      <c r="H913" s="8" t="n"/>
      <c r="I913" s="8" t="n"/>
      <c r="J913" s="8" t="n"/>
      <c r="K913" s="12">
        <f>IF(OR(ISERROR(VLOOKUP(C913, Resultados_Reales!$A$4:$I$107, 5, FALSE)), ISERROR(VLOOKUP(C913, Resultados_Reales!$A$4:$I$107, 6, FALSE)), VLOOKUP(C913, Resultados_Reales!$A$4:$I$107, 5, FALSE)="", VLOOKUP(C913, Resultados_Reales!$A$4:$I$107, 6, FALSE)=""), 0, IF(AND(VLOOKUP(C913, Resultados_Reales!$A$4:$I$107, 5, FALSE)=G913, VLOOKUP(C913, Resultados_Reales!$A$4:$I$107, 6, FALSE)=H913), Configuracion!$B$5, IF(SIGN(VLOOKUP(C913, Resultados_Reales!$A$4:$I$107, 5, FALSE)-VLOOKUP(C913, Resultados_Reales!$A$4:$I$107, 6, FALSE)) = SIGN(G913-H913), Configuracion!$B$4, 0)))</f>
        <v/>
      </c>
      <c r="L913" s="11" t="n"/>
      <c r="M913" s="11" t="n"/>
      <c r="N913" s="11" t="n"/>
      <c r="O913" s="11" t="n"/>
      <c r="P913" s="11" t="n"/>
      <c r="Q913" s="11" t="n"/>
    </row>
    <row r="914">
      <c r="A914" s="8">
        <f>B914&amp;"_"&amp;C914</f>
        <v/>
      </c>
      <c r="B914" s="8" t="n"/>
      <c r="C914" s="8" t="n"/>
      <c r="D914" s="8" t="n"/>
      <c r="E914" s="11" t="n"/>
      <c r="F914" s="11" t="n"/>
      <c r="G914" s="8" t="n"/>
      <c r="H914" s="8" t="n"/>
      <c r="I914" s="8" t="n"/>
      <c r="J914" s="8" t="n"/>
      <c r="K914" s="12">
        <f>IF(OR(ISERROR(VLOOKUP(C914, Resultados_Reales!$A$4:$I$107, 5, FALSE)), ISERROR(VLOOKUP(C914, Resultados_Reales!$A$4:$I$107, 6, FALSE)), VLOOKUP(C914, Resultados_Reales!$A$4:$I$107, 5, FALSE)="", VLOOKUP(C914, Resultados_Reales!$A$4:$I$107, 6, FALSE)=""), 0, IF(AND(VLOOKUP(C914, Resultados_Reales!$A$4:$I$107, 5, FALSE)=G914, VLOOKUP(C914, Resultados_Reales!$A$4:$I$107, 6, FALSE)=H914), Configuracion!$B$5, IF(SIGN(VLOOKUP(C914, Resultados_Reales!$A$4:$I$107, 5, FALSE)-VLOOKUP(C914, Resultados_Reales!$A$4:$I$107, 6, FALSE)) = SIGN(G914-H914), Configuracion!$B$4, 0)))</f>
        <v/>
      </c>
      <c r="L914" s="11" t="n"/>
      <c r="M914" s="11" t="n"/>
      <c r="N914" s="11" t="n"/>
      <c r="O914" s="11" t="n"/>
      <c r="P914" s="11" t="n"/>
      <c r="Q914" s="11" t="n"/>
    </row>
    <row r="915">
      <c r="A915" s="8">
        <f>B915&amp;"_"&amp;C915</f>
        <v/>
      </c>
      <c r="B915" s="8" t="n"/>
      <c r="C915" s="8" t="n"/>
      <c r="D915" s="8" t="n"/>
      <c r="E915" s="11" t="n"/>
      <c r="F915" s="11" t="n"/>
      <c r="G915" s="8" t="n"/>
      <c r="H915" s="8" t="n"/>
      <c r="I915" s="8" t="n"/>
      <c r="J915" s="8" t="n"/>
      <c r="K915" s="12">
        <f>IF(OR(ISERROR(VLOOKUP(C915, Resultados_Reales!$A$4:$I$107, 5, FALSE)), ISERROR(VLOOKUP(C915, Resultados_Reales!$A$4:$I$107, 6, FALSE)), VLOOKUP(C915, Resultados_Reales!$A$4:$I$107, 5, FALSE)="", VLOOKUP(C915, Resultados_Reales!$A$4:$I$107, 6, FALSE)=""), 0, IF(AND(VLOOKUP(C915, Resultados_Reales!$A$4:$I$107, 5, FALSE)=G915, VLOOKUP(C915, Resultados_Reales!$A$4:$I$107, 6, FALSE)=H915), Configuracion!$B$5, IF(SIGN(VLOOKUP(C915, Resultados_Reales!$A$4:$I$107, 5, FALSE)-VLOOKUP(C915, Resultados_Reales!$A$4:$I$107, 6, FALSE)) = SIGN(G915-H915), Configuracion!$B$4, 0)))</f>
        <v/>
      </c>
      <c r="L915" s="11" t="n"/>
      <c r="M915" s="11" t="n"/>
      <c r="N915" s="11" t="n"/>
      <c r="O915" s="11" t="n"/>
      <c r="P915" s="11" t="n"/>
      <c r="Q915" s="11" t="n"/>
    </row>
    <row r="916">
      <c r="A916" s="8">
        <f>B916&amp;"_"&amp;C916</f>
        <v/>
      </c>
      <c r="B916" s="8" t="n"/>
      <c r="C916" s="8" t="n"/>
      <c r="D916" s="8" t="n"/>
      <c r="E916" s="11" t="n"/>
      <c r="F916" s="11" t="n"/>
      <c r="G916" s="8" t="n"/>
      <c r="H916" s="8" t="n"/>
      <c r="I916" s="8" t="n"/>
      <c r="J916" s="8" t="n"/>
      <c r="K916" s="12">
        <f>IF(OR(ISERROR(VLOOKUP(C916, Resultados_Reales!$A$4:$I$107, 5, FALSE)), ISERROR(VLOOKUP(C916, Resultados_Reales!$A$4:$I$107, 6, FALSE)), VLOOKUP(C916, Resultados_Reales!$A$4:$I$107, 5, FALSE)="", VLOOKUP(C916, Resultados_Reales!$A$4:$I$107, 6, FALSE)=""), 0, IF(AND(VLOOKUP(C916, Resultados_Reales!$A$4:$I$107, 5, FALSE)=G916, VLOOKUP(C916, Resultados_Reales!$A$4:$I$107, 6, FALSE)=H916), Configuracion!$B$5, IF(SIGN(VLOOKUP(C916, Resultados_Reales!$A$4:$I$107, 5, FALSE)-VLOOKUP(C916, Resultados_Reales!$A$4:$I$107, 6, FALSE)) = SIGN(G916-H916), Configuracion!$B$4, 0)))</f>
        <v/>
      </c>
      <c r="L916" s="11" t="n"/>
      <c r="M916" s="11" t="n"/>
      <c r="N916" s="11" t="n"/>
      <c r="O916" s="11" t="n"/>
      <c r="P916" s="11" t="n"/>
      <c r="Q916" s="11" t="n"/>
    </row>
    <row r="917">
      <c r="A917" s="8">
        <f>B917&amp;"_"&amp;C917</f>
        <v/>
      </c>
      <c r="B917" s="8" t="n"/>
      <c r="C917" s="8" t="n"/>
      <c r="D917" s="8" t="n"/>
      <c r="E917" s="11" t="n"/>
      <c r="F917" s="11" t="n"/>
      <c r="G917" s="8" t="n"/>
      <c r="H917" s="8" t="n"/>
      <c r="I917" s="8" t="n"/>
      <c r="J917" s="8" t="n"/>
      <c r="K917" s="12">
        <f>IF(OR(ISERROR(VLOOKUP(C917, Resultados_Reales!$A$4:$I$107, 5, FALSE)), ISERROR(VLOOKUP(C917, Resultados_Reales!$A$4:$I$107, 6, FALSE)), VLOOKUP(C917, Resultados_Reales!$A$4:$I$107, 5, FALSE)="", VLOOKUP(C917, Resultados_Reales!$A$4:$I$107, 6, FALSE)=""), 0, IF(AND(VLOOKUP(C917, Resultados_Reales!$A$4:$I$107, 5, FALSE)=G917, VLOOKUP(C917, Resultados_Reales!$A$4:$I$107, 6, FALSE)=H917), Configuracion!$B$5, IF(SIGN(VLOOKUP(C917, Resultados_Reales!$A$4:$I$107, 5, FALSE)-VLOOKUP(C917, Resultados_Reales!$A$4:$I$107, 6, FALSE)) = SIGN(G917-H917), Configuracion!$B$4, 0)))</f>
        <v/>
      </c>
      <c r="L917" s="11" t="n"/>
      <c r="M917" s="11" t="n"/>
      <c r="N917" s="11" t="n"/>
      <c r="O917" s="11" t="n"/>
      <c r="P917" s="11" t="n"/>
      <c r="Q917" s="11" t="n"/>
    </row>
    <row r="918">
      <c r="A918" s="8">
        <f>B918&amp;"_"&amp;C918</f>
        <v/>
      </c>
      <c r="B918" s="8" t="n"/>
      <c r="C918" s="8" t="n"/>
      <c r="D918" s="8" t="n"/>
      <c r="E918" s="11" t="n"/>
      <c r="F918" s="11" t="n"/>
      <c r="G918" s="8" t="n"/>
      <c r="H918" s="8" t="n"/>
      <c r="I918" s="8" t="n"/>
      <c r="J918" s="8" t="n"/>
      <c r="K918" s="12">
        <f>IF(OR(ISERROR(VLOOKUP(C918, Resultados_Reales!$A$4:$I$107, 5, FALSE)), ISERROR(VLOOKUP(C918, Resultados_Reales!$A$4:$I$107, 6, FALSE)), VLOOKUP(C918, Resultados_Reales!$A$4:$I$107, 5, FALSE)="", VLOOKUP(C918, Resultados_Reales!$A$4:$I$107, 6, FALSE)=""), 0, IF(AND(VLOOKUP(C918, Resultados_Reales!$A$4:$I$107, 5, FALSE)=G918, VLOOKUP(C918, Resultados_Reales!$A$4:$I$107, 6, FALSE)=H918), Configuracion!$B$5, IF(SIGN(VLOOKUP(C918, Resultados_Reales!$A$4:$I$107, 5, FALSE)-VLOOKUP(C918, Resultados_Reales!$A$4:$I$107, 6, FALSE)) = SIGN(G918-H918), Configuracion!$B$4, 0)))</f>
        <v/>
      </c>
      <c r="L918" s="11" t="n"/>
      <c r="M918" s="11" t="n"/>
      <c r="N918" s="11" t="n"/>
      <c r="O918" s="11" t="n"/>
      <c r="P918" s="11" t="n"/>
      <c r="Q918" s="11" t="n"/>
    </row>
    <row r="919">
      <c r="A919" s="8">
        <f>B919&amp;"_"&amp;C919</f>
        <v/>
      </c>
      <c r="B919" s="8" t="n"/>
      <c r="C919" s="8" t="n"/>
      <c r="D919" s="8" t="n"/>
      <c r="E919" s="11" t="n"/>
      <c r="F919" s="11" t="n"/>
      <c r="G919" s="8" t="n"/>
      <c r="H919" s="8" t="n"/>
      <c r="I919" s="8" t="n"/>
      <c r="J919" s="8" t="n"/>
      <c r="K919" s="12">
        <f>IF(OR(ISERROR(VLOOKUP(C919, Resultados_Reales!$A$4:$I$107, 5, FALSE)), ISERROR(VLOOKUP(C919, Resultados_Reales!$A$4:$I$107, 6, FALSE)), VLOOKUP(C919, Resultados_Reales!$A$4:$I$107, 5, FALSE)="", VLOOKUP(C919, Resultados_Reales!$A$4:$I$107, 6, FALSE)=""), 0, IF(AND(VLOOKUP(C919, Resultados_Reales!$A$4:$I$107, 5, FALSE)=G919, VLOOKUP(C919, Resultados_Reales!$A$4:$I$107, 6, FALSE)=H919), Configuracion!$B$5, IF(SIGN(VLOOKUP(C919, Resultados_Reales!$A$4:$I$107, 5, FALSE)-VLOOKUP(C919, Resultados_Reales!$A$4:$I$107, 6, FALSE)) = SIGN(G919-H919), Configuracion!$B$4, 0)))</f>
        <v/>
      </c>
      <c r="L919" s="11" t="n"/>
      <c r="M919" s="11" t="n"/>
      <c r="N919" s="11" t="n"/>
      <c r="O919" s="11" t="n"/>
      <c r="P919" s="11" t="n"/>
      <c r="Q919" s="11" t="n"/>
    </row>
    <row r="920">
      <c r="A920" s="8">
        <f>B920&amp;"_"&amp;C920</f>
        <v/>
      </c>
      <c r="B920" s="8" t="n"/>
      <c r="C920" s="8" t="n"/>
      <c r="D920" s="8" t="n"/>
      <c r="E920" s="11" t="n"/>
      <c r="F920" s="11" t="n"/>
      <c r="G920" s="8" t="n"/>
      <c r="H920" s="8" t="n"/>
      <c r="I920" s="8" t="n"/>
      <c r="J920" s="8" t="n"/>
      <c r="K920" s="12">
        <f>IF(OR(ISERROR(VLOOKUP(C920, Resultados_Reales!$A$4:$I$107, 5, FALSE)), ISERROR(VLOOKUP(C920, Resultados_Reales!$A$4:$I$107, 6, FALSE)), VLOOKUP(C920, Resultados_Reales!$A$4:$I$107, 5, FALSE)="", VLOOKUP(C920, Resultados_Reales!$A$4:$I$107, 6, FALSE)=""), 0, IF(AND(VLOOKUP(C920, Resultados_Reales!$A$4:$I$107, 5, FALSE)=G920, VLOOKUP(C920, Resultados_Reales!$A$4:$I$107, 6, FALSE)=H920), Configuracion!$B$5, IF(SIGN(VLOOKUP(C920, Resultados_Reales!$A$4:$I$107, 5, FALSE)-VLOOKUP(C920, Resultados_Reales!$A$4:$I$107, 6, FALSE)) = SIGN(G920-H920), Configuracion!$B$4, 0)))</f>
        <v/>
      </c>
      <c r="L920" s="11" t="n"/>
      <c r="M920" s="11" t="n"/>
      <c r="N920" s="11" t="n"/>
      <c r="O920" s="11" t="n"/>
      <c r="P920" s="11" t="n"/>
      <c r="Q920" s="11" t="n"/>
    </row>
    <row r="921">
      <c r="A921" s="8">
        <f>B921&amp;"_"&amp;C921</f>
        <v/>
      </c>
      <c r="B921" s="8" t="n"/>
      <c r="C921" s="8" t="n"/>
      <c r="D921" s="8" t="n"/>
      <c r="E921" s="11" t="n"/>
      <c r="F921" s="11" t="n"/>
      <c r="G921" s="8" t="n"/>
      <c r="H921" s="8" t="n"/>
      <c r="I921" s="8" t="n"/>
      <c r="J921" s="8" t="n"/>
      <c r="K921" s="12">
        <f>IF(OR(ISERROR(VLOOKUP(C921, Resultados_Reales!$A$4:$I$107, 5, FALSE)), ISERROR(VLOOKUP(C921, Resultados_Reales!$A$4:$I$107, 6, FALSE)), VLOOKUP(C921, Resultados_Reales!$A$4:$I$107, 5, FALSE)="", VLOOKUP(C921, Resultados_Reales!$A$4:$I$107, 6, FALSE)=""), 0, IF(AND(VLOOKUP(C921, Resultados_Reales!$A$4:$I$107, 5, FALSE)=G921, VLOOKUP(C921, Resultados_Reales!$A$4:$I$107, 6, FALSE)=H921), Configuracion!$B$5, IF(SIGN(VLOOKUP(C921, Resultados_Reales!$A$4:$I$107, 5, FALSE)-VLOOKUP(C921, Resultados_Reales!$A$4:$I$107, 6, FALSE)) = SIGN(G921-H921), Configuracion!$B$4, 0)))</f>
        <v/>
      </c>
      <c r="L921" s="11" t="n"/>
      <c r="M921" s="11" t="n"/>
      <c r="N921" s="11" t="n"/>
      <c r="O921" s="11" t="n"/>
      <c r="P921" s="11" t="n"/>
      <c r="Q921" s="11" t="n"/>
    </row>
    <row r="922">
      <c r="A922" s="8">
        <f>B922&amp;"_"&amp;C922</f>
        <v/>
      </c>
      <c r="B922" s="8" t="n"/>
      <c r="C922" s="8" t="n"/>
      <c r="D922" s="8" t="n"/>
      <c r="E922" s="11" t="n"/>
      <c r="F922" s="11" t="n"/>
      <c r="G922" s="8" t="n"/>
      <c r="H922" s="8" t="n"/>
      <c r="I922" s="8" t="n"/>
      <c r="J922" s="8" t="n"/>
      <c r="K922" s="12">
        <f>IF(OR(ISERROR(VLOOKUP(C922, Resultados_Reales!$A$4:$I$107, 5, FALSE)), ISERROR(VLOOKUP(C922, Resultados_Reales!$A$4:$I$107, 6, FALSE)), VLOOKUP(C922, Resultados_Reales!$A$4:$I$107, 5, FALSE)="", VLOOKUP(C922, Resultados_Reales!$A$4:$I$107, 6, FALSE)=""), 0, IF(AND(VLOOKUP(C922, Resultados_Reales!$A$4:$I$107, 5, FALSE)=G922, VLOOKUP(C922, Resultados_Reales!$A$4:$I$107, 6, FALSE)=H922), Configuracion!$B$5, IF(SIGN(VLOOKUP(C922, Resultados_Reales!$A$4:$I$107, 5, FALSE)-VLOOKUP(C922, Resultados_Reales!$A$4:$I$107, 6, FALSE)) = SIGN(G922-H922), Configuracion!$B$4, 0)))</f>
        <v/>
      </c>
      <c r="L922" s="11" t="n"/>
      <c r="M922" s="11" t="n"/>
      <c r="N922" s="11" t="n"/>
      <c r="O922" s="11" t="n"/>
      <c r="P922" s="11" t="n"/>
      <c r="Q922" s="11" t="n"/>
    </row>
    <row r="923">
      <c r="A923" s="8">
        <f>B923&amp;"_"&amp;C923</f>
        <v/>
      </c>
      <c r="B923" s="8" t="n"/>
      <c r="C923" s="8" t="n"/>
      <c r="D923" s="8" t="n"/>
      <c r="E923" s="11" t="n"/>
      <c r="F923" s="11" t="n"/>
      <c r="G923" s="8" t="n"/>
      <c r="H923" s="8" t="n"/>
      <c r="I923" s="8" t="n"/>
      <c r="J923" s="8" t="n"/>
      <c r="K923" s="12">
        <f>IF(OR(ISERROR(VLOOKUP(C923, Resultados_Reales!$A$4:$I$107, 5, FALSE)), ISERROR(VLOOKUP(C923, Resultados_Reales!$A$4:$I$107, 6, FALSE)), VLOOKUP(C923, Resultados_Reales!$A$4:$I$107, 5, FALSE)="", VLOOKUP(C923, Resultados_Reales!$A$4:$I$107, 6, FALSE)=""), 0, IF(AND(VLOOKUP(C923, Resultados_Reales!$A$4:$I$107, 5, FALSE)=G923, VLOOKUP(C923, Resultados_Reales!$A$4:$I$107, 6, FALSE)=H923), Configuracion!$B$5, IF(SIGN(VLOOKUP(C923, Resultados_Reales!$A$4:$I$107, 5, FALSE)-VLOOKUP(C923, Resultados_Reales!$A$4:$I$107, 6, FALSE)) = SIGN(G923-H923), Configuracion!$B$4, 0)))</f>
        <v/>
      </c>
      <c r="L923" s="11" t="n"/>
      <c r="M923" s="11" t="n"/>
      <c r="N923" s="11" t="n"/>
      <c r="O923" s="11" t="n"/>
      <c r="P923" s="11" t="n"/>
      <c r="Q923" s="11" t="n"/>
    </row>
    <row r="924">
      <c r="A924" s="8">
        <f>B924&amp;"_"&amp;C924</f>
        <v/>
      </c>
      <c r="B924" s="8" t="n"/>
      <c r="C924" s="8" t="n"/>
      <c r="D924" s="8" t="n"/>
      <c r="E924" s="11" t="n"/>
      <c r="F924" s="11" t="n"/>
      <c r="G924" s="8" t="n"/>
      <c r="H924" s="8" t="n"/>
      <c r="I924" s="8" t="n"/>
      <c r="J924" s="8" t="n"/>
      <c r="K924" s="12">
        <f>IF(OR(ISERROR(VLOOKUP(C924, Resultados_Reales!$A$4:$I$107, 5, FALSE)), ISERROR(VLOOKUP(C924, Resultados_Reales!$A$4:$I$107, 6, FALSE)), VLOOKUP(C924, Resultados_Reales!$A$4:$I$107, 5, FALSE)="", VLOOKUP(C924, Resultados_Reales!$A$4:$I$107, 6, FALSE)=""), 0, IF(AND(VLOOKUP(C924, Resultados_Reales!$A$4:$I$107, 5, FALSE)=G924, VLOOKUP(C924, Resultados_Reales!$A$4:$I$107, 6, FALSE)=H924), Configuracion!$B$5, IF(SIGN(VLOOKUP(C924, Resultados_Reales!$A$4:$I$107, 5, FALSE)-VLOOKUP(C924, Resultados_Reales!$A$4:$I$107, 6, FALSE)) = SIGN(G924-H924), Configuracion!$B$4, 0)))</f>
        <v/>
      </c>
      <c r="L924" s="11" t="n"/>
      <c r="M924" s="11" t="n"/>
      <c r="N924" s="11" t="n"/>
      <c r="O924" s="11" t="n"/>
      <c r="P924" s="11" t="n"/>
      <c r="Q924" s="11" t="n"/>
    </row>
    <row r="925">
      <c r="A925" s="8">
        <f>B925&amp;"_"&amp;C925</f>
        <v/>
      </c>
      <c r="B925" s="8" t="n"/>
      <c r="C925" s="8" t="n"/>
      <c r="D925" s="8" t="n"/>
      <c r="E925" s="11" t="n"/>
      <c r="F925" s="11" t="n"/>
      <c r="G925" s="8" t="n"/>
      <c r="H925" s="8" t="n"/>
      <c r="I925" s="8" t="n"/>
      <c r="J925" s="8" t="n"/>
      <c r="K925" s="12">
        <f>IF(OR(ISERROR(VLOOKUP(C925, Resultados_Reales!$A$4:$I$107, 5, FALSE)), ISERROR(VLOOKUP(C925, Resultados_Reales!$A$4:$I$107, 6, FALSE)), VLOOKUP(C925, Resultados_Reales!$A$4:$I$107, 5, FALSE)="", VLOOKUP(C925, Resultados_Reales!$A$4:$I$107, 6, FALSE)=""), 0, IF(AND(VLOOKUP(C925, Resultados_Reales!$A$4:$I$107, 5, FALSE)=G925, VLOOKUP(C925, Resultados_Reales!$A$4:$I$107, 6, FALSE)=H925), Configuracion!$B$5, IF(SIGN(VLOOKUP(C925, Resultados_Reales!$A$4:$I$107, 5, FALSE)-VLOOKUP(C925, Resultados_Reales!$A$4:$I$107, 6, FALSE)) = SIGN(G925-H925), Configuracion!$B$4, 0)))</f>
        <v/>
      </c>
      <c r="L925" s="11" t="n"/>
      <c r="M925" s="11" t="n"/>
      <c r="N925" s="11" t="n"/>
      <c r="O925" s="11" t="n"/>
      <c r="P925" s="11" t="n"/>
      <c r="Q925" s="11" t="n"/>
    </row>
    <row r="926">
      <c r="A926" s="8">
        <f>B926&amp;"_"&amp;C926</f>
        <v/>
      </c>
      <c r="B926" s="8" t="n"/>
      <c r="C926" s="8" t="n"/>
      <c r="D926" s="8" t="n"/>
      <c r="E926" s="11" t="n"/>
      <c r="F926" s="11" t="n"/>
      <c r="G926" s="8" t="n"/>
      <c r="H926" s="8" t="n"/>
      <c r="I926" s="8" t="n"/>
      <c r="J926" s="8" t="n"/>
      <c r="K926" s="12">
        <f>IF(OR(ISERROR(VLOOKUP(C926, Resultados_Reales!$A$4:$I$107, 5, FALSE)), ISERROR(VLOOKUP(C926, Resultados_Reales!$A$4:$I$107, 6, FALSE)), VLOOKUP(C926, Resultados_Reales!$A$4:$I$107, 5, FALSE)="", VLOOKUP(C926, Resultados_Reales!$A$4:$I$107, 6, FALSE)=""), 0, IF(AND(VLOOKUP(C926, Resultados_Reales!$A$4:$I$107, 5, FALSE)=G926, VLOOKUP(C926, Resultados_Reales!$A$4:$I$107, 6, FALSE)=H926), Configuracion!$B$5, IF(SIGN(VLOOKUP(C926, Resultados_Reales!$A$4:$I$107, 5, FALSE)-VLOOKUP(C926, Resultados_Reales!$A$4:$I$107, 6, FALSE)) = SIGN(G926-H926), Configuracion!$B$4, 0)))</f>
        <v/>
      </c>
      <c r="L926" s="11" t="n"/>
      <c r="M926" s="11" t="n"/>
      <c r="N926" s="11" t="n"/>
      <c r="O926" s="11" t="n"/>
      <c r="P926" s="11" t="n"/>
      <c r="Q926" s="11" t="n"/>
    </row>
    <row r="927">
      <c r="A927" s="8">
        <f>B927&amp;"_"&amp;C927</f>
        <v/>
      </c>
      <c r="B927" s="8" t="n"/>
      <c r="C927" s="8" t="n"/>
      <c r="D927" s="8" t="n"/>
      <c r="E927" s="11" t="n"/>
      <c r="F927" s="11" t="n"/>
      <c r="G927" s="8" t="n"/>
      <c r="H927" s="8" t="n"/>
      <c r="I927" s="8" t="n"/>
      <c r="J927" s="8" t="n"/>
      <c r="K927" s="12">
        <f>IF(OR(ISERROR(VLOOKUP(C927, Resultados_Reales!$A$4:$I$107, 5, FALSE)), ISERROR(VLOOKUP(C927, Resultados_Reales!$A$4:$I$107, 6, FALSE)), VLOOKUP(C927, Resultados_Reales!$A$4:$I$107, 5, FALSE)="", VLOOKUP(C927, Resultados_Reales!$A$4:$I$107, 6, FALSE)=""), 0, IF(AND(VLOOKUP(C927, Resultados_Reales!$A$4:$I$107, 5, FALSE)=G927, VLOOKUP(C927, Resultados_Reales!$A$4:$I$107, 6, FALSE)=H927), Configuracion!$B$5, IF(SIGN(VLOOKUP(C927, Resultados_Reales!$A$4:$I$107, 5, FALSE)-VLOOKUP(C927, Resultados_Reales!$A$4:$I$107, 6, FALSE)) = SIGN(G927-H927), Configuracion!$B$4, 0)))</f>
        <v/>
      </c>
      <c r="L927" s="11" t="n"/>
      <c r="M927" s="11" t="n"/>
      <c r="N927" s="11" t="n"/>
      <c r="O927" s="11" t="n"/>
      <c r="P927" s="11" t="n"/>
      <c r="Q927" s="11" t="n"/>
    </row>
    <row r="928">
      <c r="A928" s="8">
        <f>B928&amp;"_"&amp;C928</f>
        <v/>
      </c>
      <c r="B928" s="8" t="n"/>
      <c r="C928" s="8" t="n"/>
      <c r="D928" s="8" t="n"/>
      <c r="E928" s="11" t="n"/>
      <c r="F928" s="11" t="n"/>
      <c r="G928" s="8" t="n"/>
      <c r="H928" s="8" t="n"/>
      <c r="I928" s="8" t="n"/>
      <c r="J928" s="8" t="n"/>
      <c r="K928" s="12">
        <f>IF(OR(ISERROR(VLOOKUP(C928, Resultados_Reales!$A$4:$I$107, 5, FALSE)), ISERROR(VLOOKUP(C928, Resultados_Reales!$A$4:$I$107, 6, FALSE)), VLOOKUP(C928, Resultados_Reales!$A$4:$I$107, 5, FALSE)="", VLOOKUP(C928, Resultados_Reales!$A$4:$I$107, 6, FALSE)=""), 0, IF(AND(VLOOKUP(C928, Resultados_Reales!$A$4:$I$107, 5, FALSE)=G928, VLOOKUP(C928, Resultados_Reales!$A$4:$I$107, 6, FALSE)=H928), Configuracion!$B$5, IF(SIGN(VLOOKUP(C928, Resultados_Reales!$A$4:$I$107, 5, FALSE)-VLOOKUP(C928, Resultados_Reales!$A$4:$I$107, 6, FALSE)) = SIGN(G928-H928), Configuracion!$B$4, 0)))</f>
        <v/>
      </c>
      <c r="L928" s="11" t="n"/>
      <c r="M928" s="11" t="n"/>
      <c r="N928" s="11" t="n"/>
      <c r="O928" s="11" t="n"/>
      <c r="P928" s="11" t="n"/>
      <c r="Q928" s="11" t="n"/>
    </row>
    <row r="929">
      <c r="A929" s="8">
        <f>B929&amp;"_"&amp;C929</f>
        <v/>
      </c>
      <c r="B929" s="8" t="n"/>
      <c r="C929" s="8" t="n"/>
      <c r="D929" s="8" t="n"/>
      <c r="E929" s="11" t="n"/>
      <c r="F929" s="11" t="n"/>
      <c r="G929" s="8" t="n"/>
      <c r="H929" s="8" t="n"/>
      <c r="I929" s="8" t="n"/>
      <c r="J929" s="8" t="n"/>
      <c r="K929" s="12">
        <f>IF(OR(ISERROR(VLOOKUP(C929, Resultados_Reales!$A$4:$I$107, 5, FALSE)), ISERROR(VLOOKUP(C929, Resultados_Reales!$A$4:$I$107, 6, FALSE)), VLOOKUP(C929, Resultados_Reales!$A$4:$I$107, 5, FALSE)="", VLOOKUP(C929, Resultados_Reales!$A$4:$I$107, 6, FALSE)=""), 0, IF(AND(VLOOKUP(C929, Resultados_Reales!$A$4:$I$107, 5, FALSE)=G929, VLOOKUP(C929, Resultados_Reales!$A$4:$I$107, 6, FALSE)=H929), Configuracion!$B$5, IF(SIGN(VLOOKUP(C929, Resultados_Reales!$A$4:$I$107, 5, FALSE)-VLOOKUP(C929, Resultados_Reales!$A$4:$I$107, 6, FALSE)) = SIGN(G929-H929), Configuracion!$B$4, 0)))</f>
        <v/>
      </c>
      <c r="L929" s="11" t="n"/>
      <c r="M929" s="11" t="n"/>
      <c r="N929" s="11" t="n"/>
      <c r="O929" s="11" t="n"/>
      <c r="P929" s="11" t="n"/>
      <c r="Q929" s="11" t="n"/>
    </row>
    <row r="930">
      <c r="A930" s="8">
        <f>B930&amp;"_"&amp;C930</f>
        <v/>
      </c>
      <c r="B930" s="8" t="n"/>
      <c r="C930" s="8" t="n"/>
      <c r="D930" s="8" t="n"/>
      <c r="E930" s="11" t="n"/>
      <c r="F930" s="11" t="n"/>
      <c r="G930" s="8" t="n"/>
      <c r="H930" s="8" t="n"/>
      <c r="I930" s="8" t="n"/>
      <c r="J930" s="8" t="n"/>
      <c r="K930" s="12">
        <f>IF(OR(ISERROR(VLOOKUP(C930, Resultados_Reales!$A$4:$I$107, 5, FALSE)), ISERROR(VLOOKUP(C930, Resultados_Reales!$A$4:$I$107, 6, FALSE)), VLOOKUP(C930, Resultados_Reales!$A$4:$I$107, 5, FALSE)="", VLOOKUP(C930, Resultados_Reales!$A$4:$I$107, 6, FALSE)=""), 0, IF(AND(VLOOKUP(C930, Resultados_Reales!$A$4:$I$107, 5, FALSE)=G930, VLOOKUP(C930, Resultados_Reales!$A$4:$I$107, 6, FALSE)=H930), Configuracion!$B$5, IF(SIGN(VLOOKUP(C930, Resultados_Reales!$A$4:$I$107, 5, FALSE)-VLOOKUP(C930, Resultados_Reales!$A$4:$I$107, 6, FALSE)) = SIGN(G930-H930), Configuracion!$B$4, 0)))</f>
        <v/>
      </c>
      <c r="L930" s="11" t="n"/>
      <c r="M930" s="11" t="n"/>
      <c r="N930" s="11" t="n"/>
      <c r="O930" s="11" t="n"/>
      <c r="P930" s="11" t="n"/>
      <c r="Q930" s="11" t="n"/>
    </row>
    <row r="931">
      <c r="A931" s="8">
        <f>B931&amp;"_"&amp;C931</f>
        <v/>
      </c>
      <c r="B931" s="8" t="n"/>
      <c r="C931" s="8" t="n"/>
      <c r="D931" s="8" t="n"/>
      <c r="E931" s="11" t="n"/>
      <c r="F931" s="11" t="n"/>
      <c r="G931" s="8" t="n"/>
      <c r="H931" s="8" t="n"/>
      <c r="I931" s="8" t="n"/>
      <c r="J931" s="8" t="n"/>
      <c r="K931" s="12">
        <f>IF(OR(ISERROR(VLOOKUP(C931, Resultados_Reales!$A$4:$I$107, 5, FALSE)), ISERROR(VLOOKUP(C931, Resultados_Reales!$A$4:$I$107, 6, FALSE)), VLOOKUP(C931, Resultados_Reales!$A$4:$I$107, 5, FALSE)="", VLOOKUP(C931, Resultados_Reales!$A$4:$I$107, 6, FALSE)=""), 0, IF(AND(VLOOKUP(C931, Resultados_Reales!$A$4:$I$107, 5, FALSE)=G931, VLOOKUP(C931, Resultados_Reales!$A$4:$I$107, 6, FALSE)=H931), Configuracion!$B$5, IF(SIGN(VLOOKUP(C931, Resultados_Reales!$A$4:$I$107, 5, FALSE)-VLOOKUP(C931, Resultados_Reales!$A$4:$I$107, 6, FALSE)) = SIGN(G931-H931), Configuracion!$B$4, 0)))</f>
        <v/>
      </c>
      <c r="L931" s="11" t="n"/>
      <c r="M931" s="11" t="n"/>
      <c r="N931" s="11" t="n"/>
      <c r="O931" s="11" t="n"/>
      <c r="P931" s="11" t="n"/>
      <c r="Q931" s="11" t="n"/>
    </row>
    <row r="932">
      <c r="A932" s="8">
        <f>B932&amp;"_"&amp;C932</f>
        <v/>
      </c>
      <c r="B932" s="8" t="n"/>
      <c r="C932" s="8" t="n"/>
      <c r="D932" s="8" t="n"/>
      <c r="E932" s="11" t="n"/>
      <c r="F932" s="11" t="n"/>
      <c r="G932" s="8" t="n"/>
      <c r="H932" s="8" t="n"/>
      <c r="I932" s="8" t="n"/>
      <c r="J932" s="8" t="n"/>
      <c r="K932" s="12">
        <f>IF(OR(ISERROR(VLOOKUP(C932, Resultados_Reales!$A$4:$I$107, 5, FALSE)), ISERROR(VLOOKUP(C932, Resultados_Reales!$A$4:$I$107, 6, FALSE)), VLOOKUP(C932, Resultados_Reales!$A$4:$I$107, 5, FALSE)="", VLOOKUP(C932, Resultados_Reales!$A$4:$I$107, 6, FALSE)=""), 0, IF(AND(VLOOKUP(C932, Resultados_Reales!$A$4:$I$107, 5, FALSE)=G932, VLOOKUP(C932, Resultados_Reales!$A$4:$I$107, 6, FALSE)=H932), Configuracion!$B$5, IF(SIGN(VLOOKUP(C932, Resultados_Reales!$A$4:$I$107, 5, FALSE)-VLOOKUP(C932, Resultados_Reales!$A$4:$I$107, 6, FALSE)) = SIGN(G932-H932), Configuracion!$B$4, 0)))</f>
        <v/>
      </c>
      <c r="L932" s="11" t="n"/>
      <c r="M932" s="11" t="n"/>
      <c r="N932" s="11" t="n"/>
      <c r="O932" s="11" t="n"/>
      <c r="P932" s="11" t="n"/>
      <c r="Q932" s="11" t="n"/>
    </row>
    <row r="933">
      <c r="A933" s="8">
        <f>B933&amp;"_"&amp;C933</f>
        <v/>
      </c>
      <c r="B933" s="8" t="n"/>
      <c r="C933" s="8" t="n"/>
      <c r="D933" s="8" t="n"/>
      <c r="E933" s="11" t="n"/>
      <c r="F933" s="11" t="n"/>
      <c r="G933" s="8" t="n"/>
      <c r="H933" s="8" t="n"/>
      <c r="I933" s="8" t="n"/>
      <c r="J933" s="8" t="n"/>
      <c r="K933" s="12">
        <f>IF(OR(ISERROR(VLOOKUP(C933, Resultados_Reales!$A$4:$I$107, 5, FALSE)), ISERROR(VLOOKUP(C933, Resultados_Reales!$A$4:$I$107, 6, FALSE)), VLOOKUP(C933, Resultados_Reales!$A$4:$I$107, 5, FALSE)="", VLOOKUP(C933, Resultados_Reales!$A$4:$I$107, 6, FALSE)=""), 0, IF(AND(VLOOKUP(C933, Resultados_Reales!$A$4:$I$107, 5, FALSE)=G933, VLOOKUP(C933, Resultados_Reales!$A$4:$I$107, 6, FALSE)=H933), Configuracion!$B$5, IF(SIGN(VLOOKUP(C933, Resultados_Reales!$A$4:$I$107, 5, FALSE)-VLOOKUP(C933, Resultados_Reales!$A$4:$I$107, 6, FALSE)) = SIGN(G933-H933), Configuracion!$B$4, 0)))</f>
        <v/>
      </c>
      <c r="L933" s="11" t="n"/>
      <c r="M933" s="11" t="n"/>
      <c r="N933" s="11" t="n"/>
      <c r="O933" s="11" t="n"/>
      <c r="P933" s="11" t="n"/>
      <c r="Q933" s="11" t="n"/>
    </row>
    <row r="934">
      <c r="A934" s="8">
        <f>B934&amp;"_"&amp;C934</f>
        <v/>
      </c>
      <c r="B934" s="8" t="n"/>
      <c r="C934" s="8" t="n"/>
      <c r="D934" s="8" t="n"/>
      <c r="E934" s="11" t="n"/>
      <c r="F934" s="11" t="n"/>
      <c r="G934" s="8" t="n"/>
      <c r="H934" s="8" t="n"/>
      <c r="I934" s="8" t="n"/>
      <c r="J934" s="8" t="n"/>
      <c r="K934" s="12">
        <f>IF(OR(ISERROR(VLOOKUP(C934, Resultados_Reales!$A$4:$I$107, 5, FALSE)), ISERROR(VLOOKUP(C934, Resultados_Reales!$A$4:$I$107, 6, FALSE)), VLOOKUP(C934, Resultados_Reales!$A$4:$I$107, 5, FALSE)="", VLOOKUP(C934, Resultados_Reales!$A$4:$I$107, 6, FALSE)=""), 0, IF(AND(VLOOKUP(C934, Resultados_Reales!$A$4:$I$107, 5, FALSE)=G934, VLOOKUP(C934, Resultados_Reales!$A$4:$I$107, 6, FALSE)=H934), Configuracion!$B$5, IF(SIGN(VLOOKUP(C934, Resultados_Reales!$A$4:$I$107, 5, FALSE)-VLOOKUP(C934, Resultados_Reales!$A$4:$I$107, 6, FALSE)) = SIGN(G934-H934), Configuracion!$B$4, 0)))</f>
        <v/>
      </c>
      <c r="L934" s="11" t="n"/>
      <c r="M934" s="11" t="n"/>
      <c r="N934" s="11" t="n"/>
      <c r="O934" s="11" t="n"/>
      <c r="P934" s="11" t="n"/>
      <c r="Q934" s="11" t="n"/>
    </row>
    <row r="935">
      <c r="A935" s="8">
        <f>B935&amp;"_"&amp;C935</f>
        <v/>
      </c>
      <c r="B935" s="8" t="n"/>
      <c r="C935" s="8" t="n"/>
      <c r="D935" s="8" t="n"/>
      <c r="E935" s="11" t="n"/>
      <c r="F935" s="11" t="n"/>
      <c r="G935" s="8" t="n"/>
      <c r="H935" s="8" t="n"/>
      <c r="I935" s="8" t="n"/>
      <c r="J935" s="8" t="n"/>
      <c r="K935" s="12">
        <f>IF(OR(ISERROR(VLOOKUP(C935, Resultados_Reales!$A$4:$I$107, 5, FALSE)), ISERROR(VLOOKUP(C935, Resultados_Reales!$A$4:$I$107, 6, FALSE)), VLOOKUP(C935, Resultados_Reales!$A$4:$I$107, 5, FALSE)="", VLOOKUP(C935, Resultados_Reales!$A$4:$I$107, 6, FALSE)=""), 0, IF(AND(VLOOKUP(C935, Resultados_Reales!$A$4:$I$107, 5, FALSE)=G935, VLOOKUP(C935, Resultados_Reales!$A$4:$I$107, 6, FALSE)=H935), Configuracion!$B$5, IF(SIGN(VLOOKUP(C935, Resultados_Reales!$A$4:$I$107, 5, FALSE)-VLOOKUP(C935, Resultados_Reales!$A$4:$I$107, 6, FALSE)) = SIGN(G935-H935), Configuracion!$B$4, 0)))</f>
        <v/>
      </c>
      <c r="L935" s="11" t="n"/>
      <c r="M935" s="11" t="n"/>
      <c r="N935" s="11" t="n"/>
      <c r="O935" s="11" t="n"/>
      <c r="P935" s="11" t="n"/>
      <c r="Q935" s="11" t="n"/>
    </row>
    <row r="936">
      <c r="A936" s="8">
        <f>B936&amp;"_"&amp;C936</f>
        <v/>
      </c>
      <c r="B936" s="8" t="n"/>
      <c r="C936" s="8" t="n"/>
      <c r="D936" s="8" t="n"/>
      <c r="E936" s="11" t="n"/>
      <c r="F936" s="11" t="n"/>
      <c r="G936" s="8" t="n"/>
      <c r="H936" s="8" t="n"/>
      <c r="I936" s="8" t="n"/>
      <c r="J936" s="8" t="n"/>
      <c r="K936" s="12">
        <f>IF(OR(ISERROR(VLOOKUP(C936, Resultados_Reales!$A$4:$I$107, 5, FALSE)), ISERROR(VLOOKUP(C936, Resultados_Reales!$A$4:$I$107, 6, FALSE)), VLOOKUP(C936, Resultados_Reales!$A$4:$I$107, 5, FALSE)="", VLOOKUP(C936, Resultados_Reales!$A$4:$I$107, 6, FALSE)=""), 0, IF(AND(VLOOKUP(C936, Resultados_Reales!$A$4:$I$107, 5, FALSE)=G936, VLOOKUP(C936, Resultados_Reales!$A$4:$I$107, 6, FALSE)=H936), Configuracion!$B$5, IF(SIGN(VLOOKUP(C936, Resultados_Reales!$A$4:$I$107, 5, FALSE)-VLOOKUP(C936, Resultados_Reales!$A$4:$I$107, 6, FALSE)) = SIGN(G936-H936), Configuracion!$B$4, 0)))</f>
        <v/>
      </c>
      <c r="L936" s="11" t="n"/>
      <c r="M936" s="11" t="n"/>
      <c r="N936" s="11" t="n"/>
      <c r="O936" s="11" t="n"/>
      <c r="P936" s="11" t="n"/>
      <c r="Q936" s="11" t="n"/>
    </row>
    <row r="937">
      <c r="A937" s="8">
        <f>B937&amp;"_"&amp;C937</f>
        <v/>
      </c>
      <c r="B937" s="8" t="n"/>
      <c r="C937" s="8" t="n"/>
      <c r="D937" s="8" t="n"/>
      <c r="E937" s="11" t="n"/>
      <c r="F937" s="11" t="n"/>
      <c r="G937" s="8" t="n"/>
      <c r="H937" s="8" t="n"/>
      <c r="I937" s="8" t="n"/>
      <c r="J937" s="8" t="n"/>
      <c r="K937" s="12">
        <f>IF(OR(ISERROR(VLOOKUP(C937, Resultados_Reales!$A$4:$I$107, 5, FALSE)), ISERROR(VLOOKUP(C937, Resultados_Reales!$A$4:$I$107, 6, FALSE)), VLOOKUP(C937, Resultados_Reales!$A$4:$I$107, 5, FALSE)="", VLOOKUP(C937, Resultados_Reales!$A$4:$I$107, 6, FALSE)=""), 0, IF(AND(VLOOKUP(C937, Resultados_Reales!$A$4:$I$107, 5, FALSE)=G937, VLOOKUP(C937, Resultados_Reales!$A$4:$I$107, 6, FALSE)=H937), Configuracion!$B$5, IF(SIGN(VLOOKUP(C937, Resultados_Reales!$A$4:$I$107, 5, FALSE)-VLOOKUP(C937, Resultados_Reales!$A$4:$I$107, 6, FALSE)) = SIGN(G937-H937), Configuracion!$B$4, 0)))</f>
        <v/>
      </c>
      <c r="L937" s="11" t="n"/>
      <c r="M937" s="11" t="n"/>
      <c r="N937" s="11" t="n"/>
      <c r="O937" s="11" t="n"/>
      <c r="P937" s="11" t="n"/>
      <c r="Q937" s="11" t="n"/>
    </row>
    <row r="938">
      <c r="A938" s="8">
        <f>B938&amp;"_"&amp;C938</f>
        <v/>
      </c>
      <c r="B938" s="8" t="n"/>
      <c r="C938" s="8" t="n"/>
      <c r="D938" s="8" t="n"/>
      <c r="E938" s="11" t="n"/>
      <c r="F938" s="11" t="n"/>
      <c r="G938" s="8" t="n"/>
      <c r="H938" s="8" t="n"/>
      <c r="I938" s="8" t="n"/>
      <c r="J938" s="8" t="n"/>
      <c r="K938" s="12">
        <f>IF(OR(ISERROR(VLOOKUP(C938, Resultados_Reales!$A$4:$I$107, 5, FALSE)), ISERROR(VLOOKUP(C938, Resultados_Reales!$A$4:$I$107, 6, FALSE)), VLOOKUP(C938, Resultados_Reales!$A$4:$I$107, 5, FALSE)="", VLOOKUP(C938, Resultados_Reales!$A$4:$I$107, 6, FALSE)=""), 0, IF(AND(VLOOKUP(C938, Resultados_Reales!$A$4:$I$107, 5, FALSE)=G938, VLOOKUP(C938, Resultados_Reales!$A$4:$I$107, 6, FALSE)=H938), Configuracion!$B$5, IF(SIGN(VLOOKUP(C938, Resultados_Reales!$A$4:$I$107, 5, FALSE)-VLOOKUP(C938, Resultados_Reales!$A$4:$I$107, 6, FALSE)) = SIGN(G938-H938), Configuracion!$B$4, 0)))</f>
        <v/>
      </c>
      <c r="L938" s="11" t="n"/>
      <c r="M938" s="11" t="n"/>
      <c r="N938" s="11" t="n"/>
      <c r="O938" s="11" t="n"/>
      <c r="P938" s="11" t="n"/>
      <c r="Q938" s="11" t="n"/>
    </row>
    <row r="939">
      <c r="A939" s="8">
        <f>B939&amp;"_"&amp;C939</f>
        <v/>
      </c>
      <c r="B939" s="8" t="n"/>
      <c r="C939" s="8" t="n"/>
      <c r="D939" s="8" t="n"/>
      <c r="E939" s="11" t="n"/>
      <c r="F939" s="11" t="n"/>
      <c r="G939" s="8" t="n"/>
      <c r="H939" s="8" t="n"/>
      <c r="I939" s="8" t="n"/>
      <c r="J939" s="8" t="n"/>
      <c r="K939" s="12">
        <f>IF(OR(ISERROR(VLOOKUP(C939, Resultados_Reales!$A$4:$I$107, 5, FALSE)), ISERROR(VLOOKUP(C939, Resultados_Reales!$A$4:$I$107, 6, FALSE)), VLOOKUP(C939, Resultados_Reales!$A$4:$I$107, 5, FALSE)="", VLOOKUP(C939, Resultados_Reales!$A$4:$I$107, 6, FALSE)=""), 0, IF(AND(VLOOKUP(C939, Resultados_Reales!$A$4:$I$107, 5, FALSE)=G939, VLOOKUP(C939, Resultados_Reales!$A$4:$I$107, 6, FALSE)=H939), Configuracion!$B$5, IF(SIGN(VLOOKUP(C939, Resultados_Reales!$A$4:$I$107, 5, FALSE)-VLOOKUP(C939, Resultados_Reales!$A$4:$I$107, 6, FALSE)) = SIGN(G939-H939), Configuracion!$B$4, 0)))</f>
        <v/>
      </c>
      <c r="L939" s="11" t="n"/>
      <c r="M939" s="11" t="n"/>
      <c r="N939" s="11" t="n"/>
      <c r="O939" s="11" t="n"/>
      <c r="P939" s="11" t="n"/>
      <c r="Q939" s="11" t="n"/>
    </row>
    <row r="940">
      <c r="A940" s="8">
        <f>B940&amp;"_"&amp;C940</f>
        <v/>
      </c>
      <c r="B940" s="8" t="n"/>
      <c r="C940" s="8" t="n"/>
      <c r="D940" s="8" t="n"/>
      <c r="E940" s="11" t="n"/>
      <c r="F940" s="11" t="n"/>
      <c r="G940" s="8" t="n"/>
      <c r="H940" s="8" t="n"/>
      <c r="I940" s="8" t="n"/>
      <c r="J940" s="8" t="n"/>
      <c r="K940" s="12">
        <f>IF(OR(ISERROR(VLOOKUP(C940, Resultados_Reales!$A$4:$I$107, 5, FALSE)), ISERROR(VLOOKUP(C940, Resultados_Reales!$A$4:$I$107, 6, FALSE)), VLOOKUP(C940, Resultados_Reales!$A$4:$I$107, 5, FALSE)="", VLOOKUP(C940, Resultados_Reales!$A$4:$I$107, 6, FALSE)=""), 0, IF(AND(VLOOKUP(C940, Resultados_Reales!$A$4:$I$107, 5, FALSE)=G940, VLOOKUP(C940, Resultados_Reales!$A$4:$I$107, 6, FALSE)=H940), Configuracion!$B$5, IF(SIGN(VLOOKUP(C940, Resultados_Reales!$A$4:$I$107, 5, FALSE)-VLOOKUP(C940, Resultados_Reales!$A$4:$I$107, 6, FALSE)) = SIGN(G940-H940), Configuracion!$B$4, 0)))</f>
        <v/>
      </c>
      <c r="L940" s="11" t="n"/>
      <c r="M940" s="11" t="n"/>
      <c r="N940" s="11" t="n"/>
      <c r="O940" s="11" t="n"/>
      <c r="P940" s="11" t="n"/>
      <c r="Q940" s="11" t="n"/>
    </row>
    <row r="941">
      <c r="A941" s="8">
        <f>B941&amp;"_"&amp;C941</f>
        <v/>
      </c>
      <c r="B941" s="8" t="n"/>
      <c r="C941" s="8" t="n"/>
      <c r="D941" s="8" t="n"/>
      <c r="E941" s="11" t="n"/>
      <c r="F941" s="11" t="n"/>
      <c r="G941" s="8" t="n"/>
      <c r="H941" s="8" t="n"/>
      <c r="I941" s="8" t="n"/>
      <c r="J941" s="8" t="n"/>
      <c r="K941" s="12">
        <f>IF(OR(ISERROR(VLOOKUP(C941, Resultados_Reales!$A$4:$I$107, 5, FALSE)), ISERROR(VLOOKUP(C941, Resultados_Reales!$A$4:$I$107, 6, FALSE)), VLOOKUP(C941, Resultados_Reales!$A$4:$I$107, 5, FALSE)="", VLOOKUP(C941, Resultados_Reales!$A$4:$I$107, 6, FALSE)=""), 0, IF(AND(VLOOKUP(C941, Resultados_Reales!$A$4:$I$107, 5, FALSE)=G941, VLOOKUP(C941, Resultados_Reales!$A$4:$I$107, 6, FALSE)=H941), Configuracion!$B$5, IF(SIGN(VLOOKUP(C941, Resultados_Reales!$A$4:$I$107, 5, FALSE)-VLOOKUP(C941, Resultados_Reales!$A$4:$I$107, 6, FALSE)) = SIGN(G941-H941), Configuracion!$B$4, 0)))</f>
        <v/>
      </c>
      <c r="L941" s="11" t="n"/>
      <c r="M941" s="11" t="n"/>
      <c r="N941" s="11" t="n"/>
      <c r="O941" s="11" t="n"/>
      <c r="P941" s="11" t="n"/>
      <c r="Q941" s="11" t="n"/>
    </row>
    <row r="942">
      <c r="A942" s="8">
        <f>B942&amp;"_"&amp;C942</f>
        <v/>
      </c>
      <c r="B942" s="8" t="n"/>
      <c r="C942" s="8" t="n"/>
      <c r="D942" s="8" t="n"/>
      <c r="E942" s="11" t="n"/>
      <c r="F942" s="11" t="n"/>
      <c r="G942" s="8" t="n"/>
      <c r="H942" s="8" t="n"/>
      <c r="I942" s="8" t="n"/>
      <c r="J942" s="8" t="n"/>
      <c r="K942" s="12">
        <f>IF(OR(ISERROR(VLOOKUP(C942, Resultados_Reales!$A$4:$I$107, 5, FALSE)), ISERROR(VLOOKUP(C942, Resultados_Reales!$A$4:$I$107, 6, FALSE)), VLOOKUP(C942, Resultados_Reales!$A$4:$I$107, 5, FALSE)="", VLOOKUP(C942, Resultados_Reales!$A$4:$I$107, 6, FALSE)=""), 0, IF(AND(VLOOKUP(C942, Resultados_Reales!$A$4:$I$107, 5, FALSE)=G942, VLOOKUP(C942, Resultados_Reales!$A$4:$I$107, 6, FALSE)=H942), Configuracion!$B$5, IF(SIGN(VLOOKUP(C942, Resultados_Reales!$A$4:$I$107, 5, FALSE)-VLOOKUP(C942, Resultados_Reales!$A$4:$I$107, 6, FALSE)) = SIGN(G942-H942), Configuracion!$B$4, 0)))</f>
        <v/>
      </c>
      <c r="L942" s="11" t="n"/>
      <c r="M942" s="11" t="n"/>
      <c r="N942" s="11" t="n"/>
      <c r="O942" s="11" t="n"/>
      <c r="P942" s="11" t="n"/>
      <c r="Q942" s="11" t="n"/>
    </row>
    <row r="943">
      <c r="A943" s="8">
        <f>B943&amp;"_"&amp;C943</f>
        <v/>
      </c>
      <c r="B943" s="8" t="n"/>
      <c r="C943" s="8" t="n"/>
      <c r="D943" s="8" t="n"/>
      <c r="E943" s="11" t="n"/>
      <c r="F943" s="11" t="n"/>
      <c r="G943" s="8" t="n"/>
      <c r="H943" s="8" t="n"/>
      <c r="I943" s="8" t="n"/>
      <c r="J943" s="8" t="n"/>
      <c r="K943" s="12">
        <f>IF(OR(ISERROR(VLOOKUP(C943, Resultados_Reales!$A$4:$I$107, 5, FALSE)), ISERROR(VLOOKUP(C943, Resultados_Reales!$A$4:$I$107, 6, FALSE)), VLOOKUP(C943, Resultados_Reales!$A$4:$I$107, 5, FALSE)="", VLOOKUP(C943, Resultados_Reales!$A$4:$I$107, 6, FALSE)=""), 0, IF(AND(VLOOKUP(C943, Resultados_Reales!$A$4:$I$107, 5, FALSE)=G943, VLOOKUP(C943, Resultados_Reales!$A$4:$I$107, 6, FALSE)=H943), Configuracion!$B$5, IF(SIGN(VLOOKUP(C943, Resultados_Reales!$A$4:$I$107, 5, FALSE)-VLOOKUP(C943, Resultados_Reales!$A$4:$I$107, 6, FALSE)) = SIGN(G943-H943), Configuracion!$B$4, 0)))</f>
        <v/>
      </c>
      <c r="L943" s="11" t="n"/>
      <c r="M943" s="11" t="n"/>
      <c r="N943" s="11" t="n"/>
      <c r="O943" s="11" t="n"/>
      <c r="P943" s="11" t="n"/>
      <c r="Q943" s="11" t="n"/>
    </row>
    <row r="944">
      <c r="A944" s="8">
        <f>B944&amp;"_"&amp;C944</f>
        <v/>
      </c>
      <c r="B944" s="8" t="n"/>
      <c r="C944" s="8" t="n"/>
      <c r="D944" s="8" t="n"/>
      <c r="E944" s="11" t="n"/>
      <c r="F944" s="11" t="n"/>
      <c r="G944" s="8" t="n"/>
      <c r="H944" s="8" t="n"/>
      <c r="I944" s="8" t="n"/>
      <c r="J944" s="8" t="n"/>
      <c r="K944" s="12">
        <f>IF(OR(ISERROR(VLOOKUP(C944, Resultados_Reales!$A$4:$I$107, 5, FALSE)), ISERROR(VLOOKUP(C944, Resultados_Reales!$A$4:$I$107, 6, FALSE)), VLOOKUP(C944, Resultados_Reales!$A$4:$I$107, 5, FALSE)="", VLOOKUP(C944, Resultados_Reales!$A$4:$I$107, 6, FALSE)=""), 0, IF(AND(VLOOKUP(C944, Resultados_Reales!$A$4:$I$107, 5, FALSE)=G944, VLOOKUP(C944, Resultados_Reales!$A$4:$I$107, 6, FALSE)=H944), Configuracion!$B$5, IF(SIGN(VLOOKUP(C944, Resultados_Reales!$A$4:$I$107, 5, FALSE)-VLOOKUP(C944, Resultados_Reales!$A$4:$I$107, 6, FALSE)) = SIGN(G944-H944), Configuracion!$B$4, 0)))</f>
        <v/>
      </c>
      <c r="L944" s="11" t="n"/>
      <c r="M944" s="11" t="n"/>
      <c r="N944" s="11" t="n"/>
      <c r="O944" s="11" t="n"/>
      <c r="P944" s="11" t="n"/>
      <c r="Q944" s="11" t="n"/>
    </row>
    <row r="945">
      <c r="A945" s="8">
        <f>B945&amp;"_"&amp;C945</f>
        <v/>
      </c>
      <c r="B945" s="8" t="n"/>
      <c r="C945" s="8" t="n"/>
      <c r="D945" s="8" t="n"/>
      <c r="E945" s="11" t="n"/>
      <c r="F945" s="11" t="n"/>
      <c r="G945" s="8" t="n"/>
      <c r="H945" s="8" t="n"/>
      <c r="I945" s="8" t="n"/>
      <c r="J945" s="8" t="n"/>
      <c r="K945" s="12">
        <f>IF(OR(ISERROR(VLOOKUP(C945, Resultados_Reales!$A$4:$I$107, 5, FALSE)), ISERROR(VLOOKUP(C945, Resultados_Reales!$A$4:$I$107, 6, FALSE)), VLOOKUP(C945, Resultados_Reales!$A$4:$I$107, 5, FALSE)="", VLOOKUP(C945, Resultados_Reales!$A$4:$I$107, 6, FALSE)=""), 0, IF(AND(VLOOKUP(C945, Resultados_Reales!$A$4:$I$107, 5, FALSE)=G945, VLOOKUP(C945, Resultados_Reales!$A$4:$I$107, 6, FALSE)=H945), Configuracion!$B$5, IF(SIGN(VLOOKUP(C945, Resultados_Reales!$A$4:$I$107, 5, FALSE)-VLOOKUP(C945, Resultados_Reales!$A$4:$I$107, 6, FALSE)) = SIGN(G945-H945), Configuracion!$B$4, 0)))</f>
        <v/>
      </c>
      <c r="L945" s="11" t="n"/>
      <c r="M945" s="11" t="n"/>
      <c r="N945" s="11" t="n"/>
      <c r="O945" s="11" t="n"/>
      <c r="P945" s="11" t="n"/>
      <c r="Q945" s="11" t="n"/>
    </row>
    <row r="946">
      <c r="A946" s="8">
        <f>B946&amp;"_"&amp;C946</f>
        <v/>
      </c>
      <c r="B946" s="8" t="n"/>
      <c r="C946" s="8" t="n"/>
      <c r="D946" s="8" t="n"/>
      <c r="E946" s="11" t="n"/>
      <c r="F946" s="11" t="n"/>
      <c r="G946" s="8" t="n"/>
      <c r="H946" s="8" t="n"/>
      <c r="I946" s="8" t="n"/>
      <c r="J946" s="8" t="n"/>
      <c r="K946" s="12">
        <f>IF(OR(ISERROR(VLOOKUP(C946, Resultados_Reales!$A$4:$I$107, 5, FALSE)), ISERROR(VLOOKUP(C946, Resultados_Reales!$A$4:$I$107, 6, FALSE)), VLOOKUP(C946, Resultados_Reales!$A$4:$I$107, 5, FALSE)="", VLOOKUP(C946, Resultados_Reales!$A$4:$I$107, 6, FALSE)=""), 0, IF(AND(VLOOKUP(C946, Resultados_Reales!$A$4:$I$107, 5, FALSE)=G946, VLOOKUP(C946, Resultados_Reales!$A$4:$I$107, 6, FALSE)=H946), Configuracion!$B$5, IF(SIGN(VLOOKUP(C946, Resultados_Reales!$A$4:$I$107, 5, FALSE)-VLOOKUP(C946, Resultados_Reales!$A$4:$I$107, 6, FALSE)) = SIGN(G946-H946), Configuracion!$B$4, 0)))</f>
        <v/>
      </c>
      <c r="L946" s="11" t="n"/>
      <c r="M946" s="11" t="n"/>
      <c r="N946" s="11" t="n"/>
      <c r="O946" s="11" t="n"/>
      <c r="P946" s="11" t="n"/>
      <c r="Q946" s="11" t="n"/>
    </row>
    <row r="947">
      <c r="A947" s="8">
        <f>B947&amp;"_"&amp;C947</f>
        <v/>
      </c>
      <c r="B947" s="8" t="n"/>
      <c r="C947" s="8" t="n"/>
      <c r="D947" s="8" t="n"/>
      <c r="E947" s="11" t="n"/>
      <c r="F947" s="11" t="n"/>
      <c r="G947" s="8" t="n"/>
      <c r="H947" s="8" t="n"/>
      <c r="I947" s="8" t="n"/>
      <c r="J947" s="8" t="n"/>
      <c r="K947" s="12">
        <f>IF(OR(ISERROR(VLOOKUP(C947, Resultados_Reales!$A$4:$I$107, 5, FALSE)), ISERROR(VLOOKUP(C947, Resultados_Reales!$A$4:$I$107, 6, FALSE)), VLOOKUP(C947, Resultados_Reales!$A$4:$I$107, 5, FALSE)="", VLOOKUP(C947, Resultados_Reales!$A$4:$I$107, 6, FALSE)=""), 0, IF(AND(VLOOKUP(C947, Resultados_Reales!$A$4:$I$107, 5, FALSE)=G947, VLOOKUP(C947, Resultados_Reales!$A$4:$I$107, 6, FALSE)=H947), Configuracion!$B$5, IF(SIGN(VLOOKUP(C947, Resultados_Reales!$A$4:$I$107, 5, FALSE)-VLOOKUP(C947, Resultados_Reales!$A$4:$I$107, 6, FALSE)) = SIGN(G947-H947), Configuracion!$B$4, 0)))</f>
        <v/>
      </c>
      <c r="L947" s="11" t="n"/>
      <c r="M947" s="11" t="n"/>
      <c r="N947" s="11" t="n"/>
      <c r="O947" s="11" t="n"/>
      <c r="P947" s="11" t="n"/>
      <c r="Q947" s="11" t="n"/>
    </row>
    <row r="948">
      <c r="A948" s="8">
        <f>B948&amp;"_"&amp;C948</f>
        <v/>
      </c>
      <c r="B948" s="8" t="n"/>
      <c r="C948" s="8" t="n"/>
      <c r="D948" s="8" t="n"/>
      <c r="E948" s="11" t="n"/>
      <c r="F948" s="11" t="n"/>
      <c r="G948" s="8" t="n"/>
      <c r="H948" s="8" t="n"/>
      <c r="I948" s="8" t="n"/>
      <c r="J948" s="8" t="n"/>
      <c r="K948" s="12">
        <f>IF(OR(ISERROR(VLOOKUP(C948, Resultados_Reales!$A$4:$I$107, 5, FALSE)), ISERROR(VLOOKUP(C948, Resultados_Reales!$A$4:$I$107, 6, FALSE)), VLOOKUP(C948, Resultados_Reales!$A$4:$I$107, 5, FALSE)="", VLOOKUP(C948, Resultados_Reales!$A$4:$I$107, 6, FALSE)=""), 0, IF(AND(VLOOKUP(C948, Resultados_Reales!$A$4:$I$107, 5, FALSE)=G948, VLOOKUP(C948, Resultados_Reales!$A$4:$I$107, 6, FALSE)=H948), Configuracion!$B$5, IF(SIGN(VLOOKUP(C948, Resultados_Reales!$A$4:$I$107, 5, FALSE)-VLOOKUP(C948, Resultados_Reales!$A$4:$I$107, 6, FALSE)) = SIGN(G948-H948), Configuracion!$B$4, 0)))</f>
        <v/>
      </c>
      <c r="L948" s="11" t="n"/>
      <c r="M948" s="11" t="n"/>
      <c r="N948" s="11" t="n"/>
      <c r="O948" s="11" t="n"/>
      <c r="P948" s="11" t="n"/>
      <c r="Q948" s="11" t="n"/>
    </row>
    <row r="949">
      <c r="A949" s="8">
        <f>B949&amp;"_"&amp;C949</f>
        <v/>
      </c>
      <c r="B949" s="8" t="n"/>
      <c r="C949" s="8" t="n"/>
      <c r="D949" s="8" t="n"/>
      <c r="E949" s="11" t="n"/>
      <c r="F949" s="11" t="n"/>
      <c r="G949" s="8" t="n"/>
      <c r="H949" s="8" t="n"/>
      <c r="I949" s="8" t="n"/>
      <c r="J949" s="8" t="n"/>
      <c r="K949" s="12">
        <f>IF(OR(ISERROR(VLOOKUP(C949, Resultados_Reales!$A$4:$I$107, 5, FALSE)), ISERROR(VLOOKUP(C949, Resultados_Reales!$A$4:$I$107, 6, FALSE)), VLOOKUP(C949, Resultados_Reales!$A$4:$I$107, 5, FALSE)="", VLOOKUP(C949, Resultados_Reales!$A$4:$I$107, 6, FALSE)=""), 0, IF(AND(VLOOKUP(C949, Resultados_Reales!$A$4:$I$107, 5, FALSE)=G949, VLOOKUP(C949, Resultados_Reales!$A$4:$I$107, 6, FALSE)=H949), Configuracion!$B$5, IF(SIGN(VLOOKUP(C949, Resultados_Reales!$A$4:$I$107, 5, FALSE)-VLOOKUP(C949, Resultados_Reales!$A$4:$I$107, 6, FALSE)) = SIGN(G949-H949), Configuracion!$B$4, 0)))</f>
        <v/>
      </c>
      <c r="L949" s="11" t="n"/>
      <c r="M949" s="11" t="n"/>
      <c r="N949" s="11" t="n"/>
      <c r="O949" s="11" t="n"/>
      <c r="P949" s="11" t="n"/>
      <c r="Q949" s="11" t="n"/>
    </row>
    <row r="950">
      <c r="A950" s="8">
        <f>B950&amp;"_"&amp;C950</f>
        <v/>
      </c>
      <c r="B950" s="8" t="n"/>
      <c r="C950" s="8" t="n"/>
      <c r="D950" s="8" t="n"/>
      <c r="E950" s="11" t="n"/>
      <c r="F950" s="11" t="n"/>
      <c r="G950" s="8" t="n"/>
      <c r="H950" s="8" t="n"/>
      <c r="I950" s="8" t="n"/>
      <c r="J950" s="8" t="n"/>
      <c r="K950" s="12">
        <f>IF(OR(ISERROR(VLOOKUP(C950, Resultados_Reales!$A$4:$I$107, 5, FALSE)), ISERROR(VLOOKUP(C950, Resultados_Reales!$A$4:$I$107, 6, FALSE)), VLOOKUP(C950, Resultados_Reales!$A$4:$I$107, 5, FALSE)="", VLOOKUP(C950, Resultados_Reales!$A$4:$I$107, 6, FALSE)=""), 0, IF(AND(VLOOKUP(C950, Resultados_Reales!$A$4:$I$107, 5, FALSE)=G950, VLOOKUP(C950, Resultados_Reales!$A$4:$I$107, 6, FALSE)=H950), Configuracion!$B$5, IF(SIGN(VLOOKUP(C950, Resultados_Reales!$A$4:$I$107, 5, FALSE)-VLOOKUP(C950, Resultados_Reales!$A$4:$I$107, 6, FALSE)) = SIGN(G950-H950), Configuracion!$B$4, 0)))</f>
        <v/>
      </c>
      <c r="L950" s="11" t="n"/>
      <c r="M950" s="11" t="n"/>
      <c r="N950" s="11" t="n"/>
      <c r="O950" s="11" t="n"/>
      <c r="P950" s="11" t="n"/>
      <c r="Q950" s="11" t="n"/>
    </row>
    <row r="951">
      <c r="A951" s="8">
        <f>B951&amp;"_"&amp;C951</f>
        <v/>
      </c>
      <c r="B951" s="8" t="n"/>
      <c r="C951" s="8" t="n"/>
      <c r="D951" s="8" t="n"/>
      <c r="E951" s="11" t="n"/>
      <c r="F951" s="11" t="n"/>
      <c r="G951" s="8" t="n"/>
      <c r="H951" s="8" t="n"/>
      <c r="I951" s="8" t="n"/>
      <c r="J951" s="8" t="n"/>
      <c r="K951" s="12">
        <f>IF(OR(ISERROR(VLOOKUP(C951, Resultados_Reales!$A$4:$I$107, 5, FALSE)), ISERROR(VLOOKUP(C951, Resultados_Reales!$A$4:$I$107, 6, FALSE)), VLOOKUP(C951, Resultados_Reales!$A$4:$I$107, 5, FALSE)="", VLOOKUP(C951, Resultados_Reales!$A$4:$I$107, 6, FALSE)=""), 0, IF(AND(VLOOKUP(C951, Resultados_Reales!$A$4:$I$107, 5, FALSE)=G951, VLOOKUP(C951, Resultados_Reales!$A$4:$I$107, 6, FALSE)=H951), Configuracion!$B$5, IF(SIGN(VLOOKUP(C951, Resultados_Reales!$A$4:$I$107, 5, FALSE)-VLOOKUP(C951, Resultados_Reales!$A$4:$I$107, 6, FALSE)) = SIGN(G951-H951), Configuracion!$B$4, 0)))</f>
        <v/>
      </c>
      <c r="L951" s="11" t="n"/>
      <c r="M951" s="11" t="n"/>
      <c r="N951" s="11" t="n"/>
      <c r="O951" s="11" t="n"/>
      <c r="P951" s="11" t="n"/>
      <c r="Q951" s="11" t="n"/>
    </row>
    <row r="952">
      <c r="A952" s="8">
        <f>B952&amp;"_"&amp;C952</f>
        <v/>
      </c>
      <c r="B952" s="8" t="n"/>
      <c r="C952" s="8" t="n"/>
      <c r="D952" s="8" t="n"/>
      <c r="E952" s="11" t="n"/>
      <c r="F952" s="11" t="n"/>
      <c r="G952" s="8" t="n"/>
      <c r="H952" s="8" t="n"/>
      <c r="I952" s="8" t="n"/>
      <c r="J952" s="8" t="n"/>
      <c r="K952" s="12">
        <f>IF(OR(ISERROR(VLOOKUP(C952, Resultados_Reales!$A$4:$I$107, 5, FALSE)), ISERROR(VLOOKUP(C952, Resultados_Reales!$A$4:$I$107, 6, FALSE)), VLOOKUP(C952, Resultados_Reales!$A$4:$I$107, 5, FALSE)="", VLOOKUP(C952, Resultados_Reales!$A$4:$I$107, 6, FALSE)=""), 0, IF(AND(VLOOKUP(C952, Resultados_Reales!$A$4:$I$107, 5, FALSE)=G952, VLOOKUP(C952, Resultados_Reales!$A$4:$I$107, 6, FALSE)=H952), Configuracion!$B$5, IF(SIGN(VLOOKUP(C952, Resultados_Reales!$A$4:$I$107, 5, FALSE)-VLOOKUP(C952, Resultados_Reales!$A$4:$I$107, 6, FALSE)) = SIGN(G952-H952), Configuracion!$B$4, 0)))</f>
        <v/>
      </c>
      <c r="L952" s="11" t="n"/>
      <c r="M952" s="11" t="n"/>
      <c r="N952" s="11" t="n"/>
      <c r="O952" s="11" t="n"/>
      <c r="P952" s="11" t="n"/>
      <c r="Q952" s="11" t="n"/>
    </row>
    <row r="953">
      <c r="A953" s="8">
        <f>B953&amp;"_"&amp;C953</f>
        <v/>
      </c>
      <c r="B953" s="8" t="n"/>
      <c r="C953" s="8" t="n"/>
      <c r="D953" s="8" t="n"/>
      <c r="E953" s="11" t="n"/>
      <c r="F953" s="11" t="n"/>
      <c r="G953" s="8" t="n"/>
      <c r="H953" s="8" t="n"/>
      <c r="I953" s="8" t="n"/>
      <c r="J953" s="8" t="n"/>
      <c r="K953" s="12">
        <f>IF(OR(ISERROR(VLOOKUP(C953, Resultados_Reales!$A$4:$I$107, 5, FALSE)), ISERROR(VLOOKUP(C953, Resultados_Reales!$A$4:$I$107, 6, FALSE)), VLOOKUP(C953, Resultados_Reales!$A$4:$I$107, 5, FALSE)="", VLOOKUP(C953, Resultados_Reales!$A$4:$I$107, 6, FALSE)=""), 0, IF(AND(VLOOKUP(C953, Resultados_Reales!$A$4:$I$107, 5, FALSE)=G953, VLOOKUP(C953, Resultados_Reales!$A$4:$I$107, 6, FALSE)=H953), Configuracion!$B$5, IF(SIGN(VLOOKUP(C953, Resultados_Reales!$A$4:$I$107, 5, FALSE)-VLOOKUP(C953, Resultados_Reales!$A$4:$I$107, 6, FALSE)) = SIGN(G953-H953), Configuracion!$B$4, 0)))</f>
        <v/>
      </c>
      <c r="L953" s="11" t="n"/>
      <c r="M953" s="11" t="n"/>
      <c r="N953" s="11" t="n"/>
      <c r="O953" s="11" t="n"/>
      <c r="P953" s="11" t="n"/>
      <c r="Q953" s="11" t="n"/>
    </row>
    <row r="954">
      <c r="A954" s="8">
        <f>B954&amp;"_"&amp;C954</f>
        <v/>
      </c>
      <c r="B954" s="8" t="n"/>
      <c r="C954" s="8" t="n"/>
      <c r="D954" s="8" t="n"/>
      <c r="E954" s="11" t="n"/>
      <c r="F954" s="11" t="n"/>
      <c r="G954" s="8" t="n"/>
      <c r="H954" s="8" t="n"/>
      <c r="I954" s="8" t="n"/>
      <c r="J954" s="8" t="n"/>
      <c r="K954" s="12">
        <f>IF(OR(ISERROR(VLOOKUP(C954, Resultados_Reales!$A$4:$I$107, 5, FALSE)), ISERROR(VLOOKUP(C954, Resultados_Reales!$A$4:$I$107, 6, FALSE)), VLOOKUP(C954, Resultados_Reales!$A$4:$I$107, 5, FALSE)="", VLOOKUP(C954, Resultados_Reales!$A$4:$I$107, 6, FALSE)=""), 0, IF(AND(VLOOKUP(C954, Resultados_Reales!$A$4:$I$107, 5, FALSE)=G954, VLOOKUP(C954, Resultados_Reales!$A$4:$I$107, 6, FALSE)=H954), Configuracion!$B$5, IF(SIGN(VLOOKUP(C954, Resultados_Reales!$A$4:$I$107, 5, FALSE)-VLOOKUP(C954, Resultados_Reales!$A$4:$I$107, 6, FALSE)) = SIGN(G954-H954), Configuracion!$B$4, 0)))</f>
        <v/>
      </c>
      <c r="L954" s="11" t="n"/>
      <c r="M954" s="11" t="n"/>
      <c r="N954" s="11" t="n"/>
      <c r="O954" s="11" t="n"/>
      <c r="P954" s="11" t="n"/>
      <c r="Q954" s="11" t="n"/>
    </row>
    <row r="955">
      <c r="A955" s="8">
        <f>B955&amp;"_"&amp;C955</f>
        <v/>
      </c>
      <c r="B955" s="8" t="n"/>
      <c r="C955" s="8" t="n"/>
      <c r="D955" s="8" t="n"/>
      <c r="E955" s="11" t="n"/>
      <c r="F955" s="11" t="n"/>
      <c r="G955" s="8" t="n"/>
      <c r="H955" s="8" t="n"/>
      <c r="I955" s="8" t="n"/>
      <c r="J955" s="8" t="n"/>
      <c r="K955" s="12">
        <f>IF(OR(ISERROR(VLOOKUP(C955, Resultados_Reales!$A$4:$I$107, 5, FALSE)), ISERROR(VLOOKUP(C955, Resultados_Reales!$A$4:$I$107, 6, FALSE)), VLOOKUP(C955, Resultados_Reales!$A$4:$I$107, 5, FALSE)="", VLOOKUP(C955, Resultados_Reales!$A$4:$I$107, 6, FALSE)=""), 0, IF(AND(VLOOKUP(C955, Resultados_Reales!$A$4:$I$107, 5, FALSE)=G955, VLOOKUP(C955, Resultados_Reales!$A$4:$I$107, 6, FALSE)=H955), Configuracion!$B$5, IF(SIGN(VLOOKUP(C955, Resultados_Reales!$A$4:$I$107, 5, FALSE)-VLOOKUP(C955, Resultados_Reales!$A$4:$I$107, 6, FALSE)) = SIGN(G955-H955), Configuracion!$B$4, 0)))</f>
        <v/>
      </c>
      <c r="L955" s="11" t="n"/>
      <c r="M955" s="11" t="n"/>
      <c r="N955" s="11" t="n"/>
      <c r="O955" s="11" t="n"/>
      <c r="P955" s="11" t="n"/>
      <c r="Q955" s="11" t="n"/>
    </row>
    <row r="956">
      <c r="A956" s="8">
        <f>B956&amp;"_"&amp;C956</f>
        <v/>
      </c>
      <c r="B956" s="8" t="n"/>
      <c r="C956" s="8" t="n"/>
      <c r="D956" s="8" t="n"/>
      <c r="E956" s="11" t="n"/>
      <c r="F956" s="11" t="n"/>
      <c r="G956" s="8" t="n"/>
      <c r="H956" s="8" t="n"/>
      <c r="I956" s="8" t="n"/>
      <c r="J956" s="8" t="n"/>
      <c r="K956" s="12">
        <f>IF(OR(ISERROR(VLOOKUP(C956, Resultados_Reales!$A$4:$I$107, 5, FALSE)), ISERROR(VLOOKUP(C956, Resultados_Reales!$A$4:$I$107, 6, FALSE)), VLOOKUP(C956, Resultados_Reales!$A$4:$I$107, 5, FALSE)="", VLOOKUP(C956, Resultados_Reales!$A$4:$I$107, 6, FALSE)=""), 0, IF(AND(VLOOKUP(C956, Resultados_Reales!$A$4:$I$107, 5, FALSE)=G956, VLOOKUP(C956, Resultados_Reales!$A$4:$I$107, 6, FALSE)=H956), Configuracion!$B$5, IF(SIGN(VLOOKUP(C956, Resultados_Reales!$A$4:$I$107, 5, FALSE)-VLOOKUP(C956, Resultados_Reales!$A$4:$I$107, 6, FALSE)) = SIGN(G956-H956), Configuracion!$B$4, 0)))</f>
        <v/>
      </c>
      <c r="L956" s="11" t="n"/>
      <c r="M956" s="11" t="n"/>
      <c r="N956" s="11" t="n"/>
      <c r="O956" s="11" t="n"/>
      <c r="P956" s="11" t="n"/>
      <c r="Q956" s="11" t="n"/>
    </row>
    <row r="957">
      <c r="A957" s="8">
        <f>B957&amp;"_"&amp;C957</f>
        <v/>
      </c>
      <c r="B957" s="8" t="n"/>
      <c r="C957" s="8" t="n"/>
      <c r="D957" s="8" t="n"/>
      <c r="E957" s="11" t="n"/>
      <c r="F957" s="11" t="n"/>
      <c r="G957" s="8" t="n"/>
      <c r="H957" s="8" t="n"/>
      <c r="I957" s="8" t="n"/>
      <c r="J957" s="8" t="n"/>
      <c r="K957" s="12">
        <f>IF(OR(ISERROR(VLOOKUP(C957, Resultados_Reales!$A$4:$I$107, 5, FALSE)), ISERROR(VLOOKUP(C957, Resultados_Reales!$A$4:$I$107, 6, FALSE)), VLOOKUP(C957, Resultados_Reales!$A$4:$I$107, 5, FALSE)="", VLOOKUP(C957, Resultados_Reales!$A$4:$I$107, 6, FALSE)=""), 0, IF(AND(VLOOKUP(C957, Resultados_Reales!$A$4:$I$107, 5, FALSE)=G957, VLOOKUP(C957, Resultados_Reales!$A$4:$I$107, 6, FALSE)=H957), Configuracion!$B$5, IF(SIGN(VLOOKUP(C957, Resultados_Reales!$A$4:$I$107, 5, FALSE)-VLOOKUP(C957, Resultados_Reales!$A$4:$I$107, 6, FALSE)) = SIGN(G957-H957), Configuracion!$B$4, 0)))</f>
        <v/>
      </c>
      <c r="L957" s="11" t="n"/>
      <c r="M957" s="11" t="n"/>
      <c r="N957" s="11" t="n"/>
      <c r="O957" s="11" t="n"/>
      <c r="P957" s="11" t="n"/>
      <c r="Q957" s="11" t="n"/>
    </row>
    <row r="958">
      <c r="A958" s="8">
        <f>B958&amp;"_"&amp;C958</f>
        <v/>
      </c>
      <c r="B958" s="8" t="n"/>
      <c r="C958" s="8" t="n"/>
      <c r="D958" s="8" t="n"/>
      <c r="E958" s="11" t="n"/>
      <c r="F958" s="11" t="n"/>
      <c r="G958" s="8" t="n"/>
      <c r="H958" s="8" t="n"/>
      <c r="I958" s="8" t="n"/>
      <c r="J958" s="8" t="n"/>
      <c r="K958" s="12">
        <f>IF(OR(ISERROR(VLOOKUP(C958, Resultados_Reales!$A$4:$I$107, 5, FALSE)), ISERROR(VLOOKUP(C958, Resultados_Reales!$A$4:$I$107, 6, FALSE)), VLOOKUP(C958, Resultados_Reales!$A$4:$I$107, 5, FALSE)="", VLOOKUP(C958, Resultados_Reales!$A$4:$I$107, 6, FALSE)=""), 0, IF(AND(VLOOKUP(C958, Resultados_Reales!$A$4:$I$107, 5, FALSE)=G958, VLOOKUP(C958, Resultados_Reales!$A$4:$I$107, 6, FALSE)=H958), Configuracion!$B$5, IF(SIGN(VLOOKUP(C958, Resultados_Reales!$A$4:$I$107, 5, FALSE)-VLOOKUP(C958, Resultados_Reales!$A$4:$I$107, 6, FALSE)) = SIGN(G958-H958), Configuracion!$B$4, 0)))</f>
        <v/>
      </c>
      <c r="L958" s="11" t="n"/>
      <c r="M958" s="11" t="n"/>
      <c r="N958" s="11" t="n"/>
      <c r="O958" s="11" t="n"/>
      <c r="P958" s="11" t="n"/>
      <c r="Q958" s="11" t="n"/>
    </row>
    <row r="959">
      <c r="A959" s="8">
        <f>B959&amp;"_"&amp;C959</f>
        <v/>
      </c>
      <c r="B959" s="8" t="n"/>
      <c r="C959" s="8" t="n"/>
      <c r="D959" s="8" t="n"/>
      <c r="E959" s="11" t="n"/>
      <c r="F959" s="11" t="n"/>
      <c r="G959" s="8" t="n"/>
      <c r="H959" s="8" t="n"/>
      <c r="I959" s="8" t="n"/>
      <c r="J959" s="8" t="n"/>
      <c r="K959" s="12">
        <f>IF(OR(ISERROR(VLOOKUP(C959, Resultados_Reales!$A$4:$I$107, 5, FALSE)), ISERROR(VLOOKUP(C959, Resultados_Reales!$A$4:$I$107, 6, FALSE)), VLOOKUP(C959, Resultados_Reales!$A$4:$I$107, 5, FALSE)="", VLOOKUP(C959, Resultados_Reales!$A$4:$I$107, 6, FALSE)=""), 0, IF(AND(VLOOKUP(C959, Resultados_Reales!$A$4:$I$107, 5, FALSE)=G959, VLOOKUP(C959, Resultados_Reales!$A$4:$I$107, 6, FALSE)=H959), Configuracion!$B$5, IF(SIGN(VLOOKUP(C959, Resultados_Reales!$A$4:$I$107, 5, FALSE)-VLOOKUP(C959, Resultados_Reales!$A$4:$I$107, 6, FALSE)) = SIGN(G959-H959), Configuracion!$B$4, 0)))</f>
        <v/>
      </c>
      <c r="L959" s="11" t="n"/>
      <c r="M959" s="11" t="n"/>
      <c r="N959" s="11" t="n"/>
      <c r="O959" s="11" t="n"/>
      <c r="P959" s="11" t="n"/>
      <c r="Q959" s="11" t="n"/>
    </row>
    <row r="960">
      <c r="A960" s="8">
        <f>B960&amp;"_"&amp;C960</f>
        <v/>
      </c>
      <c r="B960" s="8" t="n"/>
      <c r="C960" s="8" t="n"/>
      <c r="D960" s="8" t="n"/>
      <c r="E960" s="11" t="n"/>
      <c r="F960" s="11" t="n"/>
      <c r="G960" s="8" t="n"/>
      <c r="H960" s="8" t="n"/>
      <c r="I960" s="8" t="n"/>
      <c r="J960" s="8" t="n"/>
      <c r="K960" s="12">
        <f>IF(OR(ISERROR(VLOOKUP(C960, Resultados_Reales!$A$4:$I$107, 5, FALSE)), ISERROR(VLOOKUP(C960, Resultados_Reales!$A$4:$I$107, 6, FALSE)), VLOOKUP(C960, Resultados_Reales!$A$4:$I$107, 5, FALSE)="", VLOOKUP(C960, Resultados_Reales!$A$4:$I$107, 6, FALSE)=""), 0, IF(AND(VLOOKUP(C960, Resultados_Reales!$A$4:$I$107, 5, FALSE)=G960, VLOOKUP(C960, Resultados_Reales!$A$4:$I$107, 6, FALSE)=H960), Configuracion!$B$5, IF(SIGN(VLOOKUP(C960, Resultados_Reales!$A$4:$I$107, 5, FALSE)-VLOOKUP(C960, Resultados_Reales!$A$4:$I$107, 6, FALSE)) = SIGN(G960-H960), Configuracion!$B$4, 0)))</f>
        <v/>
      </c>
      <c r="L960" s="11" t="n"/>
      <c r="M960" s="11" t="n"/>
      <c r="N960" s="11" t="n"/>
      <c r="O960" s="11" t="n"/>
      <c r="P960" s="11" t="n"/>
      <c r="Q960" s="11" t="n"/>
    </row>
    <row r="961">
      <c r="A961" s="8">
        <f>B961&amp;"_"&amp;C961</f>
        <v/>
      </c>
      <c r="B961" s="8" t="n"/>
      <c r="C961" s="8" t="n"/>
      <c r="D961" s="8" t="n"/>
      <c r="E961" s="11" t="n"/>
      <c r="F961" s="11" t="n"/>
      <c r="G961" s="8" t="n"/>
      <c r="H961" s="8" t="n"/>
      <c r="I961" s="8" t="n"/>
      <c r="J961" s="8" t="n"/>
      <c r="K961" s="12">
        <f>IF(OR(ISERROR(VLOOKUP(C961, Resultados_Reales!$A$4:$I$107, 5, FALSE)), ISERROR(VLOOKUP(C961, Resultados_Reales!$A$4:$I$107, 6, FALSE)), VLOOKUP(C961, Resultados_Reales!$A$4:$I$107, 5, FALSE)="", VLOOKUP(C961, Resultados_Reales!$A$4:$I$107, 6, FALSE)=""), 0, IF(AND(VLOOKUP(C961, Resultados_Reales!$A$4:$I$107, 5, FALSE)=G961, VLOOKUP(C961, Resultados_Reales!$A$4:$I$107, 6, FALSE)=H961), Configuracion!$B$5, IF(SIGN(VLOOKUP(C961, Resultados_Reales!$A$4:$I$107, 5, FALSE)-VLOOKUP(C961, Resultados_Reales!$A$4:$I$107, 6, FALSE)) = SIGN(G961-H961), Configuracion!$B$4, 0)))</f>
        <v/>
      </c>
      <c r="L961" s="11" t="n"/>
      <c r="M961" s="11" t="n"/>
      <c r="N961" s="11" t="n"/>
      <c r="O961" s="11" t="n"/>
      <c r="P961" s="11" t="n"/>
      <c r="Q961" s="11" t="n"/>
    </row>
    <row r="962">
      <c r="A962" s="8">
        <f>B962&amp;"_"&amp;C962</f>
        <v/>
      </c>
      <c r="B962" s="8" t="n"/>
      <c r="C962" s="8" t="n"/>
      <c r="D962" s="8" t="n"/>
      <c r="E962" s="11" t="n"/>
      <c r="F962" s="11" t="n"/>
      <c r="G962" s="8" t="n"/>
      <c r="H962" s="8" t="n"/>
      <c r="I962" s="8" t="n"/>
      <c r="J962" s="8" t="n"/>
      <c r="K962" s="12">
        <f>IF(OR(ISERROR(VLOOKUP(C962, Resultados_Reales!$A$4:$I$107, 5, FALSE)), ISERROR(VLOOKUP(C962, Resultados_Reales!$A$4:$I$107, 6, FALSE)), VLOOKUP(C962, Resultados_Reales!$A$4:$I$107, 5, FALSE)="", VLOOKUP(C962, Resultados_Reales!$A$4:$I$107, 6, FALSE)=""), 0, IF(AND(VLOOKUP(C962, Resultados_Reales!$A$4:$I$107, 5, FALSE)=G962, VLOOKUP(C962, Resultados_Reales!$A$4:$I$107, 6, FALSE)=H962), Configuracion!$B$5, IF(SIGN(VLOOKUP(C962, Resultados_Reales!$A$4:$I$107, 5, FALSE)-VLOOKUP(C962, Resultados_Reales!$A$4:$I$107, 6, FALSE)) = SIGN(G962-H962), Configuracion!$B$4, 0)))</f>
        <v/>
      </c>
      <c r="L962" s="11" t="n"/>
      <c r="M962" s="11" t="n"/>
      <c r="N962" s="11" t="n"/>
      <c r="O962" s="11" t="n"/>
      <c r="P962" s="11" t="n"/>
      <c r="Q962" s="11" t="n"/>
    </row>
    <row r="963">
      <c r="A963" s="8">
        <f>B963&amp;"_"&amp;C963</f>
        <v/>
      </c>
      <c r="B963" s="8" t="n"/>
      <c r="C963" s="8" t="n"/>
      <c r="D963" s="8" t="n"/>
      <c r="E963" s="11" t="n"/>
      <c r="F963" s="11" t="n"/>
      <c r="G963" s="8" t="n"/>
      <c r="H963" s="8" t="n"/>
      <c r="I963" s="8" t="n"/>
      <c r="J963" s="8" t="n"/>
      <c r="K963" s="12">
        <f>IF(OR(ISERROR(VLOOKUP(C963, Resultados_Reales!$A$4:$I$107, 5, FALSE)), ISERROR(VLOOKUP(C963, Resultados_Reales!$A$4:$I$107, 6, FALSE)), VLOOKUP(C963, Resultados_Reales!$A$4:$I$107, 5, FALSE)="", VLOOKUP(C963, Resultados_Reales!$A$4:$I$107, 6, FALSE)=""), 0, IF(AND(VLOOKUP(C963, Resultados_Reales!$A$4:$I$107, 5, FALSE)=G963, VLOOKUP(C963, Resultados_Reales!$A$4:$I$107, 6, FALSE)=H963), Configuracion!$B$5, IF(SIGN(VLOOKUP(C963, Resultados_Reales!$A$4:$I$107, 5, FALSE)-VLOOKUP(C963, Resultados_Reales!$A$4:$I$107, 6, FALSE)) = SIGN(G963-H963), Configuracion!$B$4, 0)))</f>
        <v/>
      </c>
      <c r="L963" s="11" t="n"/>
      <c r="M963" s="11" t="n"/>
      <c r="N963" s="11" t="n"/>
      <c r="O963" s="11" t="n"/>
      <c r="P963" s="11" t="n"/>
      <c r="Q963" s="11" t="n"/>
    </row>
    <row r="964">
      <c r="A964" s="8">
        <f>B964&amp;"_"&amp;C964</f>
        <v/>
      </c>
      <c r="B964" s="8" t="n"/>
      <c r="C964" s="8" t="n"/>
      <c r="D964" s="8" t="n"/>
      <c r="E964" s="11" t="n"/>
      <c r="F964" s="11" t="n"/>
      <c r="G964" s="8" t="n"/>
      <c r="H964" s="8" t="n"/>
      <c r="I964" s="8" t="n"/>
      <c r="J964" s="8" t="n"/>
      <c r="K964" s="12">
        <f>IF(OR(ISERROR(VLOOKUP(C964, Resultados_Reales!$A$4:$I$107, 5, FALSE)), ISERROR(VLOOKUP(C964, Resultados_Reales!$A$4:$I$107, 6, FALSE)), VLOOKUP(C964, Resultados_Reales!$A$4:$I$107, 5, FALSE)="", VLOOKUP(C964, Resultados_Reales!$A$4:$I$107, 6, FALSE)=""), 0, IF(AND(VLOOKUP(C964, Resultados_Reales!$A$4:$I$107, 5, FALSE)=G964, VLOOKUP(C964, Resultados_Reales!$A$4:$I$107, 6, FALSE)=H964), Configuracion!$B$5, IF(SIGN(VLOOKUP(C964, Resultados_Reales!$A$4:$I$107, 5, FALSE)-VLOOKUP(C964, Resultados_Reales!$A$4:$I$107, 6, FALSE)) = SIGN(G964-H964), Configuracion!$B$4, 0)))</f>
        <v/>
      </c>
      <c r="L964" s="11" t="n"/>
      <c r="M964" s="11" t="n"/>
      <c r="N964" s="11" t="n"/>
      <c r="O964" s="11" t="n"/>
      <c r="P964" s="11" t="n"/>
      <c r="Q964" s="11" t="n"/>
    </row>
    <row r="965">
      <c r="A965" s="8">
        <f>B965&amp;"_"&amp;C965</f>
        <v/>
      </c>
      <c r="B965" s="8" t="n"/>
      <c r="C965" s="8" t="n"/>
      <c r="D965" s="8" t="n"/>
      <c r="E965" s="11" t="n"/>
      <c r="F965" s="11" t="n"/>
      <c r="G965" s="8" t="n"/>
      <c r="H965" s="8" t="n"/>
      <c r="I965" s="8" t="n"/>
      <c r="J965" s="8" t="n"/>
      <c r="K965" s="12">
        <f>IF(OR(ISERROR(VLOOKUP(C965, Resultados_Reales!$A$4:$I$107, 5, FALSE)), ISERROR(VLOOKUP(C965, Resultados_Reales!$A$4:$I$107, 6, FALSE)), VLOOKUP(C965, Resultados_Reales!$A$4:$I$107, 5, FALSE)="", VLOOKUP(C965, Resultados_Reales!$A$4:$I$107, 6, FALSE)=""), 0, IF(AND(VLOOKUP(C965, Resultados_Reales!$A$4:$I$107, 5, FALSE)=G965, VLOOKUP(C965, Resultados_Reales!$A$4:$I$107, 6, FALSE)=H965), Configuracion!$B$5, IF(SIGN(VLOOKUP(C965, Resultados_Reales!$A$4:$I$107, 5, FALSE)-VLOOKUP(C965, Resultados_Reales!$A$4:$I$107, 6, FALSE)) = SIGN(G965-H965), Configuracion!$B$4, 0)))</f>
        <v/>
      </c>
      <c r="L965" s="11" t="n"/>
      <c r="M965" s="11" t="n"/>
      <c r="N965" s="11" t="n"/>
      <c r="O965" s="11" t="n"/>
      <c r="P965" s="11" t="n"/>
      <c r="Q965" s="11" t="n"/>
    </row>
    <row r="966">
      <c r="A966" s="8">
        <f>B966&amp;"_"&amp;C966</f>
        <v/>
      </c>
      <c r="B966" s="8" t="n"/>
      <c r="C966" s="8" t="n"/>
      <c r="D966" s="8" t="n"/>
      <c r="E966" s="11" t="n"/>
      <c r="F966" s="11" t="n"/>
      <c r="G966" s="8" t="n"/>
      <c r="H966" s="8" t="n"/>
      <c r="I966" s="8" t="n"/>
      <c r="J966" s="8" t="n"/>
      <c r="K966" s="12">
        <f>IF(OR(ISERROR(VLOOKUP(C966, Resultados_Reales!$A$4:$I$107, 5, FALSE)), ISERROR(VLOOKUP(C966, Resultados_Reales!$A$4:$I$107, 6, FALSE)), VLOOKUP(C966, Resultados_Reales!$A$4:$I$107, 5, FALSE)="", VLOOKUP(C966, Resultados_Reales!$A$4:$I$107, 6, FALSE)=""), 0, IF(AND(VLOOKUP(C966, Resultados_Reales!$A$4:$I$107, 5, FALSE)=G966, VLOOKUP(C966, Resultados_Reales!$A$4:$I$107, 6, FALSE)=H966), Configuracion!$B$5, IF(SIGN(VLOOKUP(C966, Resultados_Reales!$A$4:$I$107, 5, FALSE)-VLOOKUP(C966, Resultados_Reales!$A$4:$I$107, 6, FALSE)) = SIGN(G966-H966), Configuracion!$B$4, 0)))</f>
        <v/>
      </c>
      <c r="L966" s="11" t="n"/>
      <c r="M966" s="11" t="n"/>
      <c r="N966" s="11" t="n"/>
      <c r="O966" s="11" t="n"/>
      <c r="P966" s="11" t="n"/>
      <c r="Q966" s="11" t="n"/>
    </row>
    <row r="967">
      <c r="A967" s="8">
        <f>B967&amp;"_"&amp;C967</f>
        <v/>
      </c>
      <c r="B967" s="8" t="n"/>
      <c r="C967" s="8" t="n"/>
      <c r="D967" s="8" t="n"/>
      <c r="E967" s="11" t="n"/>
      <c r="F967" s="11" t="n"/>
      <c r="G967" s="8" t="n"/>
      <c r="H967" s="8" t="n"/>
      <c r="I967" s="8" t="n"/>
      <c r="J967" s="8" t="n"/>
      <c r="K967" s="12">
        <f>IF(OR(ISERROR(VLOOKUP(C967, Resultados_Reales!$A$4:$I$107, 5, FALSE)), ISERROR(VLOOKUP(C967, Resultados_Reales!$A$4:$I$107, 6, FALSE)), VLOOKUP(C967, Resultados_Reales!$A$4:$I$107, 5, FALSE)="", VLOOKUP(C967, Resultados_Reales!$A$4:$I$107, 6, FALSE)=""), 0, IF(AND(VLOOKUP(C967, Resultados_Reales!$A$4:$I$107, 5, FALSE)=G967, VLOOKUP(C967, Resultados_Reales!$A$4:$I$107, 6, FALSE)=H967), Configuracion!$B$5, IF(SIGN(VLOOKUP(C967, Resultados_Reales!$A$4:$I$107, 5, FALSE)-VLOOKUP(C967, Resultados_Reales!$A$4:$I$107, 6, FALSE)) = SIGN(G967-H967), Configuracion!$B$4, 0)))</f>
        <v/>
      </c>
      <c r="L967" s="11" t="n"/>
      <c r="M967" s="11" t="n"/>
      <c r="N967" s="11" t="n"/>
      <c r="O967" s="11" t="n"/>
      <c r="P967" s="11" t="n"/>
      <c r="Q967" s="11" t="n"/>
    </row>
    <row r="968">
      <c r="A968" s="8">
        <f>B968&amp;"_"&amp;C968</f>
        <v/>
      </c>
      <c r="B968" s="8" t="n"/>
      <c r="C968" s="8" t="n"/>
      <c r="D968" s="8" t="n"/>
      <c r="E968" s="11" t="n"/>
      <c r="F968" s="11" t="n"/>
      <c r="G968" s="8" t="n"/>
      <c r="H968" s="8" t="n"/>
      <c r="I968" s="8" t="n"/>
      <c r="J968" s="8" t="n"/>
      <c r="K968" s="12">
        <f>IF(OR(ISERROR(VLOOKUP(C968, Resultados_Reales!$A$4:$I$107, 5, FALSE)), ISERROR(VLOOKUP(C968, Resultados_Reales!$A$4:$I$107, 6, FALSE)), VLOOKUP(C968, Resultados_Reales!$A$4:$I$107, 5, FALSE)="", VLOOKUP(C968, Resultados_Reales!$A$4:$I$107, 6, FALSE)=""), 0, IF(AND(VLOOKUP(C968, Resultados_Reales!$A$4:$I$107, 5, FALSE)=G968, VLOOKUP(C968, Resultados_Reales!$A$4:$I$107, 6, FALSE)=H968), Configuracion!$B$5, IF(SIGN(VLOOKUP(C968, Resultados_Reales!$A$4:$I$107, 5, FALSE)-VLOOKUP(C968, Resultados_Reales!$A$4:$I$107, 6, FALSE)) = SIGN(G968-H968), Configuracion!$B$4, 0)))</f>
        <v/>
      </c>
      <c r="L968" s="11" t="n"/>
      <c r="M968" s="11" t="n"/>
      <c r="N968" s="11" t="n"/>
      <c r="O968" s="11" t="n"/>
      <c r="P968" s="11" t="n"/>
      <c r="Q968" s="11" t="n"/>
    </row>
    <row r="969">
      <c r="A969" s="8">
        <f>B969&amp;"_"&amp;C969</f>
        <v/>
      </c>
      <c r="B969" s="8" t="n"/>
      <c r="C969" s="8" t="n"/>
      <c r="D969" s="8" t="n"/>
      <c r="E969" s="11" t="n"/>
      <c r="F969" s="11" t="n"/>
      <c r="G969" s="8" t="n"/>
      <c r="H969" s="8" t="n"/>
      <c r="I969" s="8" t="n"/>
      <c r="J969" s="8" t="n"/>
      <c r="K969" s="12">
        <f>IF(OR(ISERROR(VLOOKUP(C969, Resultados_Reales!$A$4:$I$107, 5, FALSE)), ISERROR(VLOOKUP(C969, Resultados_Reales!$A$4:$I$107, 6, FALSE)), VLOOKUP(C969, Resultados_Reales!$A$4:$I$107, 5, FALSE)="", VLOOKUP(C969, Resultados_Reales!$A$4:$I$107, 6, FALSE)=""), 0, IF(AND(VLOOKUP(C969, Resultados_Reales!$A$4:$I$107, 5, FALSE)=G969, VLOOKUP(C969, Resultados_Reales!$A$4:$I$107, 6, FALSE)=H969), Configuracion!$B$5, IF(SIGN(VLOOKUP(C969, Resultados_Reales!$A$4:$I$107, 5, FALSE)-VLOOKUP(C969, Resultados_Reales!$A$4:$I$107, 6, FALSE)) = SIGN(G969-H969), Configuracion!$B$4, 0)))</f>
        <v/>
      </c>
      <c r="L969" s="11" t="n"/>
      <c r="M969" s="11" t="n"/>
      <c r="N969" s="11" t="n"/>
      <c r="O969" s="11" t="n"/>
      <c r="P969" s="11" t="n"/>
      <c r="Q969" s="11" t="n"/>
    </row>
    <row r="970">
      <c r="A970" s="8">
        <f>B970&amp;"_"&amp;C970</f>
        <v/>
      </c>
      <c r="B970" s="8" t="n"/>
      <c r="C970" s="8" t="n"/>
      <c r="D970" s="8" t="n"/>
      <c r="E970" s="11" t="n"/>
      <c r="F970" s="11" t="n"/>
      <c r="G970" s="8" t="n"/>
      <c r="H970" s="8" t="n"/>
      <c r="I970" s="8" t="n"/>
      <c r="J970" s="8" t="n"/>
      <c r="K970" s="12">
        <f>IF(OR(ISERROR(VLOOKUP(C970, Resultados_Reales!$A$4:$I$107, 5, FALSE)), ISERROR(VLOOKUP(C970, Resultados_Reales!$A$4:$I$107, 6, FALSE)), VLOOKUP(C970, Resultados_Reales!$A$4:$I$107, 5, FALSE)="", VLOOKUP(C970, Resultados_Reales!$A$4:$I$107, 6, FALSE)=""), 0, IF(AND(VLOOKUP(C970, Resultados_Reales!$A$4:$I$107, 5, FALSE)=G970, VLOOKUP(C970, Resultados_Reales!$A$4:$I$107, 6, FALSE)=H970), Configuracion!$B$5, IF(SIGN(VLOOKUP(C970, Resultados_Reales!$A$4:$I$107, 5, FALSE)-VLOOKUP(C970, Resultados_Reales!$A$4:$I$107, 6, FALSE)) = SIGN(G970-H970), Configuracion!$B$4, 0)))</f>
        <v/>
      </c>
      <c r="L970" s="11" t="n"/>
      <c r="M970" s="11" t="n"/>
      <c r="N970" s="11" t="n"/>
      <c r="O970" s="11" t="n"/>
      <c r="P970" s="11" t="n"/>
      <c r="Q970" s="11" t="n"/>
    </row>
    <row r="971">
      <c r="A971" s="8">
        <f>B971&amp;"_"&amp;C971</f>
        <v/>
      </c>
      <c r="B971" s="8" t="n"/>
      <c r="C971" s="8" t="n"/>
      <c r="D971" s="8" t="n"/>
      <c r="E971" s="11" t="n"/>
      <c r="F971" s="11" t="n"/>
      <c r="G971" s="8" t="n"/>
      <c r="H971" s="8" t="n"/>
      <c r="I971" s="8" t="n"/>
      <c r="J971" s="8" t="n"/>
      <c r="K971" s="12">
        <f>IF(OR(ISERROR(VLOOKUP(C971, Resultados_Reales!$A$4:$I$107, 5, FALSE)), ISERROR(VLOOKUP(C971, Resultados_Reales!$A$4:$I$107, 6, FALSE)), VLOOKUP(C971, Resultados_Reales!$A$4:$I$107, 5, FALSE)="", VLOOKUP(C971, Resultados_Reales!$A$4:$I$107, 6, FALSE)=""), 0, IF(AND(VLOOKUP(C971, Resultados_Reales!$A$4:$I$107, 5, FALSE)=G971, VLOOKUP(C971, Resultados_Reales!$A$4:$I$107, 6, FALSE)=H971), Configuracion!$B$5, IF(SIGN(VLOOKUP(C971, Resultados_Reales!$A$4:$I$107, 5, FALSE)-VLOOKUP(C971, Resultados_Reales!$A$4:$I$107, 6, FALSE)) = SIGN(G971-H971), Configuracion!$B$4, 0)))</f>
        <v/>
      </c>
      <c r="L971" s="11" t="n"/>
      <c r="M971" s="11" t="n"/>
      <c r="N971" s="11" t="n"/>
      <c r="O971" s="11" t="n"/>
      <c r="P971" s="11" t="n"/>
      <c r="Q971" s="11" t="n"/>
    </row>
    <row r="972">
      <c r="A972" s="8">
        <f>B972&amp;"_"&amp;C972</f>
        <v/>
      </c>
      <c r="B972" s="8" t="n"/>
      <c r="C972" s="8" t="n"/>
      <c r="D972" s="8" t="n"/>
      <c r="E972" s="11" t="n"/>
      <c r="F972" s="11" t="n"/>
      <c r="G972" s="8" t="n"/>
      <c r="H972" s="8" t="n"/>
      <c r="I972" s="8" t="n"/>
      <c r="J972" s="8" t="n"/>
      <c r="K972" s="12">
        <f>IF(OR(ISERROR(VLOOKUP(C972, Resultados_Reales!$A$4:$I$107, 5, FALSE)), ISERROR(VLOOKUP(C972, Resultados_Reales!$A$4:$I$107, 6, FALSE)), VLOOKUP(C972, Resultados_Reales!$A$4:$I$107, 5, FALSE)="", VLOOKUP(C972, Resultados_Reales!$A$4:$I$107, 6, FALSE)=""), 0, IF(AND(VLOOKUP(C972, Resultados_Reales!$A$4:$I$107, 5, FALSE)=G972, VLOOKUP(C972, Resultados_Reales!$A$4:$I$107, 6, FALSE)=H972), Configuracion!$B$5, IF(SIGN(VLOOKUP(C972, Resultados_Reales!$A$4:$I$107, 5, FALSE)-VLOOKUP(C972, Resultados_Reales!$A$4:$I$107, 6, FALSE)) = SIGN(G972-H972), Configuracion!$B$4, 0)))</f>
        <v/>
      </c>
      <c r="L972" s="11" t="n"/>
      <c r="M972" s="11" t="n"/>
      <c r="N972" s="11" t="n"/>
      <c r="O972" s="11" t="n"/>
      <c r="P972" s="11" t="n"/>
      <c r="Q972" s="11" t="n"/>
    </row>
    <row r="973">
      <c r="A973" s="8">
        <f>B973&amp;"_"&amp;C973</f>
        <v/>
      </c>
      <c r="B973" s="8" t="n"/>
      <c r="C973" s="8" t="n"/>
      <c r="D973" s="8" t="n"/>
      <c r="E973" s="11" t="n"/>
      <c r="F973" s="11" t="n"/>
      <c r="G973" s="8" t="n"/>
      <c r="H973" s="8" t="n"/>
      <c r="I973" s="8" t="n"/>
      <c r="J973" s="8" t="n"/>
      <c r="K973" s="12">
        <f>IF(OR(ISERROR(VLOOKUP(C973, Resultados_Reales!$A$4:$I$107, 5, FALSE)), ISERROR(VLOOKUP(C973, Resultados_Reales!$A$4:$I$107, 6, FALSE)), VLOOKUP(C973, Resultados_Reales!$A$4:$I$107, 5, FALSE)="", VLOOKUP(C973, Resultados_Reales!$A$4:$I$107, 6, FALSE)=""), 0, IF(AND(VLOOKUP(C973, Resultados_Reales!$A$4:$I$107, 5, FALSE)=G973, VLOOKUP(C973, Resultados_Reales!$A$4:$I$107, 6, FALSE)=H973), Configuracion!$B$5, IF(SIGN(VLOOKUP(C973, Resultados_Reales!$A$4:$I$107, 5, FALSE)-VLOOKUP(C973, Resultados_Reales!$A$4:$I$107, 6, FALSE)) = SIGN(G973-H973), Configuracion!$B$4, 0)))</f>
        <v/>
      </c>
      <c r="L973" s="11" t="n"/>
      <c r="M973" s="11" t="n"/>
      <c r="N973" s="11" t="n"/>
      <c r="O973" s="11" t="n"/>
      <c r="P973" s="11" t="n"/>
      <c r="Q973" s="11" t="n"/>
    </row>
    <row r="974">
      <c r="A974" s="8">
        <f>B974&amp;"_"&amp;C974</f>
        <v/>
      </c>
      <c r="B974" s="8" t="n"/>
      <c r="C974" s="8" t="n"/>
      <c r="D974" s="8" t="n"/>
      <c r="E974" s="11" t="n"/>
      <c r="F974" s="11" t="n"/>
      <c r="G974" s="8" t="n"/>
      <c r="H974" s="8" t="n"/>
      <c r="I974" s="8" t="n"/>
      <c r="J974" s="8" t="n"/>
      <c r="K974" s="12">
        <f>IF(OR(ISERROR(VLOOKUP(C974, Resultados_Reales!$A$4:$I$107, 5, FALSE)), ISERROR(VLOOKUP(C974, Resultados_Reales!$A$4:$I$107, 6, FALSE)), VLOOKUP(C974, Resultados_Reales!$A$4:$I$107, 5, FALSE)="", VLOOKUP(C974, Resultados_Reales!$A$4:$I$107, 6, FALSE)=""), 0, IF(AND(VLOOKUP(C974, Resultados_Reales!$A$4:$I$107, 5, FALSE)=G974, VLOOKUP(C974, Resultados_Reales!$A$4:$I$107, 6, FALSE)=H974), Configuracion!$B$5, IF(SIGN(VLOOKUP(C974, Resultados_Reales!$A$4:$I$107, 5, FALSE)-VLOOKUP(C974, Resultados_Reales!$A$4:$I$107, 6, FALSE)) = SIGN(G974-H974), Configuracion!$B$4, 0)))</f>
        <v/>
      </c>
      <c r="L974" s="11" t="n"/>
      <c r="M974" s="11" t="n"/>
      <c r="N974" s="11" t="n"/>
      <c r="O974" s="11" t="n"/>
      <c r="P974" s="11" t="n"/>
      <c r="Q974" s="11" t="n"/>
    </row>
    <row r="975">
      <c r="A975" s="8">
        <f>B975&amp;"_"&amp;C975</f>
        <v/>
      </c>
      <c r="B975" s="8" t="n"/>
      <c r="C975" s="8" t="n"/>
      <c r="D975" s="8" t="n"/>
      <c r="E975" s="11" t="n"/>
      <c r="F975" s="11" t="n"/>
      <c r="G975" s="8" t="n"/>
      <c r="H975" s="8" t="n"/>
      <c r="I975" s="8" t="n"/>
      <c r="J975" s="8" t="n"/>
      <c r="K975" s="12">
        <f>IF(OR(ISERROR(VLOOKUP(C975, Resultados_Reales!$A$4:$I$107, 5, FALSE)), ISERROR(VLOOKUP(C975, Resultados_Reales!$A$4:$I$107, 6, FALSE)), VLOOKUP(C975, Resultados_Reales!$A$4:$I$107, 5, FALSE)="", VLOOKUP(C975, Resultados_Reales!$A$4:$I$107, 6, FALSE)=""), 0, IF(AND(VLOOKUP(C975, Resultados_Reales!$A$4:$I$107, 5, FALSE)=G975, VLOOKUP(C975, Resultados_Reales!$A$4:$I$107, 6, FALSE)=H975), Configuracion!$B$5, IF(SIGN(VLOOKUP(C975, Resultados_Reales!$A$4:$I$107, 5, FALSE)-VLOOKUP(C975, Resultados_Reales!$A$4:$I$107, 6, FALSE)) = SIGN(G975-H975), Configuracion!$B$4, 0)))</f>
        <v/>
      </c>
      <c r="L975" s="11" t="n"/>
      <c r="M975" s="11" t="n"/>
      <c r="N975" s="11" t="n"/>
      <c r="O975" s="11" t="n"/>
      <c r="P975" s="11" t="n"/>
      <c r="Q975" s="11" t="n"/>
    </row>
    <row r="976">
      <c r="A976" s="8">
        <f>B976&amp;"_"&amp;C976</f>
        <v/>
      </c>
      <c r="B976" s="8" t="n"/>
      <c r="C976" s="8" t="n"/>
      <c r="D976" s="8" t="n"/>
      <c r="E976" s="11" t="n"/>
      <c r="F976" s="11" t="n"/>
      <c r="G976" s="8" t="n"/>
      <c r="H976" s="8" t="n"/>
      <c r="I976" s="8" t="n"/>
      <c r="J976" s="8" t="n"/>
      <c r="K976" s="12">
        <f>IF(OR(ISERROR(VLOOKUP(C976, Resultados_Reales!$A$4:$I$107, 5, FALSE)), ISERROR(VLOOKUP(C976, Resultados_Reales!$A$4:$I$107, 6, FALSE)), VLOOKUP(C976, Resultados_Reales!$A$4:$I$107, 5, FALSE)="", VLOOKUP(C976, Resultados_Reales!$A$4:$I$107, 6, FALSE)=""), 0, IF(AND(VLOOKUP(C976, Resultados_Reales!$A$4:$I$107, 5, FALSE)=G976, VLOOKUP(C976, Resultados_Reales!$A$4:$I$107, 6, FALSE)=H976), Configuracion!$B$5, IF(SIGN(VLOOKUP(C976, Resultados_Reales!$A$4:$I$107, 5, FALSE)-VLOOKUP(C976, Resultados_Reales!$A$4:$I$107, 6, FALSE)) = SIGN(G976-H976), Configuracion!$B$4, 0)))</f>
        <v/>
      </c>
      <c r="L976" s="11" t="n"/>
      <c r="M976" s="11" t="n"/>
      <c r="N976" s="11" t="n"/>
      <c r="O976" s="11" t="n"/>
      <c r="P976" s="11" t="n"/>
      <c r="Q976" s="11" t="n"/>
    </row>
    <row r="977">
      <c r="A977" s="8">
        <f>B977&amp;"_"&amp;C977</f>
        <v/>
      </c>
      <c r="B977" s="8" t="n"/>
      <c r="C977" s="8" t="n"/>
      <c r="D977" s="8" t="n"/>
      <c r="E977" s="11" t="n"/>
      <c r="F977" s="11" t="n"/>
      <c r="G977" s="8" t="n"/>
      <c r="H977" s="8" t="n"/>
      <c r="I977" s="8" t="n"/>
      <c r="J977" s="8" t="n"/>
      <c r="K977" s="12">
        <f>IF(OR(ISERROR(VLOOKUP(C977, Resultados_Reales!$A$4:$I$107, 5, FALSE)), ISERROR(VLOOKUP(C977, Resultados_Reales!$A$4:$I$107, 6, FALSE)), VLOOKUP(C977, Resultados_Reales!$A$4:$I$107, 5, FALSE)="", VLOOKUP(C977, Resultados_Reales!$A$4:$I$107, 6, FALSE)=""), 0, IF(AND(VLOOKUP(C977, Resultados_Reales!$A$4:$I$107, 5, FALSE)=G977, VLOOKUP(C977, Resultados_Reales!$A$4:$I$107, 6, FALSE)=H977), Configuracion!$B$5, IF(SIGN(VLOOKUP(C977, Resultados_Reales!$A$4:$I$107, 5, FALSE)-VLOOKUP(C977, Resultados_Reales!$A$4:$I$107, 6, FALSE)) = SIGN(G977-H977), Configuracion!$B$4, 0)))</f>
        <v/>
      </c>
      <c r="L977" s="11" t="n"/>
      <c r="M977" s="11" t="n"/>
      <c r="N977" s="11" t="n"/>
      <c r="O977" s="11" t="n"/>
      <c r="P977" s="11" t="n"/>
      <c r="Q977" s="11" t="n"/>
    </row>
    <row r="978">
      <c r="A978" s="8">
        <f>B978&amp;"_"&amp;C978</f>
        <v/>
      </c>
      <c r="B978" s="8" t="n"/>
      <c r="C978" s="8" t="n"/>
      <c r="D978" s="8" t="n"/>
      <c r="E978" s="11" t="n"/>
      <c r="F978" s="11" t="n"/>
      <c r="G978" s="8" t="n"/>
      <c r="H978" s="8" t="n"/>
      <c r="I978" s="8" t="n"/>
      <c r="J978" s="8" t="n"/>
      <c r="K978" s="12">
        <f>IF(OR(ISERROR(VLOOKUP(C978, Resultados_Reales!$A$4:$I$107, 5, FALSE)), ISERROR(VLOOKUP(C978, Resultados_Reales!$A$4:$I$107, 6, FALSE)), VLOOKUP(C978, Resultados_Reales!$A$4:$I$107, 5, FALSE)="", VLOOKUP(C978, Resultados_Reales!$A$4:$I$107, 6, FALSE)=""), 0, IF(AND(VLOOKUP(C978, Resultados_Reales!$A$4:$I$107, 5, FALSE)=G978, VLOOKUP(C978, Resultados_Reales!$A$4:$I$107, 6, FALSE)=H978), Configuracion!$B$5, IF(SIGN(VLOOKUP(C978, Resultados_Reales!$A$4:$I$107, 5, FALSE)-VLOOKUP(C978, Resultados_Reales!$A$4:$I$107, 6, FALSE)) = SIGN(G978-H978), Configuracion!$B$4, 0)))</f>
        <v/>
      </c>
      <c r="L978" s="11" t="n"/>
      <c r="M978" s="11" t="n"/>
      <c r="N978" s="11" t="n"/>
      <c r="O978" s="11" t="n"/>
      <c r="P978" s="11" t="n"/>
      <c r="Q978" s="11" t="n"/>
    </row>
    <row r="979">
      <c r="A979" s="8">
        <f>B979&amp;"_"&amp;C979</f>
        <v/>
      </c>
      <c r="B979" s="8" t="n"/>
      <c r="C979" s="8" t="n"/>
      <c r="D979" s="8" t="n"/>
      <c r="E979" s="11" t="n"/>
      <c r="F979" s="11" t="n"/>
      <c r="G979" s="8" t="n"/>
      <c r="H979" s="8" t="n"/>
      <c r="I979" s="8" t="n"/>
      <c r="J979" s="8" t="n"/>
      <c r="K979" s="12">
        <f>IF(OR(ISERROR(VLOOKUP(C979, Resultados_Reales!$A$4:$I$107, 5, FALSE)), ISERROR(VLOOKUP(C979, Resultados_Reales!$A$4:$I$107, 6, FALSE)), VLOOKUP(C979, Resultados_Reales!$A$4:$I$107, 5, FALSE)="", VLOOKUP(C979, Resultados_Reales!$A$4:$I$107, 6, FALSE)=""), 0, IF(AND(VLOOKUP(C979, Resultados_Reales!$A$4:$I$107, 5, FALSE)=G979, VLOOKUP(C979, Resultados_Reales!$A$4:$I$107, 6, FALSE)=H979), Configuracion!$B$5, IF(SIGN(VLOOKUP(C979, Resultados_Reales!$A$4:$I$107, 5, FALSE)-VLOOKUP(C979, Resultados_Reales!$A$4:$I$107, 6, FALSE)) = SIGN(G979-H979), Configuracion!$B$4, 0)))</f>
        <v/>
      </c>
      <c r="L979" s="11" t="n"/>
      <c r="M979" s="11" t="n"/>
      <c r="N979" s="11" t="n"/>
      <c r="O979" s="11" t="n"/>
      <c r="P979" s="11" t="n"/>
      <c r="Q979" s="11" t="n"/>
    </row>
    <row r="980">
      <c r="A980" s="8">
        <f>B980&amp;"_"&amp;C980</f>
        <v/>
      </c>
      <c r="B980" s="8" t="n"/>
      <c r="C980" s="8" t="n"/>
      <c r="D980" s="8" t="n"/>
      <c r="E980" s="11" t="n"/>
      <c r="F980" s="11" t="n"/>
      <c r="G980" s="8" t="n"/>
      <c r="H980" s="8" t="n"/>
      <c r="I980" s="8" t="n"/>
      <c r="J980" s="8" t="n"/>
      <c r="K980" s="12">
        <f>IF(OR(ISERROR(VLOOKUP(C980, Resultados_Reales!$A$4:$I$107, 5, FALSE)), ISERROR(VLOOKUP(C980, Resultados_Reales!$A$4:$I$107, 6, FALSE)), VLOOKUP(C980, Resultados_Reales!$A$4:$I$107, 5, FALSE)="", VLOOKUP(C980, Resultados_Reales!$A$4:$I$107, 6, FALSE)=""), 0, IF(AND(VLOOKUP(C980, Resultados_Reales!$A$4:$I$107, 5, FALSE)=G980, VLOOKUP(C980, Resultados_Reales!$A$4:$I$107, 6, FALSE)=H980), Configuracion!$B$5, IF(SIGN(VLOOKUP(C980, Resultados_Reales!$A$4:$I$107, 5, FALSE)-VLOOKUP(C980, Resultados_Reales!$A$4:$I$107, 6, FALSE)) = SIGN(G980-H980), Configuracion!$B$4, 0)))</f>
        <v/>
      </c>
      <c r="L980" s="11" t="n"/>
      <c r="M980" s="11" t="n"/>
      <c r="N980" s="11" t="n"/>
      <c r="O980" s="11" t="n"/>
      <c r="P980" s="11" t="n"/>
      <c r="Q980" s="11" t="n"/>
    </row>
    <row r="981">
      <c r="A981" s="8">
        <f>B981&amp;"_"&amp;C981</f>
        <v/>
      </c>
      <c r="B981" s="8" t="n"/>
      <c r="C981" s="8" t="n"/>
      <c r="D981" s="8" t="n"/>
      <c r="E981" s="11" t="n"/>
      <c r="F981" s="11" t="n"/>
      <c r="G981" s="8" t="n"/>
      <c r="H981" s="8" t="n"/>
      <c r="I981" s="8" t="n"/>
      <c r="J981" s="8" t="n"/>
      <c r="K981" s="12">
        <f>IF(OR(ISERROR(VLOOKUP(C981, Resultados_Reales!$A$4:$I$107, 5, FALSE)), ISERROR(VLOOKUP(C981, Resultados_Reales!$A$4:$I$107, 6, FALSE)), VLOOKUP(C981, Resultados_Reales!$A$4:$I$107, 5, FALSE)="", VLOOKUP(C981, Resultados_Reales!$A$4:$I$107, 6, FALSE)=""), 0, IF(AND(VLOOKUP(C981, Resultados_Reales!$A$4:$I$107, 5, FALSE)=G981, VLOOKUP(C981, Resultados_Reales!$A$4:$I$107, 6, FALSE)=H981), Configuracion!$B$5, IF(SIGN(VLOOKUP(C981, Resultados_Reales!$A$4:$I$107, 5, FALSE)-VLOOKUP(C981, Resultados_Reales!$A$4:$I$107, 6, FALSE)) = SIGN(G981-H981), Configuracion!$B$4, 0)))</f>
        <v/>
      </c>
      <c r="L981" s="11" t="n"/>
      <c r="M981" s="11" t="n"/>
      <c r="N981" s="11" t="n"/>
      <c r="O981" s="11" t="n"/>
      <c r="P981" s="11" t="n"/>
      <c r="Q981" s="11" t="n"/>
    </row>
    <row r="982">
      <c r="A982" s="8">
        <f>B982&amp;"_"&amp;C982</f>
        <v/>
      </c>
      <c r="B982" s="8" t="n"/>
      <c r="C982" s="8" t="n"/>
      <c r="D982" s="8" t="n"/>
      <c r="E982" s="11" t="n"/>
      <c r="F982" s="11" t="n"/>
      <c r="G982" s="8" t="n"/>
      <c r="H982" s="8" t="n"/>
      <c r="I982" s="8" t="n"/>
      <c r="J982" s="8" t="n"/>
      <c r="K982" s="12">
        <f>IF(OR(ISERROR(VLOOKUP(C982, Resultados_Reales!$A$4:$I$107, 5, FALSE)), ISERROR(VLOOKUP(C982, Resultados_Reales!$A$4:$I$107, 6, FALSE)), VLOOKUP(C982, Resultados_Reales!$A$4:$I$107, 5, FALSE)="", VLOOKUP(C982, Resultados_Reales!$A$4:$I$107, 6, FALSE)=""), 0, IF(AND(VLOOKUP(C982, Resultados_Reales!$A$4:$I$107, 5, FALSE)=G982, VLOOKUP(C982, Resultados_Reales!$A$4:$I$107, 6, FALSE)=H982), Configuracion!$B$5, IF(SIGN(VLOOKUP(C982, Resultados_Reales!$A$4:$I$107, 5, FALSE)-VLOOKUP(C982, Resultados_Reales!$A$4:$I$107, 6, FALSE)) = SIGN(G982-H982), Configuracion!$B$4, 0)))</f>
        <v/>
      </c>
      <c r="L982" s="11" t="n"/>
      <c r="M982" s="11" t="n"/>
      <c r="N982" s="11" t="n"/>
      <c r="O982" s="11" t="n"/>
      <c r="P982" s="11" t="n"/>
      <c r="Q982" s="11" t="n"/>
    </row>
    <row r="983">
      <c r="A983" s="8">
        <f>B983&amp;"_"&amp;C983</f>
        <v/>
      </c>
      <c r="B983" s="8" t="n"/>
      <c r="C983" s="8" t="n"/>
      <c r="D983" s="8" t="n"/>
      <c r="E983" s="11" t="n"/>
      <c r="F983" s="11" t="n"/>
      <c r="G983" s="8" t="n"/>
      <c r="H983" s="8" t="n"/>
      <c r="I983" s="8" t="n"/>
      <c r="J983" s="8" t="n"/>
      <c r="K983" s="12">
        <f>IF(OR(ISERROR(VLOOKUP(C983, Resultados_Reales!$A$4:$I$107, 5, FALSE)), ISERROR(VLOOKUP(C983, Resultados_Reales!$A$4:$I$107, 6, FALSE)), VLOOKUP(C983, Resultados_Reales!$A$4:$I$107, 5, FALSE)="", VLOOKUP(C983, Resultados_Reales!$A$4:$I$107, 6, FALSE)=""), 0, IF(AND(VLOOKUP(C983, Resultados_Reales!$A$4:$I$107, 5, FALSE)=G983, VLOOKUP(C983, Resultados_Reales!$A$4:$I$107, 6, FALSE)=H983), Configuracion!$B$5, IF(SIGN(VLOOKUP(C983, Resultados_Reales!$A$4:$I$107, 5, FALSE)-VLOOKUP(C983, Resultados_Reales!$A$4:$I$107, 6, FALSE)) = SIGN(G983-H983), Configuracion!$B$4, 0)))</f>
        <v/>
      </c>
      <c r="L983" s="11" t="n"/>
      <c r="M983" s="11" t="n"/>
      <c r="N983" s="11" t="n"/>
      <c r="O983" s="11" t="n"/>
      <c r="P983" s="11" t="n"/>
      <c r="Q983" s="11" t="n"/>
    </row>
    <row r="984">
      <c r="A984" s="8">
        <f>B984&amp;"_"&amp;C984</f>
        <v/>
      </c>
      <c r="B984" s="8" t="n"/>
      <c r="C984" s="8" t="n"/>
      <c r="D984" s="8" t="n"/>
      <c r="E984" s="11" t="n"/>
      <c r="F984" s="11" t="n"/>
      <c r="G984" s="8" t="n"/>
      <c r="H984" s="8" t="n"/>
      <c r="I984" s="8" t="n"/>
      <c r="J984" s="8" t="n"/>
      <c r="K984" s="12">
        <f>IF(OR(ISERROR(VLOOKUP(C984, Resultados_Reales!$A$4:$I$107, 5, FALSE)), ISERROR(VLOOKUP(C984, Resultados_Reales!$A$4:$I$107, 6, FALSE)), VLOOKUP(C984, Resultados_Reales!$A$4:$I$107, 5, FALSE)="", VLOOKUP(C984, Resultados_Reales!$A$4:$I$107, 6, FALSE)=""), 0, IF(AND(VLOOKUP(C984, Resultados_Reales!$A$4:$I$107, 5, FALSE)=G984, VLOOKUP(C984, Resultados_Reales!$A$4:$I$107, 6, FALSE)=H984), Configuracion!$B$5, IF(SIGN(VLOOKUP(C984, Resultados_Reales!$A$4:$I$107, 5, FALSE)-VLOOKUP(C984, Resultados_Reales!$A$4:$I$107, 6, FALSE)) = SIGN(G984-H984), Configuracion!$B$4, 0)))</f>
        <v/>
      </c>
      <c r="L984" s="11" t="n"/>
      <c r="M984" s="11" t="n"/>
      <c r="N984" s="11" t="n"/>
      <c r="O984" s="11" t="n"/>
      <c r="P984" s="11" t="n"/>
      <c r="Q984" s="11" t="n"/>
    </row>
    <row r="985">
      <c r="A985" s="8">
        <f>B985&amp;"_"&amp;C985</f>
        <v/>
      </c>
      <c r="B985" s="8" t="n"/>
      <c r="C985" s="8" t="n"/>
      <c r="D985" s="8" t="n"/>
      <c r="E985" s="11" t="n"/>
      <c r="F985" s="11" t="n"/>
      <c r="G985" s="8" t="n"/>
      <c r="H985" s="8" t="n"/>
      <c r="I985" s="8" t="n"/>
      <c r="J985" s="8" t="n"/>
      <c r="K985" s="12">
        <f>IF(OR(ISERROR(VLOOKUP(C985, Resultados_Reales!$A$4:$I$107, 5, FALSE)), ISERROR(VLOOKUP(C985, Resultados_Reales!$A$4:$I$107, 6, FALSE)), VLOOKUP(C985, Resultados_Reales!$A$4:$I$107, 5, FALSE)="", VLOOKUP(C985, Resultados_Reales!$A$4:$I$107, 6, FALSE)=""), 0, IF(AND(VLOOKUP(C985, Resultados_Reales!$A$4:$I$107, 5, FALSE)=G985, VLOOKUP(C985, Resultados_Reales!$A$4:$I$107, 6, FALSE)=H985), Configuracion!$B$5, IF(SIGN(VLOOKUP(C985, Resultados_Reales!$A$4:$I$107, 5, FALSE)-VLOOKUP(C985, Resultados_Reales!$A$4:$I$107, 6, FALSE)) = SIGN(G985-H985), Configuracion!$B$4, 0)))</f>
        <v/>
      </c>
      <c r="L985" s="11" t="n"/>
      <c r="M985" s="11" t="n"/>
      <c r="N985" s="11" t="n"/>
      <c r="O985" s="11" t="n"/>
      <c r="P985" s="11" t="n"/>
      <c r="Q985" s="11" t="n"/>
    </row>
    <row r="986">
      <c r="A986" s="8">
        <f>B986&amp;"_"&amp;C986</f>
        <v/>
      </c>
      <c r="B986" s="8" t="n"/>
      <c r="C986" s="8" t="n"/>
      <c r="D986" s="8" t="n"/>
      <c r="E986" s="11" t="n"/>
      <c r="F986" s="11" t="n"/>
      <c r="G986" s="8" t="n"/>
      <c r="H986" s="8" t="n"/>
      <c r="I986" s="8" t="n"/>
      <c r="J986" s="8" t="n"/>
      <c r="K986" s="12">
        <f>IF(OR(ISERROR(VLOOKUP(C986, Resultados_Reales!$A$4:$I$107, 5, FALSE)), ISERROR(VLOOKUP(C986, Resultados_Reales!$A$4:$I$107, 6, FALSE)), VLOOKUP(C986, Resultados_Reales!$A$4:$I$107, 5, FALSE)="", VLOOKUP(C986, Resultados_Reales!$A$4:$I$107, 6, FALSE)=""), 0, IF(AND(VLOOKUP(C986, Resultados_Reales!$A$4:$I$107, 5, FALSE)=G986, VLOOKUP(C986, Resultados_Reales!$A$4:$I$107, 6, FALSE)=H986), Configuracion!$B$5, IF(SIGN(VLOOKUP(C986, Resultados_Reales!$A$4:$I$107, 5, FALSE)-VLOOKUP(C986, Resultados_Reales!$A$4:$I$107, 6, FALSE)) = SIGN(G986-H986), Configuracion!$B$4, 0)))</f>
        <v/>
      </c>
      <c r="L986" s="11" t="n"/>
      <c r="M986" s="11" t="n"/>
      <c r="N986" s="11" t="n"/>
      <c r="O986" s="11" t="n"/>
      <c r="P986" s="11" t="n"/>
      <c r="Q986" s="11" t="n"/>
    </row>
    <row r="987">
      <c r="A987" s="8">
        <f>B987&amp;"_"&amp;C987</f>
        <v/>
      </c>
      <c r="B987" s="8" t="n"/>
      <c r="C987" s="8" t="n"/>
      <c r="D987" s="8" t="n"/>
      <c r="E987" s="11" t="n"/>
      <c r="F987" s="11" t="n"/>
      <c r="G987" s="8" t="n"/>
      <c r="H987" s="8" t="n"/>
      <c r="I987" s="8" t="n"/>
      <c r="J987" s="8" t="n"/>
      <c r="K987" s="12">
        <f>IF(OR(ISERROR(VLOOKUP(C987, Resultados_Reales!$A$4:$I$107, 5, FALSE)), ISERROR(VLOOKUP(C987, Resultados_Reales!$A$4:$I$107, 6, FALSE)), VLOOKUP(C987, Resultados_Reales!$A$4:$I$107, 5, FALSE)="", VLOOKUP(C987, Resultados_Reales!$A$4:$I$107, 6, FALSE)=""), 0, IF(AND(VLOOKUP(C987, Resultados_Reales!$A$4:$I$107, 5, FALSE)=G987, VLOOKUP(C987, Resultados_Reales!$A$4:$I$107, 6, FALSE)=H987), Configuracion!$B$5, IF(SIGN(VLOOKUP(C987, Resultados_Reales!$A$4:$I$107, 5, FALSE)-VLOOKUP(C987, Resultados_Reales!$A$4:$I$107, 6, FALSE)) = SIGN(G987-H987), Configuracion!$B$4, 0)))</f>
        <v/>
      </c>
      <c r="L987" s="11" t="n"/>
      <c r="M987" s="11" t="n"/>
      <c r="N987" s="11" t="n"/>
      <c r="O987" s="11" t="n"/>
      <c r="P987" s="11" t="n"/>
      <c r="Q987" s="11" t="n"/>
    </row>
    <row r="988">
      <c r="A988" s="8">
        <f>B988&amp;"_"&amp;C988</f>
        <v/>
      </c>
      <c r="B988" s="8" t="n"/>
      <c r="C988" s="8" t="n"/>
      <c r="D988" s="8" t="n"/>
      <c r="E988" s="11" t="n"/>
      <c r="F988" s="11" t="n"/>
      <c r="G988" s="8" t="n"/>
      <c r="H988" s="8" t="n"/>
      <c r="I988" s="8" t="n"/>
      <c r="J988" s="8" t="n"/>
      <c r="K988" s="12">
        <f>IF(OR(ISERROR(VLOOKUP(C988, Resultados_Reales!$A$4:$I$107, 5, FALSE)), ISERROR(VLOOKUP(C988, Resultados_Reales!$A$4:$I$107, 6, FALSE)), VLOOKUP(C988, Resultados_Reales!$A$4:$I$107, 5, FALSE)="", VLOOKUP(C988, Resultados_Reales!$A$4:$I$107, 6, FALSE)=""), 0, IF(AND(VLOOKUP(C988, Resultados_Reales!$A$4:$I$107, 5, FALSE)=G988, VLOOKUP(C988, Resultados_Reales!$A$4:$I$107, 6, FALSE)=H988), Configuracion!$B$5, IF(SIGN(VLOOKUP(C988, Resultados_Reales!$A$4:$I$107, 5, FALSE)-VLOOKUP(C988, Resultados_Reales!$A$4:$I$107, 6, FALSE)) = SIGN(G988-H988), Configuracion!$B$4, 0)))</f>
        <v/>
      </c>
      <c r="L988" s="11" t="n"/>
      <c r="M988" s="11" t="n"/>
      <c r="N988" s="11" t="n"/>
      <c r="O988" s="11" t="n"/>
      <c r="P988" s="11" t="n"/>
      <c r="Q988" s="11" t="n"/>
    </row>
    <row r="989">
      <c r="A989" s="8">
        <f>B989&amp;"_"&amp;C989</f>
        <v/>
      </c>
      <c r="B989" s="8" t="n"/>
      <c r="C989" s="8" t="n"/>
      <c r="D989" s="8" t="n"/>
      <c r="E989" s="11" t="n"/>
      <c r="F989" s="11" t="n"/>
      <c r="G989" s="8" t="n"/>
      <c r="H989" s="8" t="n"/>
      <c r="I989" s="8" t="n"/>
      <c r="J989" s="8" t="n"/>
      <c r="K989" s="12">
        <f>IF(OR(ISERROR(VLOOKUP(C989, Resultados_Reales!$A$4:$I$107, 5, FALSE)), ISERROR(VLOOKUP(C989, Resultados_Reales!$A$4:$I$107, 6, FALSE)), VLOOKUP(C989, Resultados_Reales!$A$4:$I$107, 5, FALSE)="", VLOOKUP(C989, Resultados_Reales!$A$4:$I$107, 6, FALSE)=""), 0, IF(AND(VLOOKUP(C989, Resultados_Reales!$A$4:$I$107, 5, FALSE)=G989, VLOOKUP(C989, Resultados_Reales!$A$4:$I$107, 6, FALSE)=H989), Configuracion!$B$5, IF(SIGN(VLOOKUP(C989, Resultados_Reales!$A$4:$I$107, 5, FALSE)-VLOOKUP(C989, Resultados_Reales!$A$4:$I$107, 6, FALSE)) = SIGN(G989-H989), Configuracion!$B$4, 0)))</f>
        <v/>
      </c>
      <c r="L989" s="11" t="n"/>
      <c r="M989" s="11" t="n"/>
      <c r="N989" s="11" t="n"/>
      <c r="O989" s="11" t="n"/>
      <c r="P989" s="11" t="n"/>
      <c r="Q989" s="11" t="n"/>
    </row>
    <row r="990">
      <c r="A990" s="8">
        <f>B990&amp;"_"&amp;C990</f>
        <v/>
      </c>
      <c r="B990" s="8" t="n"/>
      <c r="C990" s="8" t="n"/>
      <c r="D990" s="8" t="n"/>
      <c r="E990" s="11" t="n"/>
      <c r="F990" s="11" t="n"/>
      <c r="G990" s="8" t="n"/>
      <c r="H990" s="8" t="n"/>
      <c r="I990" s="8" t="n"/>
      <c r="J990" s="8" t="n"/>
      <c r="K990" s="12">
        <f>IF(OR(ISERROR(VLOOKUP(C990, Resultados_Reales!$A$4:$I$107, 5, FALSE)), ISERROR(VLOOKUP(C990, Resultados_Reales!$A$4:$I$107, 6, FALSE)), VLOOKUP(C990, Resultados_Reales!$A$4:$I$107, 5, FALSE)="", VLOOKUP(C990, Resultados_Reales!$A$4:$I$107, 6, FALSE)=""), 0, IF(AND(VLOOKUP(C990, Resultados_Reales!$A$4:$I$107, 5, FALSE)=G990, VLOOKUP(C990, Resultados_Reales!$A$4:$I$107, 6, FALSE)=H990), Configuracion!$B$5, IF(SIGN(VLOOKUP(C990, Resultados_Reales!$A$4:$I$107, 5, FALSE)-VLOOKUP(C990, Resultados_Reales!$A$4:$I$107, 6, FALSE)) = SIGN(G990-H990), Configuracion!$B$4, 0)))</f>
        <v/>
      </c>
      <c r="L990" s="11" t="n"/>
      <c r="M990" s="11" t="n"/>
      <c r="N990" s="11" t="n"/>
      <c r="O990" s="11" t="n"/>
      <c r="P990" s="11" t="n"/>
      <c r="Q990" s="11" t="n"/>
    </row>
    <row r="991">
      <c r="A991" s="8">
        <f>B991&amp;"_"&amp;C991</f>
        <v/>
      </c>
      <c r="B991" s="8" t="n"/>
      <c r="C991" s="8" t="n"/>
      <c r="D991" s="8" t="n"/>
      <c r="E991" s="11" t="n"/>
      <c r="F991" s="11" t="n"/>
      <c r="G991" s="8" t="n"/>
      <c r="H991" s="8" t="n"/>
      <c r="I991" s="8" t="n"/>
      <c r="J991" s="8" t="n"/>
      <c r="K991" s="12">
        <f>IF(OR(ISERROR(VLOOKUP(C991, Resultados_Reales!$A$4:$I$107, 5, FALSE)), ISERROR(VLOOKUP(C991, Resultados_Reales!$A$4:$I$107, 6, FALSE)), VLOOKUP(C991, Resultados_Reales!$A$4:$I$107, 5, FALSE)="", VLOOKUP(C991, Resultados_Reales!$A$4:$I$107, 6, FALSE)=""), 0, IF(AND(VLOOKUP(C991, Resultados_Reales!$A$4:$I$107, 5, FALSE)=G991, VLOOKUP(C991, Resultados_Reales!$A$4:$I$107, 6, FALSE)=H991), Configuracion!$B$5, IF(SIGN(VLOOKUP(C991, Resultados_Reales!$A$4:$I$107, 5, FALSE)-VLOOKUP(C991, Resultados_Reales!$A$4:$I$107, 6, FALSE)) = SIGN(G991-H991), Configuracion!$B$4, 0)))</f>
        <v/>
      </c>
      <c r="L991" s="11" t="n"/>
      <c r="M991" s="11" t="n"/>
      <c r="N991" s="11" t="n"/>
      <c r="O991" s="11" t="n"/>
      <c r="P991" s="11" t="n"/>
      <c r="Q991" s="11" t="n"/>
    </row>
    <row r="992">
      <c r="A992" s="8">
        <f>B992&amp;"_"&amp;C992</f>
        <v/>
      </c>
      <c r="B992" s="8" t="n"/>
      <c r="C992" s="8" t="n"/>
      <c r="D992" s="8" t="n"/>
      <c r="E992" s="11" t="n"/>
      <c r="F992" s="11" t="n"/>
      <c r="G992" s="8" t="n"/>
      <c r="H992" s="8" t="n"/>
      <c r="I992" s="8" t="n"/>
      <c r="J992" s="8" t="n"/>
      <c r="K992" s="12">
        <f>IF(OR(ISERROR(VLOOKUP(C992, Resultados_Reales!$A$4:$I$107, 5, FALSE)), ISERROR(VLOOKUP(C992, Resultados_Reales!$A$4:$I$107, 6, FALSE)), VLOOKUP(C992, Resultados_Reales!$A$4:$I$107, 5, FALSE)="", VLOOKUP(C992, Resultados_Reales!$A$4:$I$107, 6, FALSE)=""), 0, IF(AND(VLOOKUP(C992, Resultados_Reales!$A$4:$I$107, 5, FALSE)=G992, VLOOKUP(C992, Resultados_Reales!$A$4:$I$107, 6, FALSE)=H992), Configuracion!$B$5, IF(SIGN(VLOOKUP(C992, Resultados_Reales!$A$4:$I$107, 5, FALSE)-VLOOKUP(C992, Resultados_Reales!$A$4:$I$107, 6, FALSE)) = SIGN(G992-H992), Configuracion!$B$4, 0)))</f>
        <v/>
      </c>
      <c r="L992" s="11" t="n"/>
      <c r="M992" s="11" t="n"/>
      <c r="N992" s="11" t="n"/>
      <c r="O992" s="11" t="n"/>
      <c r="P992" s="11" t="n"/>
      <c r="Q992" s="11" t="n"/>
    </row>
    <row r="993">
      <c r="A993" s="8">
        <f>B993&amp;"_"&amp;C993</f>
        <v/>
      </c>
      <c r="B993" s="8" t="n"/>
      <c r="C993" s="8" t="n"/>
      <c r="D993" s="8" t="n"/>
      <c r="E993" s="11" t="n"/>
      <c r="F993" s="11" t="n"/>
      <c r="G993" s="8" t="n"/>
      <c r="H993" s="8" t="n"/>
      <c r="I993" s="8" t="n"/>
      <c r="J993" s="8" t="n"/>
      <c r="K993" s="12">
        <f>IF(OR(ISERROR(VLOOKUP(C993, Resultados_Reales!$A$4:$I$107, 5, FALSE)), ISERROR(VLOOKUP(C993, Resultados_Reales!$A$4:$I$107, 6, FALSE)), VLOOKUP(C993, Resultados_Reales!$A$4:$I$107, 5, FALSE)="", VLOOKUP(C993, Resultados_Reales!$A$4:$I$107, 6, FALSE)=""), 0, IF(AND(VLOOKUP(C993, Resultados_Reales!$A$4:$I$107, 5, FALSE)=G993, VLOOKUP(C993, Resultados_Reales!$A$4:$I$107, 6, FALSE)=H993), Configuracion!$B$5, IF(SIGN(VLOOKUP(C993, Resultados_Reales!$A$4:$I$107, 5, FALSE)-VLOOKUP(C993, Resultados_Reales!$A$4:$I$107, 6, FALSE)) = SIGN(G993-H993), Configuracion!$B$4, 0)))</f>
        <v/>
      </c>
      <c r="L993" s="11" t="n"/>
      <c r="M993" s="11" t="n"/>
      <c r="N993" s="11" t="n"/>
      <c r="O993" s="11" t="n"/>
      <c r="P993" s="11" t="n"/>
      <c r="Q993" s="11" t="n"/>
    </row>
    <row r="994">
      <c r="A994" s="8">
        <f>B994&amp;"_"&amp;C994</f>
        <v/>
      </c>
      <c r="B994" s="8" t="n"/>
      <c r="C994" s="8" t="n"/>
      <c r="D994" s="8" t="n"/>
      <c r="E994" s="11" t="n"/>
      <c r="F994" s="11" t="n"/>
      <c r="G994" s="8" t="n"/>
      <c r="H994" s="8" t="n"/>
      <c r="I994" s="8" t="n"/>
      <c r="J994" s="8" t="n"/>
      <c r="K994" s="12">
        <f>IF(OR(ISERROR(VLOOKUP(C994, Resultados_Reales!$A$4:$I$107, 5, FALSE)), ISERROR(VLOOKUP(C994, Resultados_Reales!$A$4:$I$107, 6, FALSE)), VLOOKUP(C994, Resultados_Reales!$A$4:$I$107, 5, FALSE)="", VLOOKUP(C994, Resultados_Reales!$A$4:$I$107, 6, FALSE)=""), 0, IF(AND(VLOOKUP(C994, Resultados_Reales!$A$4:$I$107, 5, FALSE)=G994, VLOOKUP(C994, Resultados_Reales!$A$4:$I$107, 6, FALSE)=H994), Configuracion!$B$5, IF(SIGN(VLOOKUP(C994, Resultados_Reales!$A$4:$I$107, 5, FALSE)-VLOOKUP(C994, Resultados_Reales!$A$4:$I$107, 6, FALSE)) = SIGN(G994-H994), Configuracion!$B$4, 0)))</f>
        <v/>
      </c>
      <c r="L994" s="11" t="n"/>
      <c r="M994" s="11" t="n"/>
      <c r="N994" s="11" t="n"/>
      <c r="O994" s="11" t="n"/>
      <c r="P994" s="11" t="n"/>
      <c r="Q994" s="11" t="n"/>
    </row>
    <row r="995">
      <c r="A995" s="8">
        <f>B995&amp;"_"&amp;C995</f>
        <v/>
      </c>
      <c r="B995" s="8" t="n"/>
      <c r="C995" s="8" t="n"/>
      <c r="D995" s="8" t="n"/>
      <c r="E995" s="11" t="n"/>
      <c r="F995" s="11" t="n"/>
      <c r="G995" s="8" t="n"/>
      <c r="H995" s="8" t="n"/>
      <c r="I995" s="8" t="n"/>
      <c r="J995" s="8" t="n"/>
      <c r="K995" s="12">
        <f>IF(OR(ISERROR(VLOOKUP(C995, Resultados_Reales!$A$4:$I$107, 5, FALSE)), ISERROR(VLOOKUP(C995, Resultados_Reales!$A$4:$I$107, 6, FALSE)), VLOOKUP(C995, Resultados_Reales!$A$4:$I$107, 5, FALSE)="", VLOOKUP(C995, Resultados_Reales!$A$4:$I$107, 6, FALSE)=""), 0, IF(AND(VLOOKUP(C995, Resultados_Reales!$A$4:$I$107, 5, FALSE)=G995, VLOOKUP(C995, Resultados_Reales!$A$4:$I$107, 6, FALSE)=H995), Configuracion!$B$5, IF(SIGN(VLOOKUP(C995, Resultados_Reales!$A$4:$I$107, 5, FALSE)-VLOOKUP(C995, Resultados_Reales!$A$4:$I$107, 6, FALSE)) = SIGN(G995-H995), Configuracion!$B$4, 0)))</f>
        <v/>
      </c>
      <c r="L995" s="11" t="n"/>
      <c r="M995" s="11" t="n"/>
      <c r="N995" s="11" t="n"/>
      <c r="O995" s="11" t="n"/>
      <c r="P995" s="11" t="n"/>
      <c r="Q995" s="11" t="n"/>
    </row>
    <row r="996">
      <c r="A996" s="8">
        <f>B996&amp;"_"&amp;C996</f>
        <v/>
      </c>
      <c r="B996" s="8" t="n"/>
      <c r="C996" s="8" t="n"/>
      <c r="D996" s="8" t="n"/>
      <c r="E996" s="11" t="n"/>
      <c r="F996" s="11" t="n"/>
      <c r="G996" s="8" t="n"/>
      <c r="H996" s="8" t="n"/>
      <c r="I996" s="8" t="n"/>
      <c r="J996" s="8" t="n"/>
      <c r="K996" s="12">
        <f>IF(OR(ISERROR(VLOOKUP(C996, Resultados_Reales!$A$4:$I$107, 5, FALSE)), ISERROR(VLOOKUP(C996, Resultados_Reales!$A$4:$I$107, 6, FALSE)), VLOOKUP(C996, Resultados_Reales!$A$4:$I$107, 5, FALSE)="", VLOOKUP(C996, Resultados_Reales!$A$4:$I$107, 6, FALSE)=""), 0, IF(AND(VLOOKUP(C996, Resultados_Reales!$A$4:$I$107, 5, FALSE)=G996, VLOOKUP(C996, Resultados_Reales!$A$4:$I$107, 6, FALSE)=H996), Configuracion!$B$5, IF(SIGN(VLOOKUP(C996, Resultados_Reales!$A$4:$I$107, 5, FALSE)-VLOOKUP(C996, Resultados_Reales!$A$4:$I$107, 6, FALSE)) = SIGN(G996-H996), Configuracion!$B$4, 0)))</f>
        <v/>
      </c>
      <c r="L996" s="11" t="n"/>
      <c r="M996" s="11" t="n"/>
      <c r="N996" s="11" t="n"/>
      <c r="O996" s="11" t="n"/>
      <c r="P996" s="11" t="n"/>
      <c r="Q996" s="11" t="n"/>
    </row>
    <row r="997">
      <c r="A997" s="8">
        <f>B997&amp;"_"&amp;C997</f>
        <v/>
      </c>
      <c r="B997" s="8" t="n"/>
      <c r="C997" s="8" t="n"/>
      <c r="D997" s="8" t="n"/>
      <c r="E997" s="11" t="n"/>
      <c r="F997" s="11" t="n"/>
      <c r="G997" s="8" t="n"/>
      <c r="H997" s="8" t="n"/>
      <c r="I997" s="8" t="n"/>
      <c r="J997" s="8" t="n"/>
      <c r="K997" s="12">
        <f>IF(OR(ISERROR(VLOOKUP(C997, Resultados_Reales!$A$4:$I$107, 5, FALSE)), ISERROR(VLOOKUP(C997, Resultados_Reales!$A$4:$I$107, 6, FALSE)), VLOOKUP(C997, Resultados_Reales!$A$4:$I$107, 5, FALSE)="", VLOOKUP(C997, Resultados_Reales!$A$4:$I$107, 6, FALSE)=""), 0, IF(AND(VLOOKUP(C997, Resultados_Reales!$A$4:$I$107, 5, FALSE)=G997, VLOOKUP(C997, Resultados_Reales!$A$4:$I$107, 6, FALSE)=H997), Configuracion!$B$5, IF(SIGN(VLOOKUP(C997, Resultados_Reales!$A$4:$I$107, 5, FALSE)-VLOOKUP(C997, Resultados_Reales!$A$4:$I$107, 6, FALSE)) = SIGN(G997-H997), Configuracion!$B$4, 0)))</f>
        <v/>
      </c>
      <c r="L997" s="11" t="n"/>
      <c r="M997" s="11" t="n"/>
      <c r="N997" s="11" t="n"/>
      <c r="O997" s="11" t="n"/>
      <c r="P997" s="11" t="n"/>
      <c r="Q997" s="11" t="n"/>
    </row>
    <row r="998">
      <c r="A998" s="8">
        <f>B998&amp;"_"&amp;C998</f>
        <v/>
      </c>
      <c r="B998" s="8" t="n"/>
      <c r="C998" s="8" t="n"/>
      <c r="D998" s="8" t="n"/>
      <c r="E998" s="11" t="n"/>
      <c r="F998" s="11" t="n"/>
      <c r="G998" s="8" t="n"/>
      <c r="H998" s="8" t="n"/>
      <c r="I998" s="8" t="n"/>
      <c r="J998" s="8" t="n"/>
      <c r="K998" s="12">
        <f>IF(OR(ISERROR(VLOOKUP(C998, Resultados_Reales!$A$4:$I$107, 5, FALSE)), ISERROR(VLOOKUP(C998, Resultados_Reales!$A$4:$I$107, 6, FALSE)), VLOOKUP(C998, Resultados_Reales!$A$4:$I$107, 5, FALSE)="", VLOOKUP(C998, Resultados_Reales!$A$4:$I$107, 6, FALSE)=""), 0, IF(AND(VLOOKUP(C998, Resultados_Reales!$A$4:$I$107, 5, FALSE)=G998, VLOOKUP(C998, Resultados_Reales!$A$4:$I$107, 6, FALSE)=H998), Configuracion!$B$5, IF(SIGN(VLOOKUP(C998, Resultados_Reales!$A$4:$I$107, 5, FALSE)-VLOOKUP(C998, Resultados_Reales!$A$4:$I$107, 6, FALSE)) = SIGN(G998-H998), Configuracion!$B$4, 0)))</f>
        <v/>
      </c>
      <c r="L998" s="11" t="n"/>
      <c r="M998" s="11" t="n"/>
      <c r="N998" s="11" t="n"/>
      <c r="O998" s="11" t="n"/>
      <c r="P998" s="11" t="n"/>
      <c r="Q998" s="11" t="n"/>
    </row>
    <row r="999">
      <c r="A999" s="8">
        <f>B999&amp;"_"&amp;C999</f>
        <v/>
      </c>
      <c r="B999" s="8" t="n"/>
      <c r="C999" s="8" t="n"/>
      <c r="D999" s="8" t="n"/>
      <c r="E999" s="11" t="n"/>
      <c r="F999" s="11" t="n"/>
      <c r="G999" s="8" t="n"/>
      <c r="H999" s="8" t="n"/>
      <c r="I999" s="8" t="n"/>
      <c r="J999" s="8" t="n"/>
      <c r="K999" s="12">
        <f>IF(OR(ISERROR(VLOOKUP(C999, Resultados_Reales!$A$4:$I$107, 5, FALSE)), ISERROR(VLOOKUP(C999, Resultados_Reales!$A$4:$I$107, 6, FALSE)), VLOOKUP(C999, Resultados_Reales!$A$4:$I$107, 5, FALSE)="", VLOOKUP(C999, Resultados_Reales!$A$4:$I$107, 6, FALSE)=""), 0, IF(AND(VLOOKUP(C999, Resultados_Reales!$A$4:$I$107, 5, FALSE)=G999, VLOOKUP(C999, Resultados_Reales!$A$4:$I$107, 6, FALSE)=H999), Configuracion!$B$5, IF(SIGN(VLOOKUP(C999, Resultados_Reales!$A$4:$I$107, 5, FALSE)-VLOOKUP(C999, Resultados_Reales!$A$4:$I$107, 6, FALSE)) = SIGN(G999-H999), Configuracion!$B$4, 0)))</f>
        <v/>
      </c>
      <c r="L999" s="11" t="n"/>
      <c r="M999" s="11" t="n"/>
      <c r="N999" s="11" t="n"/>
      <c r="O999" s="11" t="n"/>
      <c r="P999" s="11" t="n"/>
      <c r="Q999" s="11" t="n"/>
    </row>
    <row r="1000">
      <c r="A1000" s="8">
        <f>B1000&amp;"_"&amp;C1000</f>
        <v/>
      </c>
      <c r="B1000" s="8" t="n"/>
      <c r="C1000" s="8" t="n"/>
      <c r="D1000" s="8" t="n"/>
      <c r="E1000" s="11" t="n"/>
      <c r="F1000" s="11" t="n"/>
      <c r="G1000" s="8" t="n"/>
      <c r="H1000" s="8" t="n"/>
      <c r="I1000" s="8" t="n"/>
      <c r="J1000" s="8" t="n"/>
      <c r="K1000" s="12">
        <f>IF(OR(ISERROR(VLOOKUP(C1000, Resultados_Reales!$A$4:$I$107, 5, FALSE)), ISERROR(VLOOKUP(C1000, Resultados_Reales!$A$4:$I$107, 6, FALSE)), VLOOKUP(C1000, Resultados_Reales!$A$4:$I$107, 5, FALSE)="", VLOOKUP(C1000, Resultados_Reales!$A$4:$I$107, 6, FALSE)=""), 0, IF(AND(VLOOKUP(C1000, Resultados_Reales!$A$4:$I$107, 5, FALSE)=G1000, VLOOKUP(C1000, Resultados_Reales!$A$4:$I$107, 6, FALSE)=H1000), Configuracion!$B$5, IF(SIGN(VLOOKUP(C1000, Resultados_Reales!$A$4:$I$107, 5, FALSE)-VLOOKUP(C1000, Resultados_Reales!$A$4:$I$107, 6, FALSE)) = SIGN(G1000-H1000), Configuracion!$B$4, 0)))</f>
        <v/>
      </c>
      <c r="L1000" s="11" t="n"/>
      <c r="M1000" s="11" t="n"/>
      <c r="N1000" s="11" t="n"/>
      <c r="O1000" s="11" t="n"/>
      <c r="P1000" s="11" t="n"/>
      <c r="Q1000" s="11" t="n"/>
    </row>
    <row r="1001">
      <c r="A1001" s="8">
        <f>B1001&amp;"_"&amp;C1001</f>
        <v/>
      </c>
      <c r="B1001" s="8" t="n"/>
      <c r="C1001" s="8" t="n"/>
      <c r="D1001" s="8" t="n"/>
      <c r="E1001" s="11" t="n"/>
      <c r="F1001" s="11" t="n"/>
      <c r="G1001" s="8" t="n"/>
      <c r="H1001" s="8" t="n"/>
      <c r="I1001" s="8" t="n"/>
      <c r="J1001" s="8" t="n"/>
      <c r="K1001" s="12">
        <f>IF(OR(ISERROR(VLOOKUP(C1001, Resultados_Reales!$A$4:$I$107, 5, FALSE)), ISERROR(VLOOKUP(C1001, Resultados_Reales!$A$4:$I$107, 6, FALSE)), VLOOKUP(C1001, Resultados_Reales!$A$4:$I$107, 5, FALSE)="", VLOOKUP(C1001, Resultados_Reales!$A$4:$I$107, 6, FALSE)=""), 0, IF(AND(VLOOKUP(C1001, Resultados_Reales!$A$4:$I$107, 5, FALSE)=G1001, VLOOKUP(C1001, Resultados_Reales!$A$4:$I$107, 6, FALSE)=H1001), Configuracion!$B$5, IF(SIGN(VLOOKUP(C1001, Resultados_Reales!$A$4:$I$107, 5, FALSE)-VLOOKUP(C1001, Resultados_Reales!$A$4:$I$107, 6, FALSE)) = SIGN(G1001-H1001), Configuracion!$B$4, 0)))</f>
        <v/>
      </c>
      <c r="L1001" s="11" t="n"/>
      <c r="M1001" s="11" t="n"/>
      <c r="N1001" s="11" t="n"/>
      <c r="O1001" s="11" t="n"/>
      <c r="P1001" s="11" t="n"/>
      <c r="Q1001" s="11" t="n"/>
    </row>
    <row r="1002">
      <c r="A1002" s="8">
        <f>B1002&amp;"_"&amp;C1002</f>
        <v/>
      </c>
      <c r="B1002" s="8" t="n"/>
      <c r="C1002" s="8" t="n"/>
      <c r="D1002" s="8" t="n"/>
      <c r="E1002" s="11" t="n"/>
      <c r="F1002" s="11" t="n"/>
      <c r="G1002" s="8" t="n"/>
      <c r="H1002" s="8" t="n"/>
      <c r="I1002" s="8" t="n"/>
      <c r="J1002" s="8" t="n"/>
      <c r="K1002" s="12">
        <f>IF(OR(ISERROR(VLOOKUP(C1002, Resultados_Reales!$A$4:$I$107, 5, FALSE)), ISERROR(VLOOKUP(C1002, Resultados_Reales!$A$4:$I$107, 6, FALSE)), VLOOKUP(C1002, Resultados_Reales!$A$4:$I$107, 5, FALSE)="", VLOOKUP(C1002, Resultados_Reales!$A$4:$I$107, 6, FALSE)=""), 0, IF(AND(VLOOKUP(C1002, Resultados_Reales!$A$4:$I$107, 5, FALSE)=G1002, VLOOKUP(C1002, Resultados_Reales!$A$4:$I$107, 6, FALSE)=H1002), Configuracion!$B$5, IF(SIGN(VLOOKUP(C1002, Resultados_Reales!$A$4:$I$107, 5, FALSE)-VLOOKUP(C1002, Resultados_Reales!$A$4:$I$107, 6, FALSE)) = SIGN(G1002-H1002), Configuracion!$B$4, 0)))</f>
        <v/>
      </c>
      <c r="L1002" s="11" t="n"/>
      <c r="M1002" s="11" t="n"/>
      <c r="N1002" s="11" t="n"/>
      <c r="O1002" s="11" t="n"/>
      <c r="P1002" s="11" t="n"/>
      <c r="Q1002" s="11" t="n"/>
    </row>
    <row r="1003">
      <c r="A1003" s="8">
        <f>B1003&amp;"_"&amp;C1003</f>
        <v/>
      </c>
      <c r="B1003" s="8" t="n"/>
      <c r="C1003" s="8" t="n"/>
      <c r="D1003" s="8" t="n"/>
      <c r="E1003" s="11" t="n"/>
      <c r="F1003" s="11" t="n"/>
      <c r="G1003" s="8" t="n"/>
      <c r="H1003" s="8" t="n"/>
      <c r="I1003" s="8" t="n"/>
      <c r="J1003" s="8" t="n"/>
      <c r="K1003" s="12">
        <f>IF(OR(ISERROR(VLOOKUP(C1003, Resultados_Reales!$A$4:$I$107, 5, FALSE)), ISERROR(VLOOKUP(C1003, Resultados_Reales!$A$4:$I$107, 6, FALSE)), VLOOKUP(C1003, Resultados_Reales!$A$4:$I$107, 5, FALSE)="", VLOOKUP(C1003, Resultados_Reales!$A$4:$I$107, 6, FALSE)=""), 0, IF(AND(VLOOKUP(C1003, Resultados_Reales!$A$4:$I$107, 5, FALSE)=G1003, VLOOKUP(C1003, Resultados_Reales!$A$4:$I$107, 6, FALSE)=H1003), Configuracion!$B$5, IF(SIGN(VLOOKUP(C1003, Resultados_Reales!$A$4:$I$107, 5, FALSE)-VLOOKUP(C1003, Resultados_Reales!$A$4:$I$107, 6, FALSE)) = SIGN(G1003-H1003), Configuracion!$B$4, 0)))</f>
        <v/>
      </c>
      <c r="L1003" s="11" t="n"/>
      <c r="M1003" s="11" t="n"/>
      <c r="N1003" s="11" t="n"/>
      <c r="O1003" s="11" t="n"/>
      <c r="P1003" s="11" t="n"/>
      <c r="Q1003" s="11" t="n"/>
    </row>
    <row r="1004">
      <c r="A1004" s="8">
        <f>B1004&amp;"_"&amp;C1004</f>
        <v/>
      </c>
      <c r="B1004" s="8" t="n"/>
      <c r="C1004" s="8" t="n"/>
      <c r="D1004" s="8" t="n"/>
      <c r="E1004" s="11" t="n"/>
      <c r="F1004" s="11" t="n"/>
      <c r="G1004" s="8" t="n"/>
      <c r="H1004" s="8" t="n"/>
      <c r="I1004" s="8" t="n"/>
      <c r="J1004" s="8" t="n"/>
      <c r="K1004" s="12">
        <f>IF(OR(ISERROR(VLOOKUP(C1004, Resultados_Reales!$A$4:$I$107, 5, FALSE)), ISERROR(VLOOKUP(C1004, Resultados_Reales!$A$4:$I$107, 6, FALSE)), VLOOKUP(C1004, Resultados_Reales!$A$4:$I$107, 5, FALSE)="", VLOOKUP(C1004, Resultados_Reales!$A$4:$I$107, 6, FALSE)=""), 0, IF(AND(VLOOKUP(C1004, Resultados_Reales!$A$4:$I$107, 5, FALSE)=G1004, VLOOKUP(C1004, Resultados_Reales!$A$4:$I$107, 6, FALSE)=H1004), Configuracion!$B$5, IF(SIGN(VLOOKUP(C1004, Resultados_Reales!$A$4:$I$107, 5, FALSE)-VLOOKUP(C1004, Resultados_Reales!$A$4:$I$107, 6, FALSE)) = SIGN(G1004-H1004), Configuracion!$B$4, 0)))</f>
        <v/>
      </c>
      <c r="L1004" s="11" t="n"/>
      <c r="M1004" s="11" t="n"/>
      <c r="N1004" s="11" t="n"/>
      <c r="O1004" s="11" t="n"/>
      <c r="P1004" s="11" t="n"/>
      <c r="Q1004" s="11" t="n"/>
    </row>
    <row r="1005">
      <c r="A1005" s="8">
        <f>B1005&amp;"_"&amp;C1005</f>
        <v/>
      </c>
      <c r="B1005" s="8" t="n"/>
      <c r="C1005" s="8" t="n"/>
      <c r="D1005" s="8" t="n"/>
      <c r="E1005" s="11" t="n"/>
      <c r="F1005" s="11" t="n"/>
      <c r="G1005" s="8" t="n"/>
      <c r="H1005" s="8" t="n"/>
      <c r="I1005" s="8" t="n"/>
      <c r="J1005" s="8" t="n"/>
      <c r="K1005" s="12">
        <f>IF(OR(ISERROR(VLOOKUP(C1005, Resultados_Reales!$A$4:$I$107, 5, FALSE)), ISERROR(VLOOKUP(C1005, Resultados_Reales!$A$4:$I$107, 6, FALSE)), VLOOKUP(C1005, Resultados_Reales!$A$4:$I$107, 5, FALSE)="", VLOOKUP(C1005, Resultados_Reales!$A$4:$I$107, 6, FALSE)=""), 0, IF(AND(VLOOKUP(C1005, Resultados_Reales!$A$4:$I$107, 5, FALSE)=G1005, VLOOKUP(C1005, Resultados_Reales!$A$4:$I$107, 6, FALSE)=H1005), Configuracion!$B$5, IF(SIGN(VLOOKUP(C1005, Resultados_Reales!$A$4:$I$107, 5, FALSE)-VLOOKUP(C1005, Resultados_Reales!$A$4:$I$107, 6, FALSE)) = SIGN(G1005-H1005), Configuracion!$B$4, 0)))</f>
        <v/>
      </c>
      <c r="L1005" s="11" t="n"/>
      <c r="M1005" s="11" t="n"/>
      <c r="N1005" s="11" t="n"/>
      <c r="O1005" s="11" t="n"/>
      <c r="P1005" s="11" t="n"/>
      <c r="Q1005" s="11" t="n"/>
    </row>
    <row r="1006">
      <c r="A1006" s="8">
        <f>B1006&amp;"_"&amp;C1006</f>
        <v/>
      </c>
      <c r="B1006" s="8" t="n"/>
      <c r="C1006" s="8" t="n"/>
      <c r="D1006" s="8" t="n"/>
      <c r="E1006" s="11" t="n"/>
      <c r="F1006" s="11" t="n"/>
      <c r="G1006" s="8" t="n"/>
      <c r="H1006" s="8" t="n"/>
      <c r="I1006" s="8" t="n"/>
      <c r="J1006" s="8" t="n"/>
      <c r="K1006" s="12">
        <f>IF(OR(ISERROR(VLOOKUP(C1006, Resultados_Reales!$A$4:$I$107, 5, FALSE)), ISERROR(VLOOKUP(C1006, Resultados_Reales!$A$4:$I$107, 6, FALSE)), VLOOKUP(C1006, Resultados_Reales!$A$4:$I$107, 5, FALSE)="", VLOOKUP(C1006, Resultados_Reales!$A$4:$I$107, 6, FALSE)=""), 0, IF(AND(VLOOKUP(C1006, Resultados_Reales!$A$4:$I$107, 5, FALSE)=G1006, VLOOKUP(C1006, Resultados_Reales!$A$4:$I$107, 6, FALSE)=H1006), Configuracion!$B$5, IF(SIGN(VLOOKUP(C1006, Resultados_Reales!$A$4:$I$107, 5, FALSE)-VLOOKUP(C1006, Resultados_Reales!$A$4:$I$107, 6, FALSE)) = SIGN(G1006-H1006), Configuracion!$B$4, 0)))</f>
        <v/>
      </c>
      <c r="L1006" s="11" t="n"/>
      <c r="M1006" s="11" t="n"/>
      <c r="N1006" s="11" t="n"/>
      <c r="O1006" s="11" t="n"/>
      <c r="P1006" s="11" t="n"/>
      <c r="Q1006" s="11" t="n"/>
    </row>
    <row r="1007">
      <c r="A1007" s="8">
        <f>B1007&amp;"_"&amp;C1007</f>
        <v/>
      </c>
      <c r="B1007" s="8" t="n"/>
      <c r="C1007" s="8" t="n"/>
      <c r="D1007" s="8" t="n"/>
      <c r="E1007" s="11" t="n"/>
      <c r="F1007" s="11" t="n"/>
      <c r="G1007" s="8" t="n"/>
      <c r="H1007" s="8" t="n"/>
      <c r="I1007" s="8" t="n"/>
      <c r="J1007" s="8" t="n"/>
      <c r="K1007" s="12">
        <f>IF(OR(ISERROR(VLOOKUP(C1007, Resultados_Reales!$A$4:$I$107, 5, FALSE)), ISERROR(VLOOKUP(C1007, Resultados_Reales!$A$4:$I$107, 6, FALSE)), VLOOKUP(C1007, Resultados_Reales!$A$4:$I$107, 5, FALSE)="", VLOOKUP(C1007, Resultados_Reales!$A$4:$I$107, 6, FALSE)=""), 0, IF(AND(VLOOKUP(C1007, Resultados_Reales!$A$4:$I$107, 5, FALSE)=G1007, VLOOKUP(C1007, Resultados_Reales!$A$4:$I$107, 6, FALSE)=H1007), Configuracion!$B$5, IF(SIGN(VLOOKUP(C1007, Resultados_Reales!$A$4:$I$107, 5, FALSE)-VLOOKUP(C1007, Resultados_Reales!$A$4:$I$107, 6, FALSE)) = SIGN(G1007-H1007), Configuracion!$B$4, 0)))</f>
        <v/>
      </c>
      <c r="L1007" s="11" t="n"/>
      <c r="M1007" s="11" t="n"/>
      <c r="N1007" s="11" t="n"/>
      <c r="O1007" s="11" t="n"/>
      <c r="P1007" s="11" t="n"/>
      <c r="Q1007" s="11" t="n"/>
    </row>
    <row r="1008">
      <c r="A1008" s="8">
        <f>B1008&amp;"_"&amp;C1008</f>
        <v/>
      </c>
      <c r="B1008" s="8" t="n"/>
      <c r="C1008" s="8" t="n"/>
      <c r="D1008" s="8" t="n"/>
      <c r="E1008" s="11" t="n"/>
      <c r="F1008" s="11" t="n"/>
      <c r="G1008" s="8" t="n"/>
      <c r="H1008" s="8" t="n"/>
      <c r="I1008" s="8" t="n"/>
      <c r="J1008" s="8" t="n"/>
      <c r="K1008" s="12">
        <f>IF(OR(ISERROR(VLOOKUP(C1008, Resultados_Reales!$A$4:$I$107, 5, FALSE)), ISERROR(VLOOKUP(C1008, Resultados_Reales!$A$4:$I$107, 6, FALSE)), VLOOKUP(C1008, Resultados_Reales!$A$4:$I$107, 5, FALSE)="", VLOOKUP(C1008, Resultados_Reales!$A$4:$I$107, 6, FALSE)=""), 0, IF(AND(VLOOKUP(C1008, Resultados_Reales!$A$4:$I$107, 5, FALSE)=G1008, VLOOKUP(C1008, Resultados_Reales!$A$4:$I$107, 6, FALSE)=H1008), Configuracion!$B$5, IF(SIGN(VLOOKUP(C1008, Resultados_Reales!$A$4:$I$107, 5, FALSE)-VLOOKUP(C1008, Resultados_Reales!$A$4:$I$107, 6, FALSE)) = SIGN(G1008-H1008), Configuracion!$B$4, 0)))</f>
        <v/>
      </c>
      <c r="L1008" s="11" t="n"/>
      <c r="M1008" s="11" t="n"/>
      <c r="N1008" s="11" t="n"/>
      <c r="O1008" s="11" t="n"/>
      <c r="P1008" s="11" t="n"/>
      <c r="Q1008" s="11" t="n"/>
    </row>
    <row r="1009">
      <c r="A1009" s="8">
        <f>B1009&amp;"_"&amp;C1009</f>
        <v/>
      </c>
      <c r="B1009" s="8" t="n"/>
      <c r="C1009" s="8" t="n"/>
      <c r="D1009" s="8" t="n"/>
      <c r="E1009" s="11" t="n"/>
      <c r="F1009" s="11" t="n"/>
      <c r="G1009" s="8" t="n"/>
      <c r="H1009" s="8" t="n"/>
      <c r="I1009" s="8" t="n"/>
      <c r="J1009" s="8" t="n"/>
      <c r="K1009" s="12">
        <f>IF(OR(ISERROR(VLOOKUP(C1009, Resultados_Reales!$A$4:$I$107, 5, FALSE)), ISERROR(VLOOKUP(C1009, Resultados_Reales!$A$4:$I$107, 6, FALSE)), VLOOKUP(C1009, Resultados_Reales!$A$4:$I$107, 5, FALSE)="", VLOOKUP(C1009, Resultados_Reales!$A$4:$I$107, 6, FALSE)=""), 0, IF(AND(VLOOKUP(C1009, Resultados_Reales!$A$4:$I$107, 5, FALSE)=G1009, VLOOKUP(C1009, Resultados_Reales!$A$4:$I$107, 6, FALSE)=H1009), Configuracion!$B$5, IF(SIGN(VLOOKUP(C1009, Resultados_Reales!$A$4:$I$107, 5, FALSE)-VLOOKUP(C1009, Resultados_Reales!$A$4:$I$107, 6, FALSE)) = SIGN(G1009-H1009), Configuracion!$B$4, 0)))</f>
        <v/>
      </c>
      <c r="L1009" s="11" t="n"/>
      <c r="M1009" s="11" t="n"/>
      <c r="N1009" s="11" t="n"/>
      <c r="O1009" s="11" t="n"/>
      <c r="P1009" s="11" t="n"/>
      <c r="Q1009" s="11" t="n"/>
    </row>
    <row r="1010">
      <c r="A1010" s="8">
        <f>B1010&amp;"_"&amp;C1010</f>
        <v/>
      </c>
      <c r="B1010" s="8" t="n"/>
      <c r="C1010" s="8" t="n"/>
      <c r="D1010" s="8" t="n"/>
      <c r="E1010" s="11" t="n"/>
      <c r="F1010" s="11" t="n"/>
      <c r="G1010" s="8" t="n"/>
      <c r="H1010" s="8" t="n"/>
      <c r="I1010" s="8" t="n"/>
      <c r="J1010" s="8" t="n"/>
      <c r="K1010" s="12">
        <f>IF(OR(ISERROR(VLOOKUP(C1010, Resultados_Reales!$A$4:$I$107, 5, FALSE)), ISERROR(VLOOKUP(C1010, Resultados_Reales!$A$4:$I$107, 6, FALSE)), VLOOKUP(C1010, Resultados_Reales!$A$4:$I$107, 5, FALSE)="", VLOOKUP(C1010, Resultados_Reales!$A$4:$I$107, 6, FALSE)=""), 0, IF(AND(VLOOKUP(C1010, Resultados_Reales!$A$4:$I$107, 5, FALSE)=G1010, VLOOKUP(C1010, Resultados_Reales!$A$4:$I$107, 6, FALSE)=H1010), Configuracion!$B$5, IF(SIGN(VLOOKUP(C1010, Resultados_Reales!$A$4:$I$107, 5, FALSE)-VLOOKUP(C1010, Resultados_Reales!$A$4:$I$107, 6, FALSE)) = SIGN(G1010-H1010), Configuracion!$B$4, 0)))</f>
        <v/>
      </c>
      <c r="L1010" s="11" t="n"/>
      <c r="M1010" s="11" t="n"/>
      <c r="N1010" s="11" t="n"/>
      <c r="O1010" s="11" t="n"/>
      <c r="P1010" s="11" t="n"/>
      <c r="Q1010" s="11" t="n"/>
    </row>
    <row r="1011">
      <c r="A1011" s="8">
        <f>B1011&amp;"_"&amp;C1011</f>
        <v/>
      </c>
      <c r="B1011" s="8" t="n"/>
      <c r="C1011" s="8" t="n"/>
      <c r="D1011" s="8" t="n"/>
      <c r="E1011" s="11" t="n"/>
      <c r="F1011" s="11" t="n"/>
      <c r="G1011" s="8" t="n"/>
      <c r="H1011" s="8" t="n"/>
      <c r="I1011" s="8" t="n"/>
      <c r="J1011" s="8" t="n"/>
      <c r="K1011" s="12">
        <f>IF(OR(ISERROR(VLOOKUP(C1011, Resultados_Reales!$A$4:$I$107, 5, FALSE)), ISERROR(VLOOKUP(C1011, Resultados_Reales!$A$4:$I$107, 6, FALSE)), VLOOKUP(C1011, Resultados_Reales!$A$4:$I$107, 5, FALSE)="", VLOOKUP(C1011, Resultados_Reales!$A$4:$I$107, 6, FALSE)=""), 0, IF(AND(VLOOKUP(C1011, Resultados_Reales!$A$4:$I$107, 5, FALSE)=G1011, VLOOKUP(C1011, Resultados_Reales!$A$4:$I$107, 6, FALSE)=H1011), Configuracion!$B$5, IF(SIGN(VLOOKUP(C1011, Resultados_Reales!$A$4:$I$107, 5, FALSE)-VLOOKUP(C1011, Resultados_Reales!$A$4:$I$107, 6, FALSE)) = SIGN(G1011-H1011), Configuracion!$B$4, 0)))</f>
        <v/>
      </c>
      <c r="L1011" s="11" t="n"/>
      <c r="M1011" s="11" t="n"/>
      <c r="N1011" s="11" t="n"/>
      <c r="O1011" s="11" t="n"/>
      <c r="P1011" s="11" t="n"/>
      <c r="Q1011" s="11" t="n"/>
    </row>
    <row r="1012">
      <c r="A1012" s="8">
        <f>B1012&amp;"_"&amp;C1012</f>
        <v/>
      </c>
      <c r="B1012" s="8" t="n"/>
      <c r="C1012" s="8" t="n"/>
      <c r="D1012" s="8" t="n"/>
      <c r="E1012" s="11" t="n"/>
      <c r="F1012" s="11" t="n"/>
      <c r="G1012" s="8" t="n"/>
      <c r="H1012" s="8" t="n"/>
      <c r="I1012" s="8" t="n"/>
      <c r="J1012" s="8" t="n"/>
      <c r="K1012" s="12">
        <f>IF(OR(ISERROR(VLOOKUP(C1012, Resultados_Reales!$A$4:$I$107, 5, FALSE)), ISERROR(VLOOKUP(C1012, Resultados_Reales!$A$4:$I$107, 6, FALSE)), VLOOKUP(C1012, Resultados_Reales!$A$4:$I$107, 5, FALSE)="", VLOOKUP(C1012, Resultados_Reales!$A$4:$I$107, 6, FALSE)=""), 0, IF(AND(VLOOKUP(C1012, Resultados_Reales!$A$4:$I$107, 5, FALSE)=G1012, VLOOKUP(C1012, Resultados_Reales!$A$4:$I$107, 6, FALSE)=H1012), Configuracion!$B$5, IF(SIGN(VLOOKUP(C1012, Resultados_Reales!$A$4:$I$107, 5, FALSE)-VLOOKUP(C1012, Resultados_Reales!$A$4:$I$107, 6, FALSE)) = SIGN(G1012-H1012), Configuracion!$B$4, 0)))</f>
        <v/>
      </c>
      <c r="L1012" s="11" t="n"/>
      <c r="M1012" s="11" t="n"/>
      <c r="N1012" s="11" t="n"/>
      <c r="O1012" s="11" t="n"/>
      <c r="P1012" s="11" t="n"/>
      <c r="Q1012" s="11" t="n"/>
    </row>
    <row r="1013">
      <c r="A1013" s="8">
        <f>B1013&amp;"_"&amp;C1013</f>
        <v/>
      </c>
      <c r="B1013" s="8" t="n"/>
      <c r="C1013" s="8" t="n"/>
      <c r="D1013" s="8" t="n"/>
      <c r="E1013" s="11" t="n"/>
      <c r="F1013" s="11" t="n"/>
      <c r="G1013" s="8" t="n"/>
      <c r="H1013" s="8" t="n"/>
      <c r="I1013" s="8" t="n"/>
      <c r="J1013" s="8" t="n"/>
      <c r="K1013" s="12">
        <f>IF(OR(ISERROR(VLOOKUP(C1013, Resultados_Reales!$A$4:$I$107, 5, FALSE)), ISERROR(VLOOKUP(C1013, Resultados_Reales!$A$4:$I$107, 6, FALSE)), VLOOKUP(C1013, Resultados_Reales!$A$4:$I$107, 5, FALSE)="", VLOOKUP(C1013, Resultados_Reales!$A$4:$I$107, 6, FALSE)=""), 0, IF(AND(VLOOKUP(C1013, Resultados_Reales!$A$4:$I$107, 5, FALSE)=G1013, VLOOKUP(C1013, Resultados_Reales!$A$4:$I$107, 6, FALSE)=H1013), Configuracion!$B$5, IF(SIGN(VLOOKUP(C1013, Resultados_Reales!$A$4:$I$107, 5, FALSE)-VLOOKUP(C1013, Resultados_Reales!$A$4:$I$107, 6, FALSE)) = SIGN(G1013-H1013), Configuracion!$B$4, 0)))</f>
        <v/>
      </c>
      <c r="L1013" s="11" t="n"/>
      <c r="M1013" s="11" t="n"/>
      <c r="N1013" s="11" t="n"/>
      <c r="O1013" s="11" t="n"/>
      <c r="P1013" s="11" t="n"/>
      <c r="Q1013" s="11" t="n"/>
    </row>
    <row r="1014">
      <c r="A1014" s="8">
        <f>B1014&amp;"_"&amp;C1014</f>
        <v/>
      </c>
      <c r="B1014" s="8" t="n"/>
      <c r="C1014" s="8" t="n"/>
      <c r="D1014" s="8" t="n"/>
      <c r="E1014" s="11" t="n"/>
      <c r="F1014" s="11" t="n"/>
      <c r="G1014" s="8" t="n"/>
      <c r="H1014" s="8" t="n"/>
      <c r="I1014" s="8" t="n"/>
      <c r="J1014" s="8" t="n"/>
      <c r="K1014" s="12">
        <f>IF(OR(ISERROR(VLOOKUP(C1014, Resultados_Reales!$A$4:$I$107, 5, FALSE)), ISERROR(VLOOKUP(C1014, Resultados_Reales!$A$4:$I$107, 6, FALSE)), VLOOKUP(C1014, Resultados_Reales!$A$4:$I$107, 5, FALSE)="", VLOOKUP(C1014, Resultados_Reales!$A$4:$I$107, 6, FALSE)=""), 0, IF(AND(VLOOKUP(C1014, Resultados_Reales!$A$4:$I$107, 5, FALSE)=G1014, VLOOKUP(C1014, Resultados_Reales!$A$4:$I$107, 6, FALSE)=H1014), Configuracion!$B$5, IF(SIGN(VLOOKUP(C1014, Resultados_Reales!$A$4:$I$107, 5, FALSE)-VLOOKUP(C1014, Resultados_Reales!$A$4:$I$107, 6, FALSE)) = SIGN(G1014-H1014), Configuracion!$B$4, 0)))</f>
        <v/>
      </c>
      <c r="L1014" s="11" t="n"/>
      <c r="M1014" s="11" t="n"/>
      <c r="N1014" s="11" t="n"/>
      <c r="O1014" s="11" t="n"/>
      <c r="P1014" s="11" t="n"/>
      <c r="Q1014" s="11" t="n"/>
    </row>
    <row r="1015">
      <c r="A1015" s="8">
        <f>B1015&amp;"_"&amp;C1015</f>
        <v/>
      </c>
      <c r="B1015" s="8" t="n"/>
      <c r="C1015" s="8" t="n"/>
      <c r="D1015" s="8" t="n"/>
      <c r="E1015" s="11" t="n"/>
      <c r="F1015" s="11" t="n"/>
      <c r="G1015" s="8" t="n"/>
      <c r="H1015" s="8" t="n"/>
      <c r="I1015" s="8" t="n"/>
      <c r="J1015" s="8" t="n"/>
      <c r="K1015" s="12">
        <f>IF(OR(ISERROR(VLOOKUP(C1015, Resultados_Reales!$A$4:$I$107, 5, FALSE)), ISERROR(VLOOKUP(C1015, Resultados_Reales!$A$4:$I$107, 6, FALSE)), VLOOKUP(C1015, Resultados_Reales!$A$4:$I$107, 5, FALSE)="", VLOOKUP(C1015, Resultados_Reales!$A$4:$I$107, 6, FALSE)=""), 0, IF(AND(VLOOKUP(C1015, Resultados_Reales!$A$4:$I$107, 5, FALSE)=G1015, VLOOKUP(C1015, Resultados_Reales!$A$4:$I$107, 6, FALSE)=H1015), Configuracion!$B$5, IF(SIGN(VLOOKUP(C1015, Resultados_Reales!$A$4:$I$107, 5, FALSE)-VLOOKUP(C1015, Resultados_Reales!$A$4:$I$107, 6, FALSE)) = SIGN(G1015-H1015), Configuracion!$B$4, 0)))</f>
        <v/>
      </c>
      <c r="L1015" s="11" t="n"/>
      <c r="M1015" s="11" t="n"/>
      <c r="N1015" s="11" t="n"/>
      <c r="O1015" s="11" t="n"/>
      <c r="P1015" s="11" t="n"/>
      <c r="Q1015" s="11" t="n"/>
    </row>
    <row r="1016">
      <c r="A1016" s="8">
        <f>B1016&amp;"_"&amp;C1016</f>
        <v/>
      </c>
      <c r="B1016" s="8" t="n"/>
      <c r="C1016" s="8" t="n"/>
      <c r="D1016" s="8" t="n"/>
      <c r="E1016" s="11" t="n"/>
      <c r="F1016" s="11" t="n"/>
      <c r="G1016" s="8" t="n"/>
      <c r="H1016" s="8" t="n"/>
      <c r="I1016" s="8" t="n"/>
      <c r="J1016" s="8" t="n"/>
      <c r="K1016" s="12">
        <f>IF(OR(ISERROR(VLOOKUP(C1016, Resultados_Reales!$A$4:$I$107, 5, FALSE)), ISERROR(VLOOKUP(C1016, Resultados_Reales!$A$4:$I$107, 6, FALSE)), VLOOKUP(C1016, Resultados_Reales!$A$4:$I$107, 5, FALSE)="", VLOOKUP(C1016, Resultados_Reales!$A$4:$I$107, 6, FALSE)=""), 0, IF(AND(VLOOKUP(C1016, Resultados_Reales!$A$4:$I$107, 5, FALSE)=G1016, VLOOKUP(C1016, Resultados_Reales!$A$4:$I$107, 6, FALSE)=H1016), Configuracion!$B$5, IF(SIGN(VLOOKUP(C1016, Resultados_Reales!$A$4:$I$107, 5, FALSE)-VLOOKUP(C1016, Resultados_Reales!$A$4:$I$107, 6, FALSE)) = SIGN(G1016-H1016), Configuracion!$B$4, 0)))</f>
        <v/>
      </c>
      <c r="L1016" s="11" t="n"/>
      <c r="M1016" s="11" t="n"/>
      <c r="N1016" s="11" t="n"/>
      <c r="O1016" s="11" t="n"/>
      <c r="P1016" s="11" t="n"/>
      <c r="Q1016" s="11" t="n"/>
    </row>
    <row r="1017">
      <c r="A1017" s="8">
        <f>B1017&amp;"_"&amp;C1017</f>
        <v/>
      </c>
      <c r="B1017" s="8" t="n"/>
      <c r="C1017" s="8" t="n"/>
      <c r="D1017" s="8" t="n"/>
      <c r="E1017" s="11" t="n"/>
      <c r="F1017" s="11" t="n"/>
      <c r="G1017" s="8" t="n"/>
      <c r="H1017" s="8" t="n"/>
      <c r="I1017" s="8" t="n"/>
      <c r="J1017" s="8" t="n"/>
      <c r="K1017" s="12">
        <f>IF(OR(ISERROR(VLOOKUP(C1017, Resultados_Reales!$A$4:$I$107, 5, FALSE)), ISERROR(VLOOKUP(C1017, Resultados_Reales!$A$4:$I$107, 6, FALSE)), VLOOKUP(C1017, Resultados_Reales!$A$4:$I$107, 5, FALSE)="", VLOOKUP(C1017, Resultados_Reales!$A$4:$I$107, 6, FALSE)=""), 0, IF(AND(VLOOKUP(C1017, Resultados_Reales!$A$4:$I$107, 5, FALSE)=G1017, VLOOKUP(C1017, Resultados_Reales!$A$4:$I$107, 6, FALSE)=H1017), Configuracion!$B$5, IF(SIGN(VLOOKUP(C1017, Resultados_Reales!$A$4:$I$107, 5, FALSE)-VLOOKUP(C1017, Resultados_Reales!$A$4:$I$107, 6, FALSE)) = SIGN(G1017-H1017), Configuracion!$B$4, 0)))</f>
        <v/>
      </c>
      <c r="L1017" s="11" t="n"/>
      <c r="M1017" s="11" t="n"/>
      <c r="N1017" s="11" t="n"/>
      <c r="O1017" s="11" t="n"/>
      <c r="P1017" s="11" t="n"/>
      <c r="Q1017" s="11" t="n"/>
    </row>
    <row r="1018">
      <c r="A1018" s="8">
        <f>B1018&amp;"_"&amp;C1018</f>
        <v/>
      </c>
      <c r="B1018" s="8" t="n"/>
      <c r="C1018" s="8" t="n"/>
      <c r="D1018" s="8" t="n"/>
      <c r="E1018" s="11" t="n"/>
      <c r="F1018" s="11" t="n"/>
      <c r="G1018" s="8" t="n"/>
      <c r="H1018" s="8" t="n"/>
      <c r="I1018" s="8" t="n"/>
      <c r="J1018" s="8" t="n"/>
      <c r="K1018" s="12">
        <f>IF(OR(ISERROR(VLOOKUP(C1018, Resultados_Reales!$A$4:$I$107, 5, FALSE)), ISERROR(VLOOKUP(C1018, Resultados_Reales!$A$4:$I$107, 6, FALSE)), VLOOKUP(C1018, Resultados_Reales!$A$4:$I$107, 5, FALSE)="", VLOOKUP(C1018, Resultados_Reales!$A$4:$I$107, 6, FALSE)=""), 0, IF(AND(VLOOKUP(C1018, Resultados_Reales!$A$4:$I$107, 5, FALSE)=G1018, VLOOKUP(C1018, Resultados_Reales!$A$4:$I$107, 6, FALSE)=H1018), Configuracion!$B$5, IF(SIGN(VLOOKUP(C1018, Resultados_Reales!$A$4:$I$107, 5, FALSE)-VLOOKUP(C1018, Resultados_Reales!$A$4:$I$107, 6, FALSE)) = SIGN(G1018-H1018), Configuracion!$B$4, 0)))</f>
        <v/>
      </c>
      <c r="L1018" s="11" t="n"/>
      <c r="M1018" s="11" t="n"/>
      <c r="N1018" s="11" t="n"/>
      <c r="O1018" s="11" t="n"/>
      <c r="P1018" s="11" t="n"/>
      <c r="Q1018" s="11" t="n"/>
    </row>
    <row r="1019">
      <c r="A1019" s="8">
        <f>B1019&amp;"_"&amp;C1019</f>
        <v/>
      </c>
      <c r="B1019" s="8" t="n"/>
      <c r="C1019" s="8" t="n"/>
      <c r="D1019" s="8" t="n"/>
      <c r="E1019" s="11" t="n"/>
      <c r="F1019" s="11" t="n"/>
      <c r="G1019" s="8" t="n"/>
      <c r="H1019" s="8" t="n"/>
      <c r="I1019" s="8" t="n"/>
      <c r="J1019" s="8" t="n"/>
      <c r="K1019" s="12">
        <f>IF(OR(ISERROR(VLOOKUP(C1019, Resultados_Reales!$A$4:$I$107, 5, FALSE)), ISERROR(VLOOKUP(C1019, Resultados_Reales!$A$4:$I$107, 6, FALSE)), VLOOKUP(C1019, Resultados_Reales!$A$4:$I$107, 5, FALSE)="", VLOOKUP(C1019, Resultados_Reales!$A$4:$I$107, 6, FALSE)=""), 0, IF(AND(VLOOKUP(C1019, Resultados_Reales!$A$4:$I$107, 5, FALSE)=G1019, VLOOKUP(C1019, Resultados_Reales!$A$4:$I$107, 6, FALSE)=H1019), Configuracion!$B$5, IF(SIGN(VLOOKUP(C1019, Resultados_Reales!$A$4:$I$107, 5, FALSE)-VLOOKUP(C1019, Resultados_Reales!$A$4:$I$107, 6, FALSE)) = SIGN(G1019-H1019), Configuracion!$B$4, 0)))</f>
        <v/>
      </c>
      <c r="L1019" s="11" t="n"/>
      <c r="M1019" s="11" t="n"/>
      <c r="N1019" s="11" t="n"/>
      <c r="O1019" s="11" t="n"/>
      <c r="P1019" s="11" t="n"/>
      <c r="Q1019" s="11" t="n"/>
    </row>
    <row r="1020">
      <c r="A1020" s="8">
        <f>B1020&amp;"_"&amp;C1020</f>
        <v/>
      </c>
      <c r="B1020" s="8" t="n"/>
      <c r="C1020" s="8" t="n"/>
      <c r="D1020" s="8" t="n"/>
      <c r="E1020" s="11" t="n"/>
      <c r="F1020" s="11" t="n"/>
      <c r="G1020" s="8" t="n"/>
      <c r="H1020" s="8" t="n"/>
      <c r="I1020" s="8" t="n"/>
      <c r="J1020" s="8" t="n"/>
      <c r="K1020" s="12">
        <f>IF(OR(ISERROR(VLOOKUP(C1020, Resultados_Reales!$A$4:$I$107, 5, FALSE)), ISERROR(VLOOKUP(C1020, Resultados_Reales!$A$4:$I$107, 6, FALSE)), VLOOKUP(C1020, Resultados_Reales!$A$4:$I$107, 5, FALSE)="", VLOOKUP(C1020, Resultados_Reales!$A$4:$I$107, 6, FALSE)=""), 0, IF(AND(VLOOKUP(C1020, Resultados_Reales!$A$4:$I$107, 5, FALSE)=G1020, VLOOKUP(C1020, Resultados_Reales!$A$4:$I$107, 6, FALSE)=H1020), Configuracion!$B$5, IF(SIGN(VLOOKUP(C1020, Resultados_Reales!$A$4:$I$107, 5, FALSE)-VLOOKUP(C1020, Resultados_Reales!$A$4:$I$107, 6, FALSE)) = SIGN(G1020-H1020), Configuracion!$B$4, 0)))</f>
        <v/>
      </c>
      <c r="L1020" s="11" t="n"/>
      <c r="M1020" s="11" t="n"/>
      <c r="N1020" s="11" t="n"/>
      <c r="O1020" s="11" t="n"/>
      <c r="P1020" s="11" t="n"/>
      <c r="Q1020" s="11" t="n"/>
    </row>
    <row r="1021">
      <c r="A1021" s="8">
        <f>B1021&amp;"_"&amp;C1021</f>
        <v/>
      </c>
      <c r="B1021" s="8" t="n"/>
      <c r="C1021" s="8" t="n"/>
      <c r="D1021" s="8" t="n"/>
      <c r="E1021" s="11" t="n"/>
      <c r="F1021" s="11" t="n"/>
      <c r="G1021" s="8" t="n"/>
      <c r="H1021" s="8" t="n"/>
      <c r="I1021" s="8" t="n"/>
      <c r="J1021" s="8" t="n"/>
      <c r="K1021" s="12">
        <f>IF(OR(ISERROR(VLOOKUP(C1021, Resultados_Reales!$A$4:$I$107, 5, FALSE)), ISERROR(VLOOKUP(C1021, Resultados_Reales!$A$4:$I$107, 6, FALSE)), VLOOKUP(C1021, Resultados_Reales!$A$4:$I$107, 5, FALSE)="", VLOOKUP(C1021, Resultados_Reales!$A$4:$I$107, 6, FALSE)=""), 0, IF(AND(VLOOKUP(C1021, Resultados_Reales!$A$4:$I$107, 5, FALSE)=G1021, VLOOKUP(C1021, Resultados_Reales!$A$4:$I$107, 6, FALSE)=H1021), Configuracion!$B$5, IF(SIGN(VLOOKUP(C1021, Resultados_Reales!$A$4:$I$107, 5, FALSE)-VLOOKUP(C1021, Resultados_Reales!$A$4:$I$107, 6, FALSE)) = SIGN(G1021-H1021), Configuracion!$B$4, 0)))</f>
        <v/>
      </c>
      <c r="L1021" s="11" t="n"/>
      <c r="M1021" s="11" t="n"/>
      <c r="N1021" s="11" t="n"/>
      <c r="O1021" s="11" t="n"/>
      <c r="P1021" s="11" t="n"/>
      <c r="Q1021" s="11" t="n"/>
    </row>
    <row r="1022">
      <c r="A1022" s="8">
        <f>B1022&amp;"_"&amp;C1022</f>
        <v/>
      </c>
      <c r="B1022" s="8" t="n"/>
      <c r="C1022" s="8" t="n"/>
      <c r="D1022" s="8" t="n"/>
      <c r="E1022" s="11" t="n"/>
      <c r="F1022" s="11" t="n"/>
      <c r="G1022" s="8" t="n"/>
      <c r="H1022" s="8" t="n"/>
      <c r="I1022" s="8" t="n"/>
      <c r="J1022" s="8" t="n"/>
      <c r="K1022" s="12">
        <f>IF(OR(ISERROR(VLOOKUP(C1022, Resultados_Reales!$A$4:$I$107, 5, FALSE)), ISERROR(VLOOKUP(C1022, Resultados_Reales!$A$4:$I$107, 6, FALSE)), VLOOKUP(C1022, Resultados_Reales!$A$4:$I$107, 5, FALSE)="", VLOOKUP(C1022, Resultados_Reales!$A$4:$I$107, 6, FALSE)=""), 0, IF(AND(VLOOKUP(C1022, Resultados_Reales!$A$4:$I$107, 5, FALSE)=G1022, VLOOKUP(C1022, Resultados_Reales!$A$4:$I$107, 6, FALSE)=H1022), Configuracion!$B$5, IF(SIGN(VLOOKUP(C1022, Resultados_Reales!$A$4:$I$107, 5, FALSE)-VLOOKUP(C1022, Resultados_Reales!$A$4:$I$107, 6, FALSE)) = SIGN(G1022-H1022), Configuracion!$B$4, 0)))</f>
        <v/>
      </c>
      <c r="L1022" s="11" t="n"/>
      <c r="M1022" s="11" t="n"/>
      <c r="N1022" s="11" t="n"/>
      <c r="O1022" s="11" t="n"/>
      <c r="P1022" s="11" t="n"/>
      <c r="Q1022" s="11" t="n"/>
    </row>
    <row r="1023">
      <c r="A1023" s="8">
        <f>B1023&amp;"_"&amp;C1023</f>
        <v/>
      </c>
      <c r="B1023" s="8" t="n"/>
      <c r="C1023" s="8" t="n"/>
      <c r="D1023" s="8" t="n"/>
      <c r="E1023" s="11" t="n"/>
      <c r="F1023" s="11" t="n"/>
      <c r="G1023" s="8" t="n"/>
      <c r="H1023" s="8" t="n"/>
      <c r="I1023" s="8" t="n"/>
      <c r="J1023" s="8" t="n"/>
      <c r="K1023" s="12">
        <f>IF(OR(ISERROR(VLOOKUP(C1023, Resultados_Reales!$A$4:$I$107, 5, FALSE)), ISERROR(VLOOKUP(C1023, Resultados_Reales!$A$4:$I$107, 6, FALSE)), VLOOKUP(C1023, Resultados_Reales!$A$4:$I$107, 5, FALSE)="", VLOOKUP(C1023, Resultados_Reales!$A$4:$I$107, 6, FALSE)=""), 0, IF(AND(VLOOKUP(C1023, Resultados_Reales!$A$4:$I$107, 5, FALSE)=G1023, VLOOKUP(C1023, Resultados_Reales!$A$4:$I$107, 6, FALSE)=H1023), Configuracion!$B$5, IF(SIGN(VLOOKUP(C1023, Resultados_Reales!$A$4:$I$107, 5, FALSE)-VLOOKUP(C1023, Resultados_Reales!$A$4:$I$107, 6, FALSE)) = SIGN(G1023-H1023), Configuracion!$B$4, 0)))</f>
        <v/>
      </c>
      <c r="L1023" s="11" t="n"/>
      <c r="M1023" s="11" t="n"/>
      <c r="N1023" s="11" t="n"/>
      <c r="O1023" s="11" t="n"/>
      <c r="P1023" s="11" t="n"/>
      <c r="Q1023" s="11" t="n"/>
    </row>
    <row r="1024">
      <c r="A1024" s="8">
        <f>B1024&amp;"_"&amp;C1024</f>
        <v/>
      </c>
      <c r="B1024" s="8" t="n"/>
      <c r="C1024" s="8" t="n"/>
      <c r="D1024" s="8" t="n"/>
      <c r="E1024" s="11" t="n"/>
      <c r="F1024" s="11" t="n"/>
      <c r="G1024" s="8" t="n"/>
      <c r="H1024" s="8" t="n"/>
      <c r="I1024" s="8" t="n"/>
      <c r="J1024" s="8" t="n"/>
      <c r="K1024" s="12">
        <f>IF(OR(ISERROR(VLOOKUP(C1024, Resultados_Reales!$A$4:$I$107, 5, FALSE)), ISERROR(VLOOKUP(C1024, Resultados_Reales!$A$4:$I$107, 6, FALSE)), VLOOKUP(C1024, Resultados_Reales!$A$4:$I$107, 5, FALSE)="", VLOOKUP(C1024, Resultados_Reales!$A$4:$I$107, 6, FALSE)=""), 0, IF(AND(VLOOKUP(C1024, Resultados_Reales!$A$4:$I$107, 5, FALSE)=G1024, VLOOKUP(C1024, Resultados_Reales!$A$4:$I$107, 6, FALSE)=H1024), Configuracion!$B$5, IF(SIGN(VLOOKUP(C1024, Resultados_Reales!$A$4:$I$107, 5, FALSE)-VLOOKUP(C1024, Resultados_Reales!$A$4:$I$107, 6, FALSE)) = SIGN(G1024-H1024), Configuracion!$B$4, 0)))</f>
        <v/>
      </c>
      <c r="L1024" s="11" t="n"/>
      <c r="M1024" s="11" t="n"/>
      <c r="N1024" s="11" t="n"/>
      <c r="O1024" s="11" t="n"/>
      <c r="P1024" s="11" t="n"/>
      <c r="Q1024" s="11" t="n"/>
    </row>
    <row r="1025">
      <c r="A1025" s="8">
        <f>B1025&amp;"_"&amp;C1025</f>
        <v/>
      </c>
      <c r="B1025" s="8" t="n"/>
      <c r="C1025" s="8" t="n"/>
      <c r="D1025" s="8" t="n"/>
      <c r="E1025" s="11" t="n"/>
      <c r="F1025" s="11" t="n"/>
      <c r="G1025" s="8" t="n"/>
      <c r="H1025" s="8" t="n"/>
      <c r="I1025" s="8" t="n"/>
      <c r="J1025" s="8" t="n"/>
      <c r="K1025" s="12">
        <f>IF(OR(ISERROR(VLOOKUP(C1025, Resultados_Reales!$A$4:$I$107, 5, FALSE)), ISERROR(VLOOKUP(C1025, Resultados_Reales!$A$4:$I$107, 6, FALSE)), VLOOKUP(C1025, Resultados_Reales!$A$4:$I$107, 5, FALSE)="", VLOOKUP(C1025, Resultados_Reales!$A$4:$I$107, 6, FALSE)=""), 0, IF(AND(VLOOKUP(C1025, Resultados_Reales!$A$4:$I$107, 5, FALSE)=G1025, VLOOKUP(C1025, Resultados_Reales!$A$4:$I$107, 6, FALSE)=H1025), Configuracion!$B$5, IF(SIGN(VLOOKUP(C1025, Resultados_Reales!$A$4:$I$107, 5, FALSE)-VLOOKUP(C1025, Resultados_Reales!$A$4:$I$107, 6, FALSE)) = SIGN(G1025-H1025), Configuracion!$B$4, 0)))</f>
        <v/>
      </c>
      <c r="L1025" s="11" t="n"/>
      <c r="M1025" s="11" t="n"/>
      <c r="N1025" s="11" t="n"/>
      <c r="O1025" s="11" t="n"/>
      <c r="P1025" s="11" t="n"/>
      <c r="Q1025" s="11" t="n"/>
    </row>
    <row r="1026">
      <c r="A1026" s="8">
        <f>B1026&amp;"_"&amp;C1026</f>
        <v/>
      </c>
      <c r="B1026" s="8" t="n"/>
      <c r="C1026" s="8" t="n"/>
      <c r="D1026" s="8" t="n"/>
      <c r="E1026" s="11" t="n"/>
      <c r="F1026" s="11" t="n"/>
      <c r="G1026" s="8" t="n"/>
      <c r="H1026" s="8" t="n"/>
      <c r="I1026" s="8" t="n"/>
      <c r="J1026" s="8" t="n"/>
      <c r="K1026" s="12">
        <f>IF(OR(ISERROR(VLOOKUP(C1026, Resultados_Reales!$A$4:$I$107, 5, FALSE)), ISERROR(VLOOKUP(C1026, Resultados_Reales!$A$4:$I$107, 6, FALSE)), VLOOKUP(C1026, Resultados_Reales!$A$4:$I$107, 5, FALSE)="", VLOOKUP(C1026, Resultados_Reales!$A$4:$I$107, 6, FALSE)=""), 0, IF(AND(VLOOKUP(C1026, Resultados_Reales!$A$4:$I$107, 5, FALSE)=G1026, VLOOKUP(C1026, Resultados_Reales!$A$4:$I$107, 6, FALSE)=H1026), Configuracion!$B$5, IF(SIGN(VLOOKUP(C1026, Resultados_Reales!$A$4:$I$107, 5, FALSE)-VLOOKUP(C1026, Resultados_Reales!$A$4:$I$107, 6, FALSE)) = SIGN(G1026-H1026), Configuracion!$B$4, 0)))</f>
        <v/>
      </c>
      <c r="L1026" s="11" t="n"/>
      <c r="M1026" s="11" t="n"/>
      <c r="N1026" s="11" t="n"/>
      <c r="O1026" s="11" t="n"/>
      <c r="P1026" s="11" t="n"/>
      <c r="Q1026" s="11" t="n"/>
    </row>
    <row r="1027">
      <c r="A1027" s="8">
        <f>B1027&amp;"_"&amp;C1027</f>
        <v/>
      </c>
      <c r="B1027" s="8" t="n"/>
      <c r="C1027" s="8" t="n"/>
      <c r="D1027" s="8" t="n"/>
      <c r="E1027" s="11" t="n"/>
      <c r="F1027" s="11" t="n"/>
      <c r="G1027" s="8" t="n"/>
      <c r="H1027" s="8" t="n"/>
      <c r="I1027" s="8" t="n"/>
      <c r="J1027" s="8" t="n"/>
      <c r="K1027" s="12">
        <f>IF(OR(ISERROR(VLOOKUP(C1027, Resultados_Reales!$A$4:$I$107, 5, FALSE)), ISERROR(VLOOKUP(C1027, Resultados_Reales!$A$4:$I$107, 6, FALSE)), VLOOKUP(C1027, Resultados_Reales!$A$4:$I$107, 5, FALSE)="", VLOOKUP(C1027, Resultados_Reales!$A$4:$I$107, 6, FALSE)=""), 0, IF(AND(VLOOKUP(C1027, Resultados_Reales!$A$4:$I$107, 5, FALSE)=G1027, VLOOKUP(C1027, Resultados_Reales!$A$4:$I$107, 6, FALSE)=H1027), Configuracion!$B$5, IF(SIGN(VLOOKUP(C1027, Resultados_Reales!$A$4:$I$107, 5, FALSE)-VLOOKUP(C1027, Resultados_Reales!$A$4:$I$107, 6, FALSE)) = SIGN(G1027-H1027), Configuracion!$B$4, 0)))</f>
        <v/>
      </c>
      <c r="L1027" s="11" t="n"/>
      <c r="M1027" s="11" t="n"/>
      <c r="N1027" s="11" t="n"/>
      <c r="O1027" s="11" t="n"/>
      <c r="P1027" s="11" t="n"/>
      <c r="Q1027" s="11" t="n"/>
    </row>
    <row r="1028">
      <c r="A1028" s="8">
        <f>B1028&amp;"_"&amp;C1028</f>
        <v/>
      </c>
      <c r="B1028" s="8" t="n"/>
      <c r="C1028" s="8" t="n"/>
      <c r="D1028" s="8" t="n"/>
      <c r="E1028" s="11" t="n"/>
      <c r="F1028" s="11" t="n"/>
      <c r="G1028" s="8" t="n"/>
      <c r="H1028" s="8" t="n"/>
      <c r="I1028" s="8" t="n"/>
      <c r="J1028" s="8" t="n"/>
      <c r="K1028" s="12">
        <f>IF(OR(ISERROR(VLOOKUP(C1028, Resultados_Reales!$A$4:$I$107, 5, FALSE)), ISERROR(VLOOKUP(C1028, Resultados_Reales!$A$4:$I$107, 6, FALSE)), VLOOKUP(C1028, Resultados_Reales!$A$4:$I$107, 5, FALSE)="", VLOOKUP(C1028, Resultados_Reales!$A$4:$I$107, 6, FALSE)=""), 0, IF(AND(VLOOKUP(C1028, Resultados_Reales!$A$4:$I$107, 5, FALSE)=G1028, VLOOKUP(C1028, Resultados_Reales!$A$4:$I$107, 6, FALSE)=H1028), Configuracion!$B$5, IF(SIGN(VLOOKUP(C1028, Resultados_Reales!$A$4:$I$107, 5, FALSE)-VLOOKUP(C1028, Resultados_Reales!$A$4:$I$107, 6, FALSE)) = SIGN(G1028-H1028), Configuracion!$B$4, 0)))</f>
        <v/>
      </c>
      <c r="L1028" s="11" t="n"/>
      <c r="M1028" s="11" t="n"/>
      <c r="N1028" s="11" t="n"/>
      <c r="O1028" s="11" t="n"/>
      <c r="P1028" s="11" t="n"/>
      <c r="Q1028" s="11" t="n"/>
    </row>
    <row r="1029">
      <c r="A1029" s="8">
        <f>B1029&amp;"_"&amp;C1029</f>
        <v/>
      </c>
      <c r="B1029" s="8" t="n"/>
      <c r="C1029" s="8" t="n"/>
      <c r="D1029" s="8" t="n"/>
      <c r="E1029" s="11" t="n"/>
      <c r="F1029" s="11" t="n"/>
      <c r="G1029" s="8" t="n"/>
      <c r="H1029" s="8" t="n"/>
      <c r="I1029" s="8" t="n"/>
      <c r="J1029" s="8" t="n"/>
      <c r="K1029" s="12">
        <f>IF(OR(ISERROR(VLOOKUP(C1029, Resultados_Reales!$A$4:$I$107, 5, FALSE)), ISERROR(VLOOKUP(C1029, Resultados_Reales!$A$4:$I$107, 6, FALSE)), VLOOKUP(C1029, Resultados_Reales!$A$4:$I$107, 5, FALSE)="", VLOOKUP(C1029, Resultados_Reales!$A$4:$I$107, 6, FALSE)=""), 0, IF(AND(VLOOKUP(C1029, Resultados_Reales!$A$4:$I$107, 5, FALSE)=G1029, VLOOKUP(C1029, Resultados_Reales!$A$4:$I$107, 6, FALSE)=H1029), Configuracion!$B$5, IF(SIGN(VLOOKUP(C1029, Resultados_Reales!$A$4:$I$107, 5, FALSE)-VLOOKUP(C1029, Resultados_Reales!$A$4:$I$107, 6, FALSE)) = SIGN(G1029-H1029), Configuracion!$B$4, 0)))</f>
        <v/>
      </c>
      <c r="L1029" s="11" t="n"/>
      <c r="M1029" s="11" t="n"/>
      <c r="N1029" s="11" t="n"/>
      <c r="O1029" s="11" t="n"/>
      <c r="P1029" s="11" t="n"/>
      <c r="Q1029" s="11" t="n"/>
    </row>
    <row r="1030">
      <c r="A1030" s="8">
        <f>B1030&amp;"_"&amp;C1030</f>
        <v/>
      </c>
      <c r="B1030" s="8" t="n"/>
      <c r="C1030" s="8" t="n"/>
      <c r="D1030" s="8" t="n"/>
      <c r="E1030" s="11" t="n"/>
      <c r="F1030" s="11" t="n"/>
      <c r="G1030" s="8" t="n"/>
      <c r="H1030" s="8" t="n"/>
      <c r="I1030" s="8" t="n"/>
      <c r="J1030" s="8" t="n"/>
      <c r="K1030" s="12">
        <f>IF(OR(ISERROR(VLOOKUP(C1030, Resultados_Reales!$A$4:$I$107, 5, FALSE)), ISERROR(VLOOKUP(C1030, Resultados_Reales!$A$4:$I$107, 6, FALSE)), VLOOKUP(C1030, Resultados_Reales!$A$4:$I$107, 5, FALSE)="", VLOOKUP(C1030, Resultados_Reales!$A$4:$I$107, 6, FALSE)=""), 0, IF(AND(VLOOKUP(C1030, Resultados_Reales!$A$4:$I$107, 5, FALSE)=G1030, VLOOKUP(C1030, Resultados_Reales!$A$4:$I$107, 6, FALSE)=H1030), Configuracion!$B$5, IF(SIGN(VLOOKUP(C1030, Resultados_Reales!$A$4:$I$107, 5, FALSE)-VLOOKUP(C1030, Resultados_Reales!$A$4:$I$107, 6, FALSE)) = SIGN(G1030-H1030), Configuracion!$B$4, 0)))</f>
        <v/>
      </c>
      <c r="L1030" s="11" t="n"/>
      <c r="M1030" s="11" t="n"/>
      <c r="N1030" s="11" t="n"/>
      <c r="O1030" s="11" t="n"/>
      <c r="P1030" s="11" t="n"/>
      <c r="Q1030" s="11" t="n"/>
    </row>
    <row r="1031">
      <c r="A1031" s="8">
        <f>B1031&amp;"_"&amp;C1031</f>
        <v/>
      </c>
      <c r="B1031" s="8" t="n"/>
      <c r="C1031" s="8" t="n"/>
      <c r="D1031" s="8" t="n"/>
      <c r="E1031" s="11" t="n"/>
      <c r="F1031" s="11" t="n"/>
      <c r="G1031" s="8" t="n"/>
      <c r="H1031" s="8" t="n"/>
      <c r="I1031" s="8" t="n"/>
      <c r="J1031" s="8" t="n"/>
      <c r="K1031" s="12">
        <f>IF(OR(ISERROR(VLOOKUP(C1031, Resultados_Reales!$A$4:$I$107, 5, FALSE)), ISERROR(VLOOKUP(C1031, Resultados_Reales!$A$4:$I$107, 6, FALSE)), VLOOKUP(C1031, Resultados_Reales!$A$4:$I$107, 5, FALSE)="", VLOOKUP(C1031, Resultados_Reales!$A$4:$I$107, 6, FALSE)=""), 0, IF(AND(VLOOKUP(C1031, Resultados_Reales!$A$4:$I$107, 5, FALSE)=G1031, VLOOKUP(C1031, Resultados_Reales!$A$4:$I$107, 6, FALSE)=H1031), Configuracion!$B$5, IF(SIGN(VLOOKUP(C1031, Resultados_Reales!$A$4:$I$107, 5, FALSE)-VLOOKUP(C1031, Resultados_Reales!$A$4:$I$107, 6, FALSE)) = SIGN(G1031-H1031), Configuracion!$B$4, 0)))</f>
        <v/>
      </c>
      <c r="L1031" s="11" t="n"/>
      <c r="M1031" s="11" t="n"/>
      <c r="N1031" s="11" t="n"/>
      <c r="O1031" s="11" t="n"/>
      <c r="P1031" s="11" t="n"/>
      <c r="Q1031" s="11" t="n"/>
    </row>
    <row r="1032">
      <c r="A1032" s="8">
        <f>B1032&amp;"_"&amp;C1032</f>
        <v/>
      </c>
      <c r="B1032" s="8" t="n"/>
      <c r="C1032" s="8" t="n"/>
      <c r="D1032" s="8" t="n"/>
      <c r="E1032" s="11" t="n"/>
      <c r="F1032" s="11" t="n"/>
      <c r="G1032" s="8" t="n"/>
      <c r="H1032" s="8" t="n"/>
      <c r="I1032" s="8" t="n"/>
      <c r="J1032" s="8" t="n"/>
      <c r="K1032" s="12">
        <f>IF(OR(ISERROR(VLOOKUP(C1032, Resultados_Reales!$A$4:$I$107, 5, FALSE)), ISERROR(VLOOKUP(C1032, Resultados_Reales!$A$4:$I$107, 6, FALSE)), VLOOKUP(C1032, Resultados_Reales!$A$4:$I$107, 5, FALSE)="", VLOOKUP(C1032, Resultados_Reales!$A$4:$I$107, 6, FALSE)=""), 0, IF(AND(VLOOKUP(C1032, Resultados_Reales!$A$4:$I$107, 5, FALSE)=G1032, VLOOKUP(C1032, Resultados_Reales!$A$4:$I$107, 6, FALSE)=H1032), Configuracion!$B$5, IF(SIGN(VLOOKUP(C1032, Resultados_Reales!$A$4:$I$107, 5, FALSE)-VLOOKUP(C1032, Resultados_Reales!$A$4:$I$107, 6, FALSE)) = SIGN(G1032-H1032), Configuracion!$B$4, 0)))</f>
        <v/>
      </c>
      <c r="L1032" s="11" t="n"/>
      <c r="M1032" s="11" t="n"/>
      <c r="N1032" s="11" t="n"/>
      <c r="O1032" s="11" t="n"/>
      <c r="P1032" s="11" t="n"/>
      <c r="Q1032" s="11" t="n"/>
    </row>
    <row r="1033">
      <c r="A1033" s="8">
        <f>B1033&amp;"_"&amp;C1033</f>
        <v/>
      </c>
      <c r="B1033" s="8" t="n"/>
      <c r="C1033" s="8" t="n"/>
      <c r="D1033" s="8" t="n"/>
      <c r="E1033" s="11" t="n"/>
      <c r="F1033" s="11" t="n"/>
      <c r="G1033" s="8" t="n"/>
      <c r="H1033" s="8" t="n"/>
      <c r="I1033" s="8" t="n"/>
      <c r="J1033" s="8" t="n"/>
      <c r="K1033" s="12">
        <f>IF(OR(ISERROR(VLOOKUP(C1033, Resultados_Reales!$A$4:$I$107, 5, FALSE)), ISERROR(VLOOKUP(C1033, Resultados_Reales!$A$4:$I$107, 6, FALSE)), VLOOKUP(C1033, Resultados_Reales!$A$4:$I$107, 5, FALSE)="", VLOOKUP(C1033, Resultados_Reales!$A$4:$I$107, 6, FALSE)=""), 0, IF(AND(VLOOKUP(C1033, Resultados_Reales!$A$4:$I$107, 5, FALSE)=G1033, VLOOKUP(C1033, Resultados_Reales!$A$4:$I$107, 6, FALSE)=H1033), Configuracion!$B$5, IF(SIGN(VLOOKUP(C1033, Resultados_Reales!$A$4:$I$107, 5, FALSE)-VLOOKUP(C1033, Resultados_Reales!$A$4:$I$107, 6, FALSE)) = SIGN(G1033-H1033), Configuracion!$B$4, 0)))</f>
        <v/>
      </c>
      <c r="L1033" s="11" t="n"/>
      <c r="M1033" s="11" t="n"/>
      <c r="N1033" s="11" t="n"/>
      <c r="O1033" s="11" t="n"/>
      <c r="P1033" s="11" t="n"/>
      <c r="Q1033" s="11" t="n"/>
    </row>
    <row r="1034">
      <c r="A1034" s="8">
        <f>B1034&amp;"_"&amp;C1034</f>
        <v/>
      </c>
      <c r="B1034" s="8" t="n"/>
      <c r="C1034" s="8" t="n"/>
      <c r="D1034" s="8" t="n"/>
      <c r="E1034" s="11" t="n"/>
      <c r="F1034" s="11" t="n"/>
      <c r="G1034" s="8" t="n"/>
      <c r="H1034" s="8" t="n"/>
      <c r="I1034" s="8" t="n"/>
      <c r="J1034" s="8" t="n"/>
      <c r="K1034" s="12">
        <f>IF(OR(ISERROR(VLOOKUP(C1034, Resultados_Reales!$A$4:$I$107, 5, FALSE)), ISERROR(VLOOKUP(C1034, Resultados_Reales!$A$4:$I$107, 6, FALSE)), VLOOKUP(C1034, Resultados_Reales!$A$4:$I$107, 5, FALSE)="", VLOOKUP(C1034, Resultados_Reales!$A$4:$I$107, 6, FALSE)=""), 0, IF(AND(VLOOKUP(C1034, Resultados_Reales!$A$4:$I$107, 5, FALSE)=G1034, VLOOKUP(C1034, Resultados_Reales!$A$4:$I$107, 6, FALSE)=H1034), Configuracion!$B$5, IF(SIGN(VLOOKUP(C1034, Resultados_Reales!$A$4:$I$107, 5, FALSE)-VLOOKUP(C1034, Resultados_Reales!$A$4:$I$107, 6, FALSE)) = SIGN(G1034-H1034), Configuracion!$B$4, 0)))</f>
        <v/>
      </c>
      <c r="L1034" s="11" t="n"/>
      <c r="M1034" s="11" t="n"/>
      <c r="N1034" s="11" t="n"/>
      <c r="O1034" s="11" t="n"/>
      <c r="P1034" s="11" t="n"/>
      <c r="Q1034" s="11" t="n"/>
    </row>
    <row r="1035">
      <c r="A1035" s="8">
        <f>B1035&amp;"_"&amp;C1035</f>
        <v/>
      </c>
      <c r="B1035" s="8" t="n"/>
      <c r="C1035" s="8" t="n"/>
      <c r="D1035" s="8" t="n"/>
      <c r="E1035" s="11" t="n"/>
      <c r="F1035" s="11" t="n"/>
      <c r="G1035" s="8" t="n"/>
      <c r="H1035" s="8" t="n"/>
      <c r="I1035" s="8" t="n"/>
      <c r="J1035" s="8" t="n"/>
      <c r="K1035" s="12">
        <f>IF(OR(ISERROR(VLOOKUP(C1035, Resultados_Reales!$A$4:$I$107, 5, FALSE)), ISERROR(VLOOKUP(C1035, Resultados_Reales!$A$4:$I$107, 6, FALSE)), VLOOKUP(C1035, Resultados_Reales!$A$4:$I$107, 5, FALSE)="", VLOOKUP(C1035, Resultados_Reales!$A$4:$I$107, 6, FALSE)=""), 0, IF(AND(VLOOKUP(C1035, Resultados_Reales!$A$4:$I$107, 5, FALSE)=G1035, VLOOKUP(C1035, Resultados_Reales!$A$4:$I$107, 6, FALSE)=H1035), Configuracion!$B$5, IF(SIGN(VLOOKUP(C1035, Resultados_Reales!$A$4:$I$107, 5, FALSE)-VLOOKUP(C1035, Resultados_Reales!$A$4:$I$107, 6, FALSE)) = SIGN(G1035-H1035), Configuracion!$B$4, 0)))</f>
        <v/>
      </c>
      <c r="L1035" s="11" t="n"/>
      <c r="M1035" s="11" t="n"/>
      <c r="N1035" s="11" t="n"/>
      <c r="O1035" s="11" t="n"/>
      <c r="P1035" s="11" t="n"/>
      <c r="Q1035" s="11" t="n"/>
    </row>
    <row r="1036">
      <c r="A1036" s="8">
        <f>B1036&amp;"_"&amp;C1036</f>
        <v/>
      </c>
      <c r="B1036" s="8" t="n"/>
      <c r="C1036" s="8" t="n"/>
      <c r="D1036" s="8" t="n"/>
      <c r="E1036" s="11" t="n"/>
      <c r="F1036" s="11" t="n"/>
      <c r="G1036" s="8" t="n"/>
      <c r="H1036" s="8" t="n"/>
      <c r="I1036" s="8" t="n"/>
      <c r="J1036" s="8" t="n"/>
      <c r="K1036" s="12">
        <f>IF(OR(ISERROR(VLOOKUP(C1036, Resultados_Reales!$A$4:$I$107, 5, FALSE)), ISERROR(VLOOKUP(C1036, Resultados_Reales!$A$4:$I$107, 6, FALSE)), VLOOKUP(C1036, Resultados_Reales!$A$4:$I$107, 5, FALSE)="", VLOOKUP(C1036, Resultados_Reales!$A$4:$I$107, 6, FALSE)=""), 0, IF(AND(VLOOKUP(C1036, Resultados_Reales!$A$4:$I$107, 5, FALSE)=G1036, VLOOKUP(C1036, Resultados_Reales!$A$4:$I$107, 6, FALSE)=H1036), Configuracion!$B$5, IF(SIGN(VLOOKUP(C1036, Resultados_Reales!$A$4:$I$107, 5, FALSE)-VLOOKUP(C1036, Resultados_Reales!$A$4:$I$107, 6, FALSE)) = SIGN(G1036-H1036), Configuracion!$B$4, 0)))</f>
        <v/>
      </c>
      <c r="L1036" s="11" t="n"/>
      <c r="M1036" s="11" t="n"/>
      <c r="N1036" s="11" t="n"/>
      <c r="O1036" s="11" t="n"/>
      <c r="P1036" s="11" t="n"/>
      <c r="Q1036" s="11" t="n"/>
    </row>
    <row r="1037">
      <c r="A1037" s="8">
        <f>B1037&amp;"_"&amp;C1037</f>
        <v/>
      </c>
      <c r="B1037" s="8" t="n"/>
      <c r="C1037" s="8" t="n"/>
      <c r="D1037" s="8" t="n"/>
      <c r="E1037" s="11" t="n"/>
      <c r="F1037" s="11" t="n"/>
      <c r="G1037" s="8" t="n"/>
      <c r="H1037" s="8" t="n"/>
      <c r="I1037" s="8" t="n"/>
      <c r="J1037" s="8" t="n"/>
      <c r="K1037" s="12">
        <f>IF(OR(ISERROR(VLOOKUP(C1037, Resultados_Reales!$A$4:$I$107, 5, FALSE)), ISERROR(VLOOKUP(C1037, Resultados_Reales!$A$4:$I$107, 6, FALSE)), VLOOKUP(C1037, Resultados_Reales!$A$4:$I$107, 5, FALSE)="", VLOOKUP(C1037, Resultados_Reales!$A$4:$I$107, 6, FALSE)=""), 0, IF(AND(VLOOKUP(C1037, Resultados_Reales!$A$4:$I$107, 5, FALSE)=G1037, VLOOKUP(C1037, Resultados_Reales!$A$4:$I$107, 6, FALSE)=H1037), Configuracion!$B$5, IF(SIGN(VLOOKUP(C1037, Resultados_Reales!$A$4:$I$107, 5, FALSE)-VLOOKUP(C1037, Resultados_Reales!$A$4:$I$107, 6, FALSE)) = SIGN(G1037-H1037), Configuracion!$B$4, 0)))</f>
        <v/>
      </c>
      <c r="L1037" s="11" t="n"/>
      <c r="M1037" s="11" t="n"/>
      <c r="N1037" s="11" t="n"/>
      <c r="O1037" s="11" t="n"/>
      <c r="P1037" s="11" t="n"/>
      <c r="Q1037" s="11" t="n"/>
    </row>
    <row r="1038">
      <c r="A1038" s="8">
        <f>B1038&amp;"_"&amp;C1038</f>
        <v/>
      </c>
      <c r="B1038" s="8" t="n"/>
      <c r="C1038" s="8" t="n"/>
      <c r="D1038" s="8" t="n"/>
      <c r="E1038" s="11" t="n"/>
      <c r="F1038" s="11" t="n"/>
      <c r="G1038" s="8" t="n"/>
      <c r="H1038" s="8" t="n"/>
      <c r="I1038" s="8" t="n"/>
      <c r="J1038" s="8" t="n"/>
      <c r="K1038" s="12">
        <f>IF(OR(ISERROR(VLOOKUP(C1038, Resultados_Reales!$A$4:$I$107, 5, FALSE)), ISERROR(VLOOKUP(C1038, Resultados_Reales!$A$4:$I$107, 6, FALSE)), VLOOKUP(C1038, Resultados_Reales!$A$4:$I$107, 5, FALSE)="", VLOOKUP(C1038, Resultados_Reales!$A$4:$I$107, 6, FALSE)=""), 0, IF(AND(VLOOKUP(C1038, Resultados_Reales!$A$4:$I$107, 5, FALSE)=G1038, VLOOKUP(C1038, Resultados_Reales!$A$4:$I$107, 6, FALSE)=H1038), Configuracion!$B$5, IF(SIGN(VLOOKUP(C1038, Resultados_Reales!$A$4:$I$107, 5, FALSE)-VLOOKUP(C1038, Resultados_Reales!$A$4:$I$107, 6, FALSE)) = SIGN(G1038-H1038), Configuracion!$B$4, 0)))</f>
        <v/>
      </c>
      <c r="L1038" s="11" t="n"/>
      <c r="M1038" s="11" t="n"/>
      <c r="N1038" s="11" t="n"/>
      <c r="O1038" s="11" t="n"/>
      <c r="P1038" s="11" t="n"/>
      <c r="Q1038" s="11" t="n"/>
    </row>
    <row r="1039">
      <c r="A1039" s="8">
        <f>B1039&amp;"_"&amp;C1039</f>
        <v/>
      </c>
      <c r="B1039" s="8" t="n"/>
      <c r="C1039" s="8" t="n"/>
      <c r="D1039" s="8" t="n"/>
      <c r="E1039" s="11" t="n"/>
      <c r="F1039" s="11" t="n"/>
      <c r="G1039" s="8" t="n"/>
      <c r="H1039" s="8" t="n"/>
      <c r="I1039" s="8" t="n"/>
      <c r="J1039" s="8" t="n"/>
      <c r="K1039" s="12">
        <f>IF(OR(ISERROR(VLOOKUP(C1039, Resultados_Reales!$A$4:$I$107, 5, FALSE)), ISERROR(VLOOKUP(C1039, Resultados_Reales!$A$4:$I$107, 6, FALSE)), VLOOKUP(C1039, Resultados_Reales!$A$4:$I$107, 5, FALSE)="", VLOOKUP(C1039, Resultados_Reales!$A$4:$I$107, 6, FALSE)=""), 0, IF(AND(VLOOKUP(C1039, Resultados_Reales!$A$4:$I$107, 5, FALSE)=G1039, VLOOKUP(C1039, Resultados_Reales!$A$4:$I$107, 6, FALSE)=H1039), Configuracion!$B$5, IF(SIGN(VLOOKUP(C1039, Resultados_Reales!$A$4:$I$107, 5, FALSE)-VLOOKUP(C1039, Resultados_Reales!$A$4:$I$107, 6, FALSE)) = SIGN(G1039-H1039), Configuracion!$B$4, 0)))</f>
        <v/>
      </c>
      <c r="L1039" s="11" t="n"/>
      <c r="M1039" s="11" t="n"/>
      <c r="N1039" s="11" t="n"/>
      <c r="O1039" s="11" t="n"/>
      <c r="P1039" s="11" t="n"/>
      <c r="Q1039" s="11" t="n"/>
    </row>
    <row r="1040">
      <c r="A1040" s="8">
        <f>B1040&amp;"_"&amp;C1040</f>
        <v/>
      </c>
      <c r="B1040" s="8" t="n"/>
      <c r="C1040" s="8" t="n"/>
      <c r="D1040" s="8" t="n"/>
      <c r="E1040" s="11" t="n"/>
      <c r="F1040" s="11" t="n"/>
      <c r="G1040" s="8" t="n"/>
      <c r="H1040" s="8" t="n"/>
      <c r="I1040" s="8" t="n"/>
      <c r="J1040" s="8" t="n"/>
      <c r="K1040" s="12">
        <f>IF(OR(ISERROR(VLOOKUP(C1040, Resultados_Reales!$A$4:$I$107, 5, FALSE)), ISERROR(VLOOKUP(C1040, Resultados_Reales!$A$4:$I$107, 6, FALSE)), VLOOKUP(C1040, Resultados_Reales!$A$4:$I$107, 5, FALSE)="", VLOOKUP(C1040, Resultados_Reales!$A$4:$I$107, 6, FALSE)=""), 0, IF(AND(VLOOKUP(C1040, Resultados_Reales!$A$4:$I$107, 5, FALSE)=G1040, VLOOKUP(C1040, Resultados_Reales!$A$4:$I$107, 6, FALSE)=H1040), Configuracion!$B$5, IF(SIGN(VLOOKUP(C1040, Resultados_Reales!$A$4:$I$107, 5, FALSE)-VLOOKUP(C1040, Resultados_Reales!$A$4:$I$107, 6, FALSE)) = SIGN(G1040-H1040), Configuracion!$B$4, 0)))</f>
        <v/>
      </c>
      <c r="L1040" s="11" t="n"/>
      <c r="M1040" s="11" t="n"/>
      <c r="N1040" s="11" t="n"/>
      <c r="O1040" s="11" t="n"/>
      <c r="P1040" s="11" t="n"/>
      <c r="Q1040" s="11" t="n"/>
    </row>
    <row r="1041">
      <c r="A1041" s="8">
        <f>B1041&amp;"_"&amp;C1041</f>
        <v/>
      </c>
      <c r="B1041" s="8" t="n"/>
      <c r="C1041" s="8" t="n"/>
      <c r="D1041" s="8" t="n"/>
      <c r="E1041" s="11" t="n"/>
      <c r="F1041" s="11" t="n"/>
      <c r="G1041" s="8" t="n"/>
      <c r="H1041" s="8" t="n"/>
      <c r="I1041" s="8" t="n"/>
      <c r="J1041" s="8" t="n"/>
      <c r="K1041" s="12">
        <f>IF(OR(ISERROR(VLOOKUP(C1041, Resultados_Reales!$A$4:$I$107, 5, FALSE)), ISERROR(VLOOKUP(C1041, Resultados_Reales!$A$4:$I$107, 6, FALSE)), VLOOKUP(C1041, Resultados_Reales!$A$4:$I$107, 5, FALSE)="", VLOOKUP(C1041, Resultados_Reales!$A$4:$I$107, 6, FALSE)=""), 0, IF(AND(VLOOKUP(C1041, Resultados_Reales!$A$4:$I$107, 5, FALSE)=G1041, VLOOKUP(C1041, Resultados_Reales!$A$4:$I$107, 6, FALSE)=H1041), Configuracion!$B$5, IF(SIGN(VLOOKUP(C1041, Resultados_Reales!$A$4:$I$107, 5, FALSE)-VLOOKUP(C1041, Resultados_Reales!$A$4:$I$107, 6, FALSE)) = SIGN(G1041-H1041), Configuracion!$B$4, 0)))</f>
        <v/>
      </c>
      <c r="L1041" s="11" t="n"/>
      <c r="M1041" s="11" t="n"/>
      <c r="N1041" s="11" t="n"/>
      <c r="O1041" s="11" t="n"/>
      <c r="P1041" s="11" t="n"/>
      <c r="Q1041" s="11" t="n"/>
    </row>
    <row r="1042">
      <c r="A1042" s="8">
        <f>B1042&amp;"_"&amp;C1042</f>
        <v/>
      </c>
      <c r="B1042" s="8" t="n"/>
      <c r="C1042" s="8" t="n"/>
      <c r="D1042" s="8" t="n"/>
      <c r="E1042" s="11" t="n"/>
      <c r="F1042" s="11" t="n"/>
      <c r="G1042" s="8" t="n"/>
      <c r="H1042" s="8" t="n"/>
      <c r="I1042" s="8" t="n"/>
      <c r="J1042" s="8" t="n"/>
      <c r="K1042" s="12">
        <f>IF(OR(ISERROR(VLOOKUP(C1042, Resultados_Reales!$A$4:$I$107, 5, FALSE)), ISERROR(VLOOKUP(C1042, Resultados_Reales!$A$4:$I$107, 6, FALSE)), VLOOKUP(C1042, Resultados_Reales!$A$4:$I$107, 5, FALSE)="", VLOOKUP(C1042, Resultados_Reales!$A$4:$I$107, 6, FALSE)=""), 0, IF(AND(VLOOKUP(C1042, Resultados_Reales!$A$4:$I$107, 5, FALSE)=G1042, VLOOKUP(C1042, Resultados_Reales!$A$4:$I$107, 6, FALSE)=H1042), Configuracion!$B$5, IF(SIGN(VLOOKUP(C1042, Resultados_Reales!$A$4:$I$107, 5, FALSE)-VLOOKUP(C1042, Resultados_Reales!$A$4:$I$107, 6, FALSE)) = SIGN(G1042-H1042), Configuracion!$B$4, 0)))</f>
        <v/>
      </c>
      <c r="L1042" s="11" t="n"/>
      <c r="M1042" s="11" t="n"/>
      <c r="N1042" s="11" t="n"/>
      <c r="O1042" s="11" t="n"/>
      <c r="P1042" s="11" t="n"/>
      <c r="Q1042" s="11" t="n"/>
    </row>
    <row r="1043">
      <c r="A1043" s="8">
        <f>B1043&amp;"_"&amp;C1043</f>
        <v/>
      </c>
      <c r="B1043" s="8" t="n"/>
      <c r="C1043" s="8" t="n"/>
      <c r="D1043" s="8" t="n"/>
      <c r="E1043" s="11" t="n"/>
      <c r="F1043" s="11" t="n"/>
      <c r="G1043" s="8" t="n"/>
      <c r="H1043" s="8" t="n"/>
      <c r="I1043" s="8" t="n"/>
      <c r="J1043" s="8" t="n"/>
      <c r="K1043" s="12">
        <f>IF(OR(ISERROR(VLOOKUP(C1043, Resultados_Reales!$A$4:$I$107, 5, FALSE)), ISERROR(VLOOKUP(C1043, Resultados_Reales!$A$4:$I$107, 6, FALSE)), VLOOKUP(C1043, Resultados_Reales!$A$4:$I$107, 5, FALSE)="", VLOOKUP(C1043, Resultados_Reales!$A$4:$I$107, 6, FALSE)=""), 0, IF(AND(VLOOKUP(C1043, Resultados_Reales!$A$4:$I$107, 5, FALSE)=G1043, VLOOKUP(C1043, Resultados_Reales!$A$4:$I$107, 6, FALSE)=H1043), Configuracion!$B$5, IF(SIGN(VLOOKUP(C1043, Resultados_Reales!$A$4:$I$107, 5, FALSE)-VLOOKUP(C1043, Resultados_Reales!$A$4:$I$107, 6, FALSE)) = SIGN(G1043-H1043), Configuracion!$B$4, 0)))</f>
        <v/>
      </c>
      <c r="L1043" s="11" t="n"/>
      <c r="M1043" s="11" t="n"/>
      <c r="N1043" s="11" t="n"/>
      <c r="O1043" s="11" t="n"/>
      <c r="P1043" s="11" t="n"/>
      <c r="Q1043" s="11" t="n"/>
    </row>
    <row r="1044">
      <c r="A1044" s="8">
        <f>B1044&amp;"_"&amp;C1044</f>
        <v/>
      </c>
      <c r="B1044" s="8" t="n"/>
      <c r="C1044" s="8" t="n"/>
      <c r="D1044" s="8" t="n"/>
      <c r="E1044" s="11" t="n"/>
      <c r="F1044" s="11" t="n"/>
      <c r="G1044" s="8" t="n"/>
      <c r="H1044" s="8" t="n"/>
      <c r="I1044" s="8" t="n"/>
      <c r="J1044" s="8" t="n"/>
      <c r="K1044" s="12">
        <f>IF(OR(ISERROR(VLOOKUP(C1044, Resultados_Reales!$A$4:$I$107, 5, FALSE)), ISERROR(VLOOKUP(C1044, Resultados_Reales!$A$4:$I$107, 6, FALSE)), VLOOKUP(C1044, Resultados_Reales!$A$4:$I$107, 5, FALSE)="", VLOOKUP(C1044, Resultados_Reales!$A$4:$I$107, 6, FALSE)=""), 0, IF(AND(VLOOKUP(C1044, Resultados_Reales!$A$4:$I$107, 5, FALSE)=G1044, VLOOKUP(C1044, Resultados_Reales!$A$4:$I$107, 6, FALSE)=H1044), Configuracion!$B$5, IF(SIGN(VLOOKUP(C1044, Resultados_Reales!$A$4:$I$107, 5, FALSE)-VLOOKUP(C1044, Resultados_Reales!$A$4:$I$107, 6, FALSE)) = SIGN(G1044-H1044), Configuracion!$B$4, 0)))</f>
        <v/>
      </c>
      <c r="L1044" s="11" t="n"/>
      <c r="M1044" s="11" t="n"/>
      <c r="N1044" s="11" t="n"/>
      <c r="O1044" s="11" t="n"/>
      <c r="P1044" s="11" t="n"/>
      <c r="Q1044" s="11" t="n"/>
    </row>
    <row r="1045">
      <c r="A1045" s="8">
        <f>B1045&amp;"_"&amp;C1045</f>
        <v/>
      </c>
      <c r="B1045" s="8" t="n"/>
      <c r="C1045" s="8" t="n"/>
      <c r="D1045" s="8" t="n"/>
      <c r="E1045" s="11" t="n"/>
      <c r="F1045" s="11" t="n"/>
      <c r="G1045" s="8" t="n"/>
      <c r="H1045" s="8" t="n"/>
      <c r="I1045" s="8" t="n"/>
      <c r="J1045" s="8" t="n"/>
      <c r="K1045" s="12">
        <f>IF(OR(ISERROR(VLOOKUP(C1045, Resultados_Reales!$A$4:$I$107, 5, FALSE)), ISERROR(VLOOKUP(C1045, Resultados_Reales!$A$4:$I$107, 6, FALSE)), VLOOKUP(C1045, Resultados_Reales!$A$4:$I$107, 5, FALSE)="", VLOOKUP(C1045, Resultados_Reales!$A$4:$I$107, 6, FALSE)=""), 0, IF(AND(VLOOKUP(C1045, Resultados_Reales!$A$4:$I$107, 5, FALSE)=G1045, VLOOKUP(C1045, Resultados_Reales!$A$4:$I$107, 6, FALSE)=H1045), Configuracion!$B$5, IF(SIGN(VLOOKUP(C1045, Resultados_Reales!$A$4:$I$107, 5, FALSE)-VLOOKUP(C1045, Resultados_Reales!$A$4:$I$107, 6, FALSE)) = SIGN(G1045-H1045), Configuracion!$B$4, 0)))</f>
        <v/>
      </c>
      <c r="L1045" s="11" t="n"/>
      <c r="M1045" s="11" t="n"/>
      <c r="N1045" s="11" t="n"/>
      <c r="O1045" s="11" t="n"/>
      <c r="P1045" s="11" t="n"/>
      <c r="Q1045" s="11" t="n"/>
    </row>
    <row r="1046">
      <c r="A1046" s="8">
        <f>B1046&amp;"_"&amp;C1046</f>
        <v/>
      </c>
      <c r="B1046" s="8" t="n"/>
      <c r="C1046" s="8" t="n"/>
      <c r="D1046" s="8" t="n"/>
      <c r="E1046" s="11" t="n"/>
      <c r="F1046" s="11" t="n"/>
      <c r="G1046" s="8" t="n"/>
      <c r="H1046" s="8" t="n"/>
      <c r="I1046" s="8" t="n"/>
      <c r="J1046" s="8" t="n"/>
      <c r="K1046" s="12">
        <f>IF(OR(ISERROR(VLOOKUP(C1046, Resultados_Reales!$A$4:$I$107, 5, FALSE)), ISERROR(VLOOKUP(C1046, Resultados_Reales!$A$4:$I$107, 6, FALSE)), VLOOKUP(C1046, Resultados_Reales!$A$4:$I$107, 5, FALSE)="", VLOOKUP(C1046, Resultados_Reales!$A$4:$I$107, 6, FALSE)=""), 0, IF(AND(VLOOKUP(C1046, Resultados_Reales!$A$4:$I$107, 5, FALSE)=G1046, VLOOKUP(C1046, Resultados_Reales!$A$4:$I$107, 6, FALSE)=H1046), Configuracion!$B$5, IF(SIGN(VLOOKUP(C1046, Resultados_Reales!$A$4:$I$107, 5, FALSE)-VLOOKUP(C1046, Resultados_Reales!$A$4:$I$107, 6, FALSE)) = SIGN(G1046-H1046), Configuracion!$B$4, 0)))</f>
        <v/>
      </c>
      <c r="L1046" s="11" t="n"/>
      <c r="M1046" s="11" t="n"/>
      <c r="N1046" s="11" t="n"/>
      <c r="O1046" s="11" t="n"/>
      <c r="P1046" s="11" t="n"/>
      <c r="Q1046" s="11" t="n"/>
    </row>
    <row r="1047">
      <c r="A1047" s="8">
        <f>B1047&amp;"_"&amp;C1047</f>
        <v/>
      </c>
      <c r="B1047" s="8" t="n"/>
      <c r="C1047" s="8" t="n"/>
      <c r="D1047" s="8" t="n"/>
      <c r="E1047" s="11" t="n"/>
      <c r="F1047" s="11" t="n"/>
      <c r="G1047" s="8" t="n"/>
      <c r="H1047" s="8" t="n"/>
      <c r="I1047" s="8" t="n"/>
      <c r="J1047" s="8" t="n"/>
      <c r="K1047" s="12">
        <f>IF(OR(ISERROR(VLOOKUP(C1047, Resultados_Reales!$A$4:$I$107, 5, FALSE)), ISERROR(VLOOKUP(C1047, Resultados_Reales!$A$4:$I$107, 6, FALSE)), VLOOKUP(C1047, Resultados_Reales!$A$4:$I$107, 5, FALSE)="", VLOOKUP(C1047, Resultados_Reales!$A$4:$I$107, 6, FALSE)=""), 0, IF(AND(VLOOKUP(C1047, Resultados_Reales!$A$4:$I$107, 5, FALSE)=G1047, VLOOKUP(C1047, Resultados_Reales!$A$4:$I$107, 6, FALSE)=H1047), Configuracion!$B$5, IF(SIGN(VLOOKUP(C1047, Resultados_Reales!$A$4:$I$107, 5, FALSE)-VLOOKUP(C1047, Resultados_Reales!$A$4:$I$107, 6, FALSE)) = SIGN(G1047-H1047), Configuracion!$B$4, 0)))</f>
        <v/>
      </c>
      <c r="L1047" s="11" t="n"/>
      <c r="M1047" s="11" t="n"/>
      <c r="N1047" s="11" t="n"/>
      <c r="O1047" s="11" t="n"/>
      <c r="P1047" s="11" t="n"/>
      <c r="Q1047" s="11" t="n"/>
    </row>
    <row r="1048">
      <c r="A1048" s="8">
        <f>B1048&amp;"_"&amp;C1048</f>
        <v/>
      </c>
      <c r="B1048" s="8" t="n"/>
      <c r="C1048" s="8" t="n"/>
      <c r="D1048" s="8" t="n"/>
      <c r="E1048" s="11" t="n"/>
      <c r="F1048" s="11" t="n"/>
      <c r="G1048" s="8" t="n"/>
      <c r="H1048" s="8" t="n"/>
      <c r="I1048" s="8" t="n"/>
      <c r="J1048" s="8" t="n"/>
      <c r="K1048" s="12">
        <f>IF(OR(ISERROR(VLOOKUP(C1048, Resultados_Reales!$A$4:$I$107, 5, FALSE)), ISERROR(VLOOKUP(C1048, Resultados_Reales!$A$4:$I$107, 6, FALSE)), VLOOKUP(C1048, Resultados_Reales!$A$4:$I$107, 5, FALSE)="", VLOOKUP(C1048, Resultados_Reales!$A$4:$I$107, 6, FALSE)=""), 0, IF(AND(VLOOKUP(C1048, Resultados_Reales!$A$4:$I$107, 5, FALSE)=G1048, VLOOKUP(C1048, Resultados_Reales!$A$4:$I$107, 6, FALSE)=H1048), Configuracion!$B$5, IF(SIGN(VLOOKUP(C1048, Resultados_Reales!$A$4:$I$107, 5, FALSE)-VLOOKUP(C1048, Resultados_Reales!$A$4:$I$107, 6, FALSE)) = SIGN(G1048-H1048), Configuracion!$B$4, 0)))</f>
        <v/>
      </c>
      <c r="L1048" s="11" t="n"/>
      <c r="M1048" s="11" t="n"/>
      <c r="N1048" s="11" t="n"/>
      <c r="O1048" s="11" t="n"/>
      <c r="P1048" s="11" t="n"/>
      <c r="Q1048" s="11" t="n"/>
    </row>
    <row r="1049">
      <c r="A1049" s="8">
        <f>B1049&amp;"_"&amp;C1049</f>
        <v/>
      </c>
      <c r="B1049" s="8" t="n"/>
      <c r="C1049" s="8" t="n"/>
      <c r="D1049" s="8" t="n"/>
      <c r="E1049" s="11" t="n"/>
      <c r="F1049" s="11" t="n"/>
      <c r="G1049" s="8" t="n"/>
      <c r="H1049" s="8" t="n"/>
      <c r="I1049" s="8" t="n"/>
      <c r="J1049" s="8" t="n"/>
      <c r="K1049" s="12">
        <f>IF(OR(ISERROR(VLOOKUP(C1049, Resultados_Reales!$A$4:$I$107, 5, FALSE)), ISERROR(VLOOKUP(C1049, Resultados_Reales!$A$4:$I$107, 6, FALSE)), VLOOKUP(C1049, Resultados_Reales!$A$4:$I$107, 5, FALSE)="", VLOOKUP(C1049, Resultados_Reales!$A$4:$I$107, 6, FALSE)=""), 0, IF(AND(VLOOKUP(C1049, Resultados_Reales!$A$4:$I$107, 5, FALSE)=G1049, VLOOKUP(C1049, Resultados_Reales!$A$4:$I$107, 6, FALSE)=H1049), Configuracion!$B$5, IF(SIGN(VLOOKUP(C1049, Resultados_Reales!$A$4:$I$107, 5, FALSE)-VLOOKUP(C1049, Resultados_Reales!$A$4:$I$107, 6, FALSE)) = SIGN(G1049-H1049), Configuracion!$B$4, 0)))</f>
        <v/>
      </c>
      <c r="L1049" s="11" t="n"/>
      <c r="M1049" s="11" t="n"/>
      <c r="N1049" s="11" t="n"/>
      <c r="O1049" s="11" t="n"/>
      <c r="P1049" s="11" t="n"/>
      <c r="Q1049" s="11" t="n"/>
    </row>
    <row r="1050">
      <c r="A1050" s="8">
        <f>B1050&amp;"_"&amp;C1050</f>
        <v/>
      </c>
      <c r="B1050" s="8" t="n"/>
      <c r="C1050" s="8" t="n"/>
      <c r="D1050" s="8" t="n"/>
      <c r="E1050" s="11" t="n"/>
      <c r="F1050" s="11" t="n"/>
      <c r="G1050" s="8" t="n"/>
      <c r="H1050" s="8" t="n"/>
      <c r="I1050" s="8" t="n"/>
      <c r="J1050" s="8" t="n"/>
      <c r="K1050" s="12">
        <f>IF(OR(ISERROR(VLOOKUP(C1050, Resultados_Reales!$A$4:$I$107, 5, FALSE)), ISERROR(VLOOKUP(C1050, Resultados_Reales!$A$4:$I$107, 6, FALSE)), VLOOKUP(C1050, Resultados_Reales!$A$4:$I$107, 5, FALSE)="", VLOOKUP(C1050, Resultados_Reales!$A$4:$I$107, 6, FALSE)=""), 0, IF(AND(VLOOKUP(C1050, Resultados_Reales!$A$4:$I$107, 5, FALSE)=G1050, VLOOKUP(C1050, Resultados_Reales!$A$4:$I$107, 6, FALSE)=H1050), Configuracion!$B$5, IF(SIGN(VLOOKUP(C1050, Resultados_Reales!$A$4:$I$107, 5, FALSE)-VLOOKUP(C1050, Resultados_Reales!$A$4:$I$107, 6, FALSE)) = SIGN(G1050-H1050), Configuracion!$B$4, 0)))</f>
        <v/>
      </c>
      <c r="L1050" s="11" t="n"/>
      <c r="M1050" s="11" t="n"/>
      <c r="N1050" s="11" t="n"/>
      <c r="O1050" s="11" t="n"/>
      <c r="P1050" s="11" t="n"/>
      <c r="Q1050" s="11" t="n"/>
    </row>
    <row r="1051">
      <c r="A1051" s="8">
        <f>B1051&amp;"_"&amp;C1051</f>
        <v/>
      </c>
      <c r="B1051" s="8" t="n"/>
      <c r="C1051" s="8" t="n"/>
      <c r="D1051" s="8" t="n"/>
      <c r="E1051" s="11" t="n"/>
      <c r="F1051" s="11" t="n"/>
      <c r="G1051" s="8" t="n"/>
      <c r="H1051" s="8" t="n"/>
      <c r="I1051" s="8" t="n"/>
      <c r="J1051" s="8" t="n"/>
      <c r="K1051" s="12">
        <f>IF(OR(ISERROR(VLOOKUP(C1051, Resultados_Reales!$A$4:$I$107, 5, FALSE)), ISERROR(VLOOKUP(C1051, Resultados_Reales!$A$4:$I$107, 6, FALSE)), VLOOKUP(C1051, Resultados_Reales!$A$4:$I$107, 5, FALSE)="", VLOOKUP(C1051, Resultados_Reales!$A$4:$I$107, 6, FALSE)=""), 0, IF(AND(VLOOKUP(C1051, Resultados_Reales!$A$4:$I$107, 5, FALSE)=G1051, VLOOKUP(C1051, Resultados_Reales!$A$4:$I$107, 6, FALSE)=H1051), Configuracion!$B$5, IF(SIGN(VLOOKUP(C1051, Resultados_Reales!$A$4:$I$107, 5, FALSE)-VLOOKUP(C1051, Resultados_Reales!$A$4:$I$107, 6, FALSE)) = SIGN(G1051-H1051), Configuracion!$B$4, 0)))</f>
        <v/>
      </c>
      <c r="L1051" s="11" t="n"/>
      <c r="M1051" s="11" t="n"/>
      <c r="N1051" s="11" t="n"/>
      <c r="O1051" s="11" t="n"/>
      <c r="P1051" s="11" t="n"/>
      <c r="Q1051" s="11" t="n"/>
    </row>
    <row r="1052">
      <c r="A1052" s="8">
        <f>B1052&amp;"_"&amp;C1052</f>
        <v/>
      </c>
      <c r="B1052" s="8" t="n"/>
      <c r="C1052" s="8" t="n"/>
      <c r="D1052" s="8" t="n"/>
      <c r="E1052" s="11" t="n"/>
      <c r="F1052" s="11" t="n"/>
      <c r="G1052" s="8" t="n"/>
      <c r="H1052" s="8" t="n"/>
      <c r="I1052" s="8" t="n"/>
      <c r="J1052" s="8" t="n"/>
      <c r="K1052" s="12">
        <f>IF(OR(ISERROR(VLOOKUP(C1052, Resultados_Reales!$A$4:$I$107, 5, FALSE)), ISERROR(VLOOKUP(C1052, Resultados_Reales!$A$4:$I$107, 6, FALSE)), VLOOKUP(C1052, Resultados_Reales!$A$4:$I$107, 5, FALSE)="", VLOOKUP(C1052, Resultados_Reales!$A$4:$I$107, 6, FALSE)=""), 0, IF(AND(VLOOKUP(C1052, Resultados_Reales!$A$4:$I$107, 5, FALSE)=G1052, VLOOKUP(C1052, Resultados_Reales!$A$4:$I$107, 6, FALSE)=H1052), Configuracion!$B$5, IF(SIGN(VLOOKUP(C1052, Resultados_Reales!$A$4:$I$107, 5, FALSE)-VLOOKUP(C1052, Resultados_Reales!$A$4:$I$107, 6, FALSE)) = SIGN(G1052-H1052), Configuracion!$B$4, 0)))</f>
        <v/>
      </c>
      <c r="L1052" s="11" t="n"/>
      <c r="M1052" s="11" t="n"/>
      <c r="N1052" s="11" t="n"/>
      <c r="O1052" s="11" t="n"/>
      <c r="P1052" s="11" t="n"/>
      <c r="Q1052" s="11" t="n"/>
    </row>
    <row r="1053">
      <c r="A1053" s="8">
        <f>B1053&amp;"_"&amp;C1053</f>
        <v/>
      </c>
      <c r="B1053" s="8" t="n"/>
      <c r="C1053" s="8" t="n"/>
      <c r="D1053" s="8" t="n"/>
      <c r="E1053" s="11" t="n"/>
      <c r="F1053" s="11" t="n"/>
      <c r="G1053" s="8" t="n"/>
      <c r="H1053" s="8" t="n"/>
      <c r="I1053" s="8" t="n"/>
      <c r="J1053" s="8" t="n"/>
      <c r="K1053" s="12">
        <f>IF(OR(ISERROR(VLOOKUP(C1053, Resultados_Reales!$A$4:$I$107, 5, FALSE)), ISERROR(VLOOKUP(C1053, Resultados_Reales!$A$4:$I$107, 6, FALSE)), VLOOKUP(C1053, Resultados_Reales!$A$4:$I$107, 5, FALSE)="", VLOOKUP(C1053, Resultados_Reales!$A$4:$I$107, 6, FALSE)=""), 0, IF(AND(VLOOKUP(C1053, Resultados_Reales!$A$4:$I$107, 5, FALSE)=G1053, VLOOKUP(C1053, Resultados_Reales!$A$4:$I$107, 6, FALSE)=H1053), Configuracion!$B$5, IF(SIGN(VLOOKUP(C1053, Resultados_Reales!$A$4:$I$107, 5, FALSE)-VLOOKUP(C1053, Resultados_Reales!$A$4:$I$107, 6, FALSE)) = SIGN(G1053-H1053), Configuracion!$B$4, 0)))</f>
        <v/>
      </c>
      <c r="L1053" s="11" t="n"/>
      <c r="M1053" s="11" t="n"/>
      <c r="N1053" s="11" t="n"/>
      <c r="O1053" s="11" t="n"/>
      <c r="P1053" s="11" t="n"/>
      <c r="Q1053" s="11" t="n"/>
    </row>
    <row r="1054">
      <c r="A1054" s="8">
        <f>B1054&amp;"_"&amp;C1054</f>
        <v/>
      </c>
      <c r="B1054" s="8" t="n"/>
      <c r="C1054" s="8" t="n"/>
      <c r="D1054" s="8" t="n"/>
      <c r="E1054" s="11" t="n"/>
      <c r="F1054" s="11" t="n"/>
      <c r="G1054" s="8" t="n"/>
      <c r="H1054" s="8" t="n"/>
      <c r="I1054" s="8" t="n"/>
      <c r="J1054" s="8" t="n"/>
      <c r="K1054" s="12">
        <f>IF(OR(ISERROR(VLOOKUP(C1054, Resultados_Reales!$A$4:$I$107, 5, FALSE)), ISERROR(VLOOKUP(C1054, Resultados_Reales!$A$4:$I$107, 6, FALSE)), VLOOKUP(C1054, Resultados_Reales!$A$4:$I$107, 5, FALSE)="", VLOOKUP(C1054, Resultados_Reales!$A$4:$I$107, 6, FALSE)=""), 0, IF(AND(VLOOKUP(C1054, Resultados_Reales!$A$4:$I$107, 5, FALSE)=G1054, VLOOKUP(C1054, Resultados_Reales!$A$4:$I$107, 6, FALSE)=H1054), Configuracion!$B$5, IF(SIGN(VLOOKUP(C1054, Resultados_Reales!$A$4:$I$107, 5, FALSE)-VLOOKUP(C1054, Resultados_Reales!$A$4:$I$107, 6, FALSE)) = SIGN(G1054-H1054), Configuracion!$B$4, 0)))</f>
        <v/>
      </c>
      <c r="L1054" s="11" t="n"/>
      <c r="M1054" s="11" t="n"/>
      <c r="N1054" s="11" t="n"/>
      <c r="O1054" s="11" t="n"/>
      <c r="P1054" s="11" t="n"/>
      <c r="Q1054" s="11" t="n"/>
    </row>
    <row r="1055">
      <c r="A1055" s="8">
        <f>B1055&amp;"_"&amp;C1055</f>
        <v/>
      </c>
      <c r="B1055" s="8" t="n"/>
      <c r="C1055" s="8" t="n"/>
      <c r="D1055" s="8" t="n"/>
      <c r="E1055" s="11" t="n"/>
      <c r="F1055" s="11" t="n"/>
      <c r="G1055" s="8" t="n"/>
      <c r="H1055" s="8" t="n"/>
      <c r="I1055" s="8" t="n"/>
      <c r="J1055" s="8" t="n"/>
      <c r="K1055" s="12">
        <f>IF(OR(ISERROR(VLOOKUP(C1055, Resultados_Reales!$A$4:$I$107, 5, FALSE)), ISERROR(VLOOKUP(C1055, Resultados_Reales!$A$4:$I$107, 6, FALSE)), VLOOKUP(C1055, Resultados_Reales!$A$4:$I$107, 5, FALSE)="", VLOOKUP(C1055, Resultados_Reales!$A$4:$I$107, 6, FALSE)=""), 0, IF(AND(VLOOKUP(C1055, Resultados_Reales!$A$4:$I$107, 5, FALSE)=G1055, VLOOKUP(C1055, Resultados_Reales!$A$4:$I$107, 6, FALSE)=H1055), Configuracion!$B$5, IF(SIGN(VLOOKUP(C1055, Resultados_Reales!$A$4:$I$107, 5, FALSE)-VLOOKUP(C1055, Resultados_Reales!$A$4:$I$107, 6, FALSE)) = SIGN(G1055-H1055), Configuracion!$B$4, 0)))</f>
        <v/>
      </c>
      <c r="L1055" s="11" t="n"/>
      <c r="M1055" s="11" t="n"/>
      <c r="N1055" s="11" t="n"/>
      <c r="O1055" s="11" t="n"/>
      <c r="P1055" s="11" t="n"/>
      <c r="Q1055" s="11" t="n"/>
    </row>
    <row r="1056">
      <c r="A1056" s="8">
        <f>B1056&amp;"_"&amp;C1056</f>
        <v/>
      </c>
      <c r="B1056" s="8" t="n"/>
      <c r="C1056" s="8" t="n"/>
      <c r="D1056" s="8" t="n"/>
      <c r="E1056" s="11" t="n"/>
      <c r="F1056" s="11" t="n"/>
      <c r="G1056" s="8" t="n"/>
      <c r="H1056" s="8" t="n"/>
      <c r="I1056" s="8" t="n"/>
      <c r="J1056" s="8" t="n"/>
      <c r="K1056" s="12">
        <f>IF(OR(ISERROR(VLOOKUP(C1056, Resultados_Reales!$A$4:$I$107, 5, FALSE)), ISERROR(VLOOKUP(C1056, Resultados_Reales!$A$4:$I$107, 6, FALSE)), VLOOKUP(C1056, Resultados_Reales!$A$4:$I$107, 5, FALSE)="", VLOOKUP(C1056, Resultados_Reales!$A$4:$I$107, 6, FALSE)=""), 0, IF(AND(VLOOKUP(C1056, Resultados_Reales!$A$4:$I$107, 5, FALSE)=G1056, VLOOKUP(C1056, Resultados_Reales!$A$4:$I$107, 6, FALSE)=H1056), Configuracion!$B$5, IF(SIGN(VLOOKUP(C1056, Resultados_Reales!$A$4:$I$107, 5, FALSE)-VLOOKUP(C1056, Resultados_Reales!$A$4:$I$107, 6, FALSE)) = SIGN(G1056-H1056), Configuracion!$B$4, 0)))</f>
        <v/>
      </c>
      <c r="L1056" s="11" t="n"/>
      <c r="M1056" s="11" t="n"/>
      <c r="N1056" s="11" t="n"/>
      <c r="O1056" s="11" t="n"/>
      <c r="P1056" s="11" t="n"/>
      <c r="Q1056" s="11" t="n"/>
    </row>
    <row r="1057">
      <c r="A1057" s="8">
        <f>B1057&amp;"_"&amp;C1057</f>
        <v/>
      </c>
      <c r="B1057" s="8" t="n"/>
      <c r="C1057" s="8" t="n"/>
      <c r="D1057" s="8" t="n"/>
      <c r="E1057" s="11" t="n"/>
      <c r="F1057" s="11" t="n"/>
      <c r="G1057" s="8" t="n"/>
      <c r="H1057" s="8" t="n"/>
      <c r="I1057" s="8" t="n"/>
      <c r="J1057" s="8" t="n"/>
      <c r="K1057" s="12">
        <f>IF(OR(ISERROR(VLOOKUP(C1057, Resultados_Reales!$A$4:$I$107, 5, FALSE)), ISERROR(VLOOKUP(C1057, Resultados_Reales!$A$4:$I$107, 6, FALSE)), VLOOKUP(C1057, Resultados_Reales!$A$4:$I$107, 5, FALSE)="", VLOOKUP(C1057, Resultados_Reales!$A$4:$I$107, 6, FALSE)=""), 0, IF(AND(VLOOKUP(C1057, Resultados_Reales!$A$4:$I$107, 5, FALSE)=G1057, VLOOKUP(C1057, Resultados_Reales!$A$4:$I$107, 6, FALSE)=H1057), Configuracion!$B$5, IF(SIGN(VLOOKUP(C1057, Resultados_Reales!$A$4:$I$107, 5, FALSE)-VLOOKUP(C1057, Resultados_Reales!$A$4:$I$107, 6, FALSE)) = SIGN(G1057-H1057), Configuracion!$B$4, 0)))</f>
        <v/>
      </c>
      <c r="L1057" s="11" t="n"/>
      <c r="M1057" s="11" t="n"/>
      <c r="N1057" s="11" t="n"/>
      <c r="O1057" s="11" t="n"/>
      <c r="P1057" s="11" t="n"/>
      <c r="Q1057" s="11" t="n"/>
    </row>
    <row r="1058">
      <c r="A1058" s="8">
        <f>B1058&amp;"_"&amp;C1058</f>
        <v/>
      </c>
      <c r="B1058" s="8" t="n"/>
      <c r="C1058" s="8" t="n"/>
      <c r="D1058" s="8" t="n"/>
      <c r="E1058" s="11" t="n"/>
      <c r="F1058" s="11" t="n"/>
      <c r="G1058" s="8" t="n"/>
      <c r="H1058" s="8" t="n"/>
      <c r="I1058" s="8" t="n"/>
      <c r="J1058" s="8" t="n"/>
      <c r="K1058" s="12">
        <f>IF(OR(ISERROR(VLOOKUP(C1058, Resultados_Reales!$A$4:$I$107, 5, FALSE)), ISERROR(VLOOKUP(C1058, Resultados_Reales!$A$4:$I$107, 6, FALSE)), VLOOKUP(C1058, Resultados_Reales!$A$4:$I$107, 5, FALSE)="", VLOOKUP(C1058, Resultados_Reales!$A$4:$I$107, 6, FALSE)=""), 0, IF(AND(VLOOKUP(C1058, Resultados_Reales!$A$4:$I$107, 5, FALSE)=G1058, VLOOKUP(C1058, Resultados_Reales!$A$4:$I$107, 6, FALSE)=H1058), Configuracion!$B$5, IF(SIGN(VLOOKUP(C1058, Resultados_Reales!$A$4:$I$107, 5, FALSE)-VLOOKUP(C1058, Resultados_Reales!$A$4:$I$107, 6, FALSE)) = SIGN(G1058-H1058), Configuracion!$B$4, 0)))</f>
        <v/>
      </c>
      <c r="L1058" s="11" t="n"/>
      <c r="M1058" s="11" t="n"/>
      <c r="N1058" s="11" t="n"/>
      <c r="O1058" s="11" t="n"/>
      <c r="P1058" s="11" t="n"/>
      <c r="Q1058" s="11" t="n"/>
    </row>
    <row r="1059">
      <c r="A1059" s="8">
        <f>B1059&amp;"_"&amp;C1059</f>
        <v/>
      </c>
      <c r="B1059" s="8" t="n"/>
      <c r="C1059" s="8" t="n"/>
      <c r="D1059" s="8" t="n"/>
      <c r="E1059" s="11" t="n"/>
      <c r="F1059" s="11" t="n"/>
      <c r="G1059" s="8" t="n"/>
      <c r="H1059" s="8" t="n"/>
      <c r="I1059" s="8" t="n"/>
      <c r="J1059" s="8" t="n"/>
      <c r="K1059" s="12">
        <f>IF(OR(ISERROR(VLOOKUP(C1059, Resultados_Reales!$A$4:$I$107, 5, FALSE)), ISERROR(VLOOKUP(C1059, Resultados_Reales!$A$4:$I$107, 6, FALSE)), VLOOKUP(C1059, Resultados_Reales!$A$4:$I$107, 5, FALSE)="", VLOOKUP(C1059, Resultados_Reales!$A$4:$I$107, 6, FALSE)=""), 0, IF(AND(VLOOKUP(C1059, Resultados_Reales!$A$4:$I$107, 5, FALSE)=G1059, VLOOKUP(C1059, Resultados_Reales!$A$4:$I$107, 6, FALSE)=H1059), Configuracion!$B$5, IF(SIGN(VLOOKUP(C1059, Resultados_Reales!$A$4:$I$107, 5, FALSE)-VLOOKUP(C1059, Resultados_Reales!$A$4:$I$107, 6, FALSE)) = SIGN(G1059-H1059), Configuracion!$B$4, 0)))</f>
        <v/>
      </c>
      <c r="L1059" s="11" t="n"/>
      <c r="M1059" s="11" t="n"/>
      <c r="N1059" s="11" t="n"/>
      <c r="O1059" s="11" t="n"/>
      <c r="P1059" s="11" t="n"/>
      <c r="Q1059" s="11" t="n"/>
    </row>
    <row r="1060">
      <c r="A1060" s="8">
        <f>B1060&amp;"_"&amp;C1060</f>
        <v/>
      </c>
      <c r="B1060" s="8" t="n"/>
      <c r="C1060" s="8" t="n"/>
      <c r="D1060" s="8" t="n"/>
      <c r="E1060" s="11" t="n"/>
      <c r="F1060" s="11" t="n"/>
      <c r="G1060" s="8" t="n"/>
      <c r="H1060" s="8" t="n"/>
      <c r="I1060" s="8" t="n"/>
      <c r="J1060" s="8" t="n"/>
      <c r="K1060" s="12">
        <f>IF(OR(ISERROR(VLOOKUP(C1060, Resultados_Reales!$A$4:$I$107, 5, FALSE)), ISERROR(VLOOKUP(C1060, Resultados_Reales!$A$4:$I$107, 6, FALSE)), VLOOKUP(C1060, Resultados_Reales!$A$4:$I$107, 5, FALSE)="", VLOOKUP(C1060, Resultados_Reales!$A$4:$I$107, 6, FALSE)=""), 0, IF(AND(VLOOKUP(C1060, Resultados_Reales!$A$4:$I$107, 5, FALSE)=G1060, VLOOKUP(C1060, Resultados_Reales!$A$4:$I$107, 6, FALSE)=H1060), Configuracion!$B$5, IF(SIGN(VLOOKUP(C1060, Resultados_Reales!$A$4:$I$107, 5, FALSE)-VLOOKUP(C1060, Resultados_Reales!$A$4:$I$107, 6, FALSE)) = SIGN(G1060-H1060), Configuracion!$B$4, 0)))</f>
        <v/>
      </c>
      <c r="L1060" s="11" t="n"/>
      <c r="M1060" s="11" t="n"/>
      <c r="N1060" s="11" t="n"/>
      <c r="O1060" s="11" t="n"/>
      <c r="P1060" s="11" t="n"/>
      <c r="Q1060" s="11" t="n"/>
    </row>
    <row r="1061">
      <c r="A1061" s="8">
        <f>B1061&amp;"_"&amp;C1061</f>
        <v/>
      </c>
      <c r="B1061" s="8" t="n"/>
      <c r="C1061" s="8" t="n"/>
      <c r="D1061" s="8" t="n"/>
      <c r="E1061" s="11" t="n"/>
      <c r="F1061" s="11" t="n"/>
      <c r="G1061" s="8" t="n"/>
      <c r="H1061" s="8" t="n"/>
      <c r="I1061" s="8" t="n"/>
      <c r="J1061" s="8" t="n"/>
      <c r="K1061" s="12">
        <f>IF(OR(ISERROR(VLOOKUP(C1061, Resultados_Reales!$A$4:$I$107, 5, FALSE)), ISERROR(VLOOKUP(C1061, Resultados_Reales!$A$4:$I$107, 6, FALSE)), VLOOKUP(C1061, Resultados_Reales!$A$4:$I$107, 5, FALSE)="", VLOOKUP(C1061, Resultados_Reales!$A$4:$I$107, 6, FALSE)=""), 0, IF(AND(VLOOKUP(C1061, Resultados_Reales!$A$4:$I$107, 5, FALSE)=G1061, VLOOKUP(C1061, Resultados_Reales!$A$4:$I$107, 6, FALSE)=H1061), Configuracion!$B$5, IF(SIGN(VLOOKUP(C1061, Resultados_Reales!$A$4:$I$107, 5, FALSE)-VLOOKUP(C1061, Resultados_Reales!$A$4:$I$107, 6, FALSE)) = SIGN(G1061-H1061), Configuracion!$B$4, 0)))</f>
        <v/>
      </c>
      <c r="L1061" s="11" t="n"/>
      <c r="M1061" s="11" t="n"/>
      <c r="N1061" s="11" t="n"/>
      <c r="O1061" s="11" t="n"/>
      <c r="P1061" s="11" t="n"/>
      <c r="Q1061" s="11" t="n"/>
    </row>
    <row r="1062">
      <c r="A1062" s="8">
        <f>B1062&amp;"_"&amp;C1062</f>
        <v/>
      </c>
      <c r="B1062" s="8" t="n"/>
      <c r="C1062" s="8" t="n"/>
      <c r="D1062" s="8" t="n"/>
      <c r="E1062" s="11" t="n"/>
      <c r="F1062" s="11" t="n"/>
      <c r="G1062" s="8" t="n"/>
      <c r="H1062" s="8" t="n"/>
      <c r="I1062" s="8" t="n"/>
      <c r="J1062" s="8" t="n"/>
      <c r="K1062" s="12">
        <f>IF(OR(ISERROR(VLOOKUP(C1062, Resultados_Reales!$A$4:$I$107, 5, FALSE)), ISERROR(VLOOKUP(C1062, Resultados_Reales!$A$4:$I$107, 6, FALSE)), VLOOKUP(C1062, Resultados_Reales!$A$4:$I$107, 5, FALSE)="", VLOOKUP(C1062, Resultados_Reales!$A$4:$I$107, 6, FALSE)=""), 0, IF(AND(VLOOKUP(C1062, Resultados_Reales!$A$4:$I$107, 5, FALSE)=G1062, VLOOKUP(C1062, Resultados_Reales!$A$4:$I$107, 6, FALSE)=H1062), Configuracion!$B$5, IF(SIGN(VLOOKUP(C1062, Resultados_Reales!$A$4:$I$107, 5, FALSE)-VLOOKUP(C1062, Resultados_Reales!$A$4:$I$107, 6, FALSE)) = SIGN(G1062-H1062), Configuracion!$B$4, 0)))</f>
        <v/>
      </c>
      <c r="L1062" s="11" t="n"/>
      <c r="M1062" s="11" t="n"/>
      <c r="N1062" s="11" t="n"/>
      <c r="O1062" s="11" t="n"/>
      <c r="P1062" s="11" t="n"/>
      <c r="Q1062" s="11" t="n"/>
    </row>
    <row r="1063">
      <c r="A1063" s="8">
        <f>B1063&amp;"_"&amp;C1063</f>
        <v/>
      </c>
      <c r="B1063" s="8" t="n"/>
      <c r="C1063" s="8" t="n"/>
      <c r="D1063" s="8" t="n"/>
      <c r="E1063" s="11" t="n"/>
      <c r="F1063" s="11" t="n"/>
      <c r="G1063" s="8" t="n"/>
      <c r="H1063" s="8" t="n"/>
      <c r="I1063" s="8" t="n"/>
      <c r="J1063" s="8" t="n"/>
      <c r="K1063" s="12">
        <f>IF(OR(ISERROR(VLOOKUP(C1063, Resultados_Reales!$A$4:$I$107, 5, FALSE)), ISERROR(VLOOKUP(C1063, Resultados_Reales!$A$4:$I$107, 6, FALSE)), VLOOKUP(C1063, Resultados_Reales!$A$4:$I$107, 5, FALSE)="", VLOOKUP(C1063, Resultados_Reales!$A$4:$I$107, 6, FALSE)=""), 0, IF(AND(VLOOKUP(C1063, Resultados_Reales!$A$4:$I$107, 5, FALSE)=G1063, VLOOKUP(C1063, Resultados_Reales!$A$4:$I$107, 6, FALSE)=H1063), Configuracion!$B$5, IF(SIGN(VLOOKUP(C1063, Resultados_Reales!$A$4:$I$107, 5, FALSE)-VLOOKUP(C1063, Resultados_Reales!$A$4:$I$107, 6, FALSE)) = SIGN(G1063-H1063), Configuracion!$B$4, 0)))</f>
        <v/>
      </c>
      <c r="L1063" s="11" t="n"/>
      <c r="M1063" s="11" t="n"/>
      <c r="N1063" s="11" t="n"/>
      <c r="O1063" s="11" t="n"/>
      <c r="P1063" s="11" t="n"/>
      <c r="Q1063" s="11" t="n"/>
    </row>
    <row r="1064">
      <c r="A1064" s="8">
        <f>B1064&amp;"_"&amp;C1064</f>
        <v/>
      </c>
      <c r="B1064" s="8" t="n"/>
      <c r="C1064" s="8" t="n"/>
      <c r="D1064" s="8" t="n"/>
      <c r="E1064" s="11" t="n"/>
      <c r="F1064" s="11" t="n"/>
      <c r="G1064" s="8" t="n"/>
      <c r="H1064" s="8" t="n"/>
      <c r="I1064" s="8" t="n"/>
      <c r="J1064" s="8" t="n"/>
      <c r="K1064" s="12">
        <f>IF(OR(ISERROR(VLOOKUP(C1064, Resultados_Reales!$A$4:$I$107, 5, FALSE)), ISERROR(VLOOKUP(C1064, Resultados_Reales!$A$4:$I$107, 6, FALSE)), VLOOKUP(C1064, Resultados_Reales!$A$4:$I$107, 5, FALSE)="", VLOOKUP(C1064, Resultados_Reales!$A$4:$I$107, 6, FALSE)=""), 0, IF(AND(VLOOKUP(C1064, Resultados_Reales!$A$4:$I$107, 5, FALSE)=G1064, VLOOKUP(C1064, Resultados_Reales!$A$4:$I$107, 6, FALSE)=H1064), Configuracion!$B$5, IF(SIGN(VLOOKUP(C1064, Resultados_Reales!$A$4:$I$107, 5, FALSE)-VLOOKUP(C1064, Resultados_Reales!$A$4:$I$107, 6, FALSE)) = SIGN(G1064-H1064), Configuracion!$B$4, 0)))</f>
        <v/>
      </c>
      <c r="L1064" s="11" t="n"/>
      <c r="M1064" s="11" t="n"/>
      <c r="N1064" s="11" t="n"/>
      <c r="O1064" s="11" t="n"/>
      <c r="P1064" s="11" t="n"/>
      <c r="Q1064" s="11" t="n"/>
    </row>
    <row r="1065">
      <c r="A1065" s="8">
        <f>B1065&amp;"_"&amp;C1065</f>
        <v/>
      </c>
      <c r="B1065" s="8" t="n"/>
      <c r="C1065" s="8" t="n"/>
      <c r="D1065" s="8" t="n"/>
      <c r="E1065" s="11" t="n"/>
      <c r="F1065" s="11" t="n"/>
      <c r="G1065" s="8" t="n"/>
      <c r="H1065" s="8" t="n"/>
      <c r="I1065" s="8" t="n"/>
      <c r="J1065" s="8" t="n"/>
      <c r="K1065" s="12">
        <f>IF(OR(ISERROR(VLOOKUP(C1065, Resultados_Reales!$A$4:$I$107, 5, FALSE)), ISERROR(VLOOKUP(C1065, Resultados_Reales!$A$4:$I$107, 6, FALSE)), VLOOKUP(C1065, Resultados_Reales!$A$4:$I$107, 5, FALSE)="", VLOOKUP(C1065, Resultados_Reales!$A$4:$I$107, 6, FALSE)=""), 0, IF(AND(VLOOKUP(C1065, Resultados_Reales!$A$4:$I$107, 5, FALSE)=G1065, VLOOKUP(C1065, Resultados_Reales!$A$4:$I$107, 6, FALSE)=H1065), Configuracion!$B$5, IF(SIGN(VLOOKUP(C1065, Resultados_Reales!$A$4:$I$107, 5, FALSE)-VLOOKUP(C1065, Resultados_Reales!$A$4:$I$107, 6, FALSE)) = SIGN(G1065-H1065), Configuracion!$B$4, 0)))</f>
        <v/>
      </c>
      <c r="L1065" s="11" t="n"/>
      <c r="M1065" s="11" t="n"/>
      <c r="N1065" s="11" t="n"/>
      <c r="O1065" s="11" t="n"/>
      <c r="P1065" s="11" t="n"/>
      <c r="Q1065" s="11" t="n"/>
    </row>
    <row r="1066">
      <c r="A1066" s="8">
        <f>B1066&amp;"_"&amp;C1066</f>
        <v/>
      </c>
      <c r="B1066" s="8" t="n"/>
      <c r="C1066" s="8" t="n"/>
      <c r="D1066" s="8" t="n"/>
      <c r="E1066" s="11" t="n"/>
      <c r="F1066" s="11" t="n"/>
      <c r="G1066" s="8" t="n"/>
      <c r="H1066" s="8" t="n"/>
      <c r="I1066" s="8" t="n"/>
      <c r="J1066" s="8" t="n"/>
      <c r="K1066" s="12">
        <f>IF(OR(ISERROR(VLOOKUP(C1066, Resultados_Reales!$A$4:$I$107, 5, FALSE)), ISERROR(VLOOKUP(C1066, Resultados_Reales!$A$4:$I$107, 6, FALSE)), VLOOKUP(C1066, Resultados_Reales!$A$4:$I$107, 5, FALSE)="", VLOOKUP(C1066, Resultados_Reales!$A$4:$I$107, 6, FALSE)=""), 0, IF(AND(VLOOKUP(C1066, Resultados_Reales!$A$4:$I$107, 5, FALSE)=G1066, VLOOKUP(C1066, Resultados_Reales!$A$4:$I$107, 6, FALSE)=H1066), Configuracion!$B$5, IF(SIGN(VLOOKUP(C1066, Resultados_Reales!$A$4:$I$107, 5, FALSE)-VLOOKUP(C1066, Resultados_Reales!$A$4:$I$107, 6, FALSE)) = SIGN(G1066-H1066), Configuracion!$B$4, 0)))</f>
        <v/>
      </c>
      <c r="L1066" s="11" t="n"/>
      <c r="M1066" s="11" t="n"/>
      <c r="N1066" s="11" t="n"/>
      <c r="O1066" s="11" t="n"/>
      <c r="P1066" s="11" t="n"/>
      <c r="Q1066" s="11" t="n"/>
    </row>
    <row r="1067">
      <c r="A1067" s="8">
        <f>B1067&amp;"_"&amp;C1067</f>
        <v/>
      </c>
      <c r="B1067" s="8" t="n"/>
      <c r="C1067" s="8" t="n"/>
      <c r="D1067" s="8" t="n"/>
      <c r="E1067" s="11" t="n"/>
      <c r="F1067" s="11" t="n"/>
      <c r="G1067" s="8" t="n"/>
      <c r="H1067" s="8" t="n"/>
      <c r="I1067" s="8" t="n"/>
      <c r="J1067" s="8" t="n"/>
      <c r="K1067" s="12">
        <f>IF(OR(ISERROR(VLOOKUP(C1067, Resultados_Reales!$A$4:$I$107, 5, FALSE)), ISERROR(VLOOKUP(C1067, Resultados_Reales!$A$4:$I$107, 6, FALSE)), VLOOKUP(C1067, Resultados_Reales!$A$4:$I$107, 5, FALSE)="", VLOOKUP(C1067, Resultados_Reales!$A$4:$I$107, 6, FALSE)=""), 0, IF(AND(VLOOKUP(C1067, Resultados_Reales!$A$4:$I$107, 5, FALSE)=G1067, VLOOKUP(C1067, Resultados_Reales!$A$4:$I$107, 6, FALSE)=H1067), Configuracion!$B$5, IF(SIGN(VLOOKUP(C1067, Resultados_Reales!$A$4:$I$107, 5, FALSE)-VLOOKUP(C1067, Resultados_Reales!$A$4:$I$107, 6, FALSE)) = SIGN(G1067-H1067), Configuracion!$B$4, 0)))</f>
        <v/>
      </c>
      <c r="L1067" s="11" t="n"/>
      <c r="M1067" s="11" t="n"/>
      <c r="N1067" s="11" t="n"/>
      <c r="O1067" s="11" t="n"/>
      <c r="P1067" s="11" t="n"/>
      <c r="Q1067" s="11" t="n"/>
    </row>
    <row r="1068">
      <c r="A1068" s="8">
        <f>B1068&amp;"_"&amp;C1068</f>
        <v/>
      </c>
      <c r="B1068" s="8" t="n"/>
      <c r="C1068" s="8" t="n"/>
      <c r="D1068" s="8" t="n"/>
      <c r="E1068" s="11" t="n"/>
      <c r="F1068" s="11" t="n"/>
      <c r="G1068" s="8" t="n"/>
      <c r="H1068" s="8" t="n"/>
      <c r="I1068" s="8" t="n"/>
      <c r="J1068" s="8" t="n"/>
      <c r="K1068" s="12">
        <f>IF(OR(ISERROR(VLOOKUP(C1068, Resultados_Reales!$A$4:$I$107, 5, FALSE)), ISERROR(VLOOKUP(C1068, Resultados_Reales!$A$4:$I$107, 6, FALSE)), VLOOKUP(C1068, Resultados_Reales!$A$4:$I$107, 5, FALSE)="", VLOOKUP(C1068, Resultados_Reales!$A$4:$I$107, 6, FALSE)=""), 0, IF(AND(VLOOKUP(C1068, Resultados_Reales!$A$4:$I$107, 5, FALSE)=G1068, VLOOKUP(C1068, Resultados_Reales!$A$4:$I$107, 6, FALSE)=H1068), Configuracion!$B$5, IF(SIGN(VLOOKUP(C1068, Resultados_Reales!$A$4:$I$107, 5, FALSE)-VLOOKUP(C1068, Resultados_Reales!$A$4:$I$107, 6, FALSE)) = SIGN(G1068-H1068), Configuracion!$B$4, 0)))</f>
        <v/>
      </c>
      <c r="L1068" s="11" t="n"/>
      <c r="M1068" s="11" t="n"/>
      <c r="N1068" s="11" t="n"/>
      <c r="O1068" s="11" t="n"/>
      <c r="P1068" s="11" t="n"/>
      <c r="Q1068" s="11" t="n"/>
    </row>
    <row r="1069">
      <c r="A1069" s="8">
        <f>B1069&amp;"_"&amp;C1069</f>
        <v/>
      </c>
      <c r="B1069" s="8" t="n"/>
      <c r="C1069" s="8" t="n"/>
      <c r="D1069" s="8" t="n"/>
      <c r="E1069" s="11" t="n"/>
      <c r="F1069" s="11" t="n"/>
      <c r="G1069" s="8" t="n"/>
      <c r="H1069" s="8" t="n"/>
      <c r="I1069" s="8" t="n"/>
      <c r="J1069" s="8" t="n"/>
      <c r="K1069" s="12">
        <f>IF(OR(ISERROR(VLOOKUP(C1069, Resultados_Reales!$A$4:$I$107, 5, FALSE)), ISERROR(VLOOKUP(C1069, Resultados_Reales!$A$4:$I$107, 6, FALSE)), VLOOKUP(C1069, Resultados_Reales!$A$4:$I$107, 5, FALSE)="", VLOOKUP(C1069, Resultados_Reales!$A$4:$I$107, 6, FALSE)=""), 0, IF(AND(VLOOKUP(C1069, Resultados_Reales!$A$4:$I$107, 5, FALSE)=G1069, VLOOKUP(C1069, Resultados_Reales!$A$4:$I$107, 6, FALSE)=H1069), Configuracion!$B$5, IF(SIGN(VLOOKUP(C1069, Resultados_Reales!$A$4:$I$107, 5, FALSE)-VLOOKUP(C1069, Resultados_Reales!$A$4:$I$107, 6, FALSE)) = SIGN(G1069-H1069), Configuracion!$B$4, 0)))</f>
        <v/>
      </c>
      <c r="L1069" s="11" t="n"/>
      <c r="M1069" s="11" t="n"/>
      <c r="N1069" s="11" t="n"/>
      <c r="O1069" s="11" t="n"/>
      <c r="P1069" s="11" t="n"/>
      <c r="Q1069" s="11" t="n"/>
    </row>
    <row r="1070">
      <c r="A1070" s="8">
        <f>B1070&amp;"_"&amp;C1070</f>
        <v/>
      </c>
      <c r="B1070" s="8" t="n"/>
      <c r="C1070" s="8" t="n"/>
      <c r="D1070" s="8" t="n"/>
      <c r="E1070" s="11" t="n"/>
      <c r="F1070" s="11" t="n"/>
      <c r="G1070" s="8" t="n"/>
      <c r="H1070" s="8" t="n"/>
      <c r="I1070" s="8" t="n"/>
      <c r="J1070" s="8" t="n"/>
      <c r="K1070" s="12">
        <f>IF(OR(ISERROR(VLOOKUP(C1070, Resultados_Reales!$A$4:$I$107, 5, FALSE)), ISERROR(VLOOKUP(C1070, Resultados_Reales!$A$4:$I$107, 6, FALSE)), VLOOKUP(C1070, Resultados_Reales!$A$4:$I$107, 5, FALSE)="", VLOOKUP(C1070, Resultados_Reales!$A$4:$I$107, 6, FALSE)=""), 0, IF(AND(VLOOKUP(C1070, Resultados_Reales!$A$4:$I$107, 5, FALSE)=G1070, VLOOKUP(C1070, Resultados_Reales!$A$4:$I$107, 6, FALSE)=H1070), Configuracion!$B$5, IF(SIGN(VLOOKUP(C1070, Resultados_Reales!$A$4:$I$107, 5, FALSE)-VLOOKUP(C1070, Resultados_Reales!$A$4:$I$107, 6, FALSE)) = SIGN(G1070-H1070), Configuracion!$B$4, 0)))</f>
        <v/>
      </c>
      <c r="L1070" s="11" t="n"/>
      <c r="M1070" s="11" t="n"/>
      <c r="N1070" s="11" t="n"/>
      <c r="O1070" s="11" t="n"/>
      <c r="P1070" s="11" t="n"/>
      <c r="Q1070" s="11" t="n"/>
    </row>
    <row r="1071">
      <c r="A1071" s="8">
        <f>B1071&amp;"_"&amp;C1071</f>
        <v/>
      </c>
      <c r="B1071" s="8" t="n"/>
      <c r="C1071" s="8" t="n"/>
      <c r="D1071" s="8" t="n"/>
      <c r="E1071" s="11" t="n"/>
      <c r="F1071" s="11" t="n"/>
      <c r="G1071" s="8" t="n"/>
      <c r="H1071" s="8" t="n"/>
      <c r="I1071" s="8" t="n"/>
      <c r="J1071" s="8" t="n"/>
      <c r="K1071" s="12">
        <f>IF(OR(ISERROR(VLOOKUP(C1071, Resultados_Reales!$A$4:$I$107, 5, FALSE)), ISERROR(VLOOKUP(C1071, Resultados_Reales!$A$4:$I$107, 6, FALSE)), VLOOKUP(C1071, Resultados_Reales!$A$4:$I$107, 5, FALSE)="", VLOOKUP(C1071, Resultados_Reales!$A$4:$I$107, 6, FALSE)=""), 0, IF(AND(VLOOKUP(C1071, Resultados_Reales!$A$4:$I$107, 5, FALSE)=G1071, VLOOKUP(C1071, Resultados_Reales!$A$4:$I$107, 6, FALSE)=H1071), Configuracion!$B$5, IF(SIGN(VLOOKUP(C1071, Resultados_Reales!$A$4:$I$107, 5, FALSE)-VLOOKUP(C1071, Resultados_Reales!$A$4:$I$107, 6, FALSE)) = SIGN(G1071-H1071), Configuracion!$B$4, 0)))</f>
        <v/>
      </c>
      <c r="L1071" s="11" t="n"/>
      <c r="M1071" s="11" t="n"/>
      <c r="N1071" s="11" t="n"/>
      <c r="O1071" s="11" t="n"/>
      <c r="P1071" s="11" t="n"/>
      <c r="Q1071" s="11" t="n"/>
    </row>
    <row r="1072">
      <c r="A1072" s="8">
        <f>B1072&amp;"_"&amp;C1072</f>
        <v/>
      </c>
      <c r="B1072" s="8" t="n"/>
      <c r="C1072" s="8" t="n"/>
      <c r="D1072" s="8" t="n"/>
      <c r="E1072" s="11" t="n"/>
      <c r="F1072" s="11" t="n"/>
      <c r="G1072" s="8" t="n"/>
      <c r="H1072" s="8" t="n"/>
      <c r="I1072" s="8" t="n"/>
      <c r="J1072" s="8" t="n"/>
      <c r="K1072" s="12">
        <f>IF(OR(ISERROR(VLOOKUP(C1072, Resultados_Reales!$A$4:$I$107, 5, FALSE)), ISERROR(VLOOKUP(C1072, Resultados_Reales!$A$4:$I$107, 6, FALSE)), VLOOKUP(C1072, Resultados_Reales!$A$4:$I$107, 5, FALSE)="", VLOOKUP(C1072, Resultados_Reales!$A$4:$I$107, 6, FALSE)=""), 0, IF(AND(VLOOKUP(C1072, Resultados_Reales!$A$4:$I$107, 5, FALSE)=G1072, VLOOKUP(C1072, Resultados_Reales!$A$4:$I$107, 6, FALSE)=H1072), Configuracion!$B$5, IF(SIGN(VLOOKUP(C1072, Resultados_Reales!$A$4:$I$107, 5, FALSE)-VLOOKUP(C1072, Resultados_Reales!$A$4:$I$107, 6, FALSE)) = SIGN(G1072-H1072), Configuracion!$B$4, 0)))</f>
        <v/>
      </c>
      <c r="L1072" s="11" t="n"/>
      <c r="M1072" s="11" t="n"/>
      <c r="N1072" s="11" t="n"/>
      <c r="O1072" s="11" t="n"/>
      <c r="P1072" s="11" t="n"/>
      <c r="Q1072" s="11" t="n"/>
    </row>
    <row r="1073">
      <c r="A1073" s="8">
        <f>B1073&amp;"_"&amp;C1073</f>
        <v/>
      </c>
      <c r="B1073" s="8" t="n"/>
      <c r="C1073" s="8" t="n"/>
      <c r="D1073" s="8" t="n"/>
      <c r="E1073" s="11" t="n"/>
      <c r="F1073" s="11" t="n"/>
      <c r="G1073" s="8" t="n"/>
      <c r="H1073" s="8" t="n"/>
      <c r="I1073" s="8" t="n"/>
      <c r="J1073" s="8" t="n"/>
      <c r="K1073" s="12">
        <f>IF(OR(ISERROR(VLOOKUP(C1073, Resultados_Reales!$A$4:$I$107, 5, FALSE)), ISERROR(VLOOKUP(C1073, Resultados_Reales!$A$4:$I$107, 6, FALSE)), VLOOKUP(C1073, Resultados_Reales!$A$4:$I$107, 5, FALSE)="", VLOOKUP(C1073, Resultados_Reales!$A$4:$I$107, 6, FALSE)=""), 0, IF(AND(VLOOKUP(C1073, Resultados_Reales!$A$4:$I$107, 5, FALSE)=G1073, VLOOKUP(C1073, Resultados_Reales!$A$4:$I$107, 6, FALSE)=H1073), Configuracion!$B$5, IF(SIGN(VLOOKUP(C1073, Resultados_Reales!$A$4:$I$107, 5, FALSE)-VLOOKUP(C1073, Resultados_Reales!$A$4:$I$107, 6, FALSE)) = SIGN(G1073-H1073), Configuracion!$B$4, 0)))</f>
        <v/>
      </c>
      <c r="L1073" s="11" t="n"/>
      <c r="M1073" s="11" t="n"/>
      <c r="N1073" s="11" t="n"/>
      <c r="O1073" s="11" t="n"/>
      <c r="P1073" s="11" t="n"/>
      <c r="Q1073" s="11" t="n"/>
    </row>
    <row r="1074">
      <c r="A1074" s="8">
        <f>B1074&amp;"_"&amp;C1074</f>
        <v/>
      </c>
      <c r="B1074" s="8" t="n"/>
      <c r="C1074" s="8" t="n"/>
      <c r="D1074" s="8" t="n"/>
      <c r="E1074" s="11" t="n"/>
      <c r="F1074" s="11" t="n"/>
      <c r="G1074" s="8" t="n"/>
      <c r="H1074" s="8" t="n"/>
      <c r="I1074" s="8" t="n"/>
      <c r="J1074" s="8" t="n"/>
      <c r="K1074" s="12">
        <f>IF(OR(ISERROR(VLOOKUP(C1074, Resultados_Reales!$A$4:$I$107, 5, FALSE)), ISERROR(VLOOKUP(C1074, Resultados_Reales!$A$4:$I$107, 6, FALSE)), VLOOKUP(C1074, Resultados_Reales!$A$4:$I$107, 5, FALSE)="", VLOOKUP(C1074, Resultados_Reales!$A$4:$I$107, 6, FALSE)=""), 0, IF(AND(VLOOKUP(C1074, Resultados_Reales!$A$4:$I$107, 5, FALSE)=G1074, VLOOKUP(C1074, Resultados_Reales!$A$4:$I$107, 6, FALSE)=H1074), Configuracion!$B$5, IF(SIGN(VLOOKUP(C1074, Resultados_Reales!$A$4:$I$107, 5, FALSE)-VLOOKUP(C1074, Resultados_Reales!$A$4:$I$107, 6, FALSE)) = SIGN(G1074-H1074), Configuracion!$B$4, 0)))</f>
        <v/>
      </c>
      <c r="L1074" s="11" t="n"/>
      <c r="M1074" s="11" t="n"/>
      <c r="N1074" s="11" t="n"/>
      <c r="O1074" s="11" t="n"/>
      <c r="P1074" s="11" t="n"/>
      <c r="Q1074" s="11" t="n"/>
    </row>
    <row r="1075">
      <c r="A1075" s="8">
        <f>B1075&amp;"_"&amp;C1075</f>
        <v/>
      </c>
      <c r="B1075" s="8" t="n"/>
      <c r="C1075" s="8" t="n"/>
      <c r="D1075" s="8" t="n"/>
      <c r="E1075" s="11" t="n"/>
      <c r="F1075" s="11" t="n"/>
      <c r="G1075" s="8" t="n"/>
      <c r="H1075" s="8" t="n"/>
      <c r="I1075" s="8" t="n"/>
      <c r="J1075" s="8" t="n"/>
      <c r="K1075" s="12">
        <f>IF(OR(ISERROR(VLOOKUP(C1075, Resultados_Reales!$A$4:$I$107, 5, FALSE)), ISERROR(VLOOKUP(C1075, Resultados_Reales!$A$4:$I$107, 6, FALSE)), VLOOKUP(C1075, Resultados_Reales!$A$4:$I$107, 5, FALSE)="", VLOOKUP(C1075, Resultados_Reales!$A$4:$I$107, 6, FALSE)=""), 0, IF(AND(VLOOKUP(C1075, Resultados_Reales!$A$4:$I$107, 5, FALSE)=G1075, VLOOKUP(C1075, Resultados_Reales!$A$4:$I$107, 6, FALSE)=H1075), Configuracion!$B$5, IF(SIGN(VLOOKUP(C1075, Resultados_Reales!$A$4:$I$107, 5, FALSE)-VLOOKUP(C1075, Resultados_Reales!$A$4:$I$107, 6, FALSE)) = SIGN(G1075-H1075), Configuracion!$B$4, 0)))</f>
        <v/>
      </c>
      <c r="L1075" s="11" t="n"/>
      <c r="M1075" s="11" t="n"/>
      <c r="N1075" s="11" t="n"/>
      <c r="O1075" s="11" t="n"/>
      <c r="P1075" s="11" t="n"/>
      <c r="Q1075" s="11" t="n"/>
    </row>
    <row r="1076">
      <c r="A1076" s="8">
        <f>B1076&amp;"_"&amp;C1076</f>
        <v/>
      </c>
      <c r="B1076" s="8" t="n"/>
      <c r="C1076" s="8" t="n"/>
      <c r="D1076" s="8" t="n"/>
      <c r="E1076" s="11" t="n"/>
      <c r="F1076" s="11" t="n"/>
      <c r="G1076" s="8" t="n"/>
      <c r="H1076" s="8" t="n"/>
      <c r="I1076" s="8" t="n"/>
      <c r="J1076" s="8" t="n"/>
      <c r="K1076" s="12">
        <f>IF(OR(ISERROR(VLOOKUP(C1076, Resultados_Reales!$A$4:$I$107, 5, FALSE)), ISERROR(VLOOKUP(C1076, Resultados_Reales!$A$4:$I$107, 6, FALSE)), VLOOKUP(C1076, Resultados_Reales!$A$4:$I$107, 5, FALSE)="", VLOOKUP(C1076, Resultados_Reales!$A$4:$I$107, 6, FALSE)=""), 0, IF(AND(VLOOKUP(C1076, Resultados_Reales!$A$4:$I$107, 5, FALSE)=G1076, VLOOKUP(C1076, Resultados_Reales!$A$4:$I$107, 6, FALSE)=H1076), Configuracion!$B$5, IF(SIGN(VLOOKUP(C1076, Resultados_Reales!$A$4:$I$107, 5, FALSE)-VLOOKUP(C1076, Resultados_Reales!$A$4:$I$107, 6, FALSE)) = SIGN(G1076-H1076), Configuracion!$B$4, 0)))</f>
        <v/>
      </c>
      <c r="L1076" s="11" t="n"/>
      <c r="M1076" s="11" t="n"/>
      <c r="N1076" s="11" t="n"/>
      <c r="O1076" s="11" t="n"/>
      <c r="P1076" s="11" t="n"/>
      <c r="Q1076" s="11" t="n"/>
    </row>
    <row r="1077">
      <c r="A1077" s="8">
        <f>B1077&amp;"_"&amp;C1077</f>
        <v/>
      </c>
      <c r="B1077" s="8" t="n"/>
      <c r="C1077" s="8" t="n"/>
      <c r="D1077" s="8" t="n"/>
      <c r="E1077" s="11" t="n"/>
      <c r="F1077" s="11" t="n"/>
      <c r="G1077" s="8" t="n"/>
      <c r="H1077" s="8" t="n"/>
      <c r="I1077" s="8" t="n"/>
      <c r="J1077" s="8" t="n"/>
      <c r="K1077" s="12">
        <f>IF(OR(ISERROR(VLOOKUP(C1077, Resultados_Reales!$A$4:$I$107, 5, FALSE)), ISERROR(VLOOKUP(C1077, Resultados_Reales!$A$4:$I$107, 6, FALSE)), VLOOKUP(C1077, Resultados_Reales!$A$4:$I$107, 5, FALSE)="", VLOOKUP(C1077, Resultados_Reales!$A$4:$I$107, 6, FALSE)=""), 0, IF(AND(VLOOKUP(C1077, Resultados_Reales!$A$4:$I$107, 5, FALSE)=G1077, VLOOKUP(C1077, Resultados_Reales!$A$4:$I$107, 6, FALSE)=H1077), Configuracion!$B$5, IF(SIGN(VLOOKUP(C1077, Resultados_Reales!$A$4:$I$107, 5, FALSE)-VLOOKUP(C1077, Resultados_Reales!$A$4:$I$107, 6, FALSE)) = SIGN(G1077-H1077), Configuracion!$B$4, 0)))</f>
        <v/>
      </c>
      <c r="L1077" s="11" t="n"/>
      <c r="M1077" s="11" t="n"/>
      <c r="N1077" s="11" t="n"/>
      <c r="O1077" s="11" t="n"/>
      <c r="P1077" s="11" t="n"/>
      <c r="Q1077" s="11" t="n"/>
    </row>
    <row r="1078">
      <c r="A1078" s="8">
        <f>B1078&amp;"_"&amp;C1078</f>
        <v/>
      </c>
      <c r="B1078" s="8" t="n"/>
      <c r="C1078" s="8" t="n"/>
      <c r="D1078" s="8" t="n"/>
      <c r="E1078" s="11" t="n"/>
      <c r="F1078" s="11" t="n"/>
      <c r="G1078" s="8" t="n"/>
      <c r="H1078" s="8" t="n"/>
      <c r="I1078" s="8" t="n"/>
      <c r="J1078" s="8" t="n"/>
      <c r="K1078" s="12">
        <f>IF(OR(ISERROR(VLOOKUP(C1078, Resultados_Reales!$A$4:$I$107, 5, FALSE)), ISERROR(VLOOKUP(C1078, Resultados_Reales!$A$4:$I$107, 6, FALSE)), VLOOKUP(C1078, Resultados_Reales!$A$4:$I$107, 5, FALSE)="", VLOOKUP(C1078, Resultados_Reales!$A$4:$I$107, 6, FALSE)=""), 0, IF(AND(VLOOKUP(C1078, Resultados_Reales!$A$4:$I$107, 5, FALSE)=G1078, VLOOKUP(C1078, Resultados_Reales!$A$4:$I$107, 6, FALSE)=H1078), Configuracion!$B$5, IF(SIGN(VLOOKUP(C1078, Resultados_Reales!$A$4:$I$107, 5, FALSE)-VLOOKUP(C1078, Resultados_Reales!$A$4:$I$107, 6, FALSE)) = SIGN(G1078-H1078), Configuracion!$B$4, 0)))</f>
        <v/>
      </c>
      <c r="L1078" s="11" t="n"/>
      <c r="M1078" s="11" t="n"/>
      <c r="N1078" s="11" t="n"/>
      <c r="O1078" s="11" t="n"/>
      <c r="P1078" s="11" t="n"/>
      <c r="Q1078" s="11" t="n"/>
    </row>
    <row r="1079">
      <c r="A1079" s="8">
        <f>B1079&amp;"_"&amp;C1079</f>
        <v/>
      </c>
      <c r="B1079" s="8" t="n"/>
      <c r="C1079" s="8" t="n"/>
      <c r="D1079" s="8" t="n"/>
      <c r="E1079" s="11" t="n"/>
      <c r="F1079" s="11" t="n"/>
      <c r="G1079" s="8" t="n"/>
      <c r="H1079" s="8" t="n"/>
      <c r="I1079" s="8" t="n"/>
      <c r="J1079" s="8" t="n"/>
      <c r="K1079" s="12">
        <f>IF(OR(ISERROR(VLOOKUP(C1079, Resultados_Reales!$A$4:$I$107, 5, FALSE)), ISERROR(VLOOKUP(C1079, Resultados_Reales!$A$4:$I$107, 6, FALSE)), VLOOKUP(C1079, Resultados_Reales!$A$4:$I$107, 5, FALSE)="", VLOOKUP(C1079, Resultados_Reales!$A$4:$I$107, 6, FALSE)=""), 0, IF(AND(VLOOKUP(C1079, Resultados_Reales!$A$4:$I$107, 5, FALSE)=G1079, VLOOKUP(C1079, Resultados_Reales!$A$4:$I$107, 6, FALSE)=H1079), Configuracion!$B$5, IF(SIGN(VLOOKUP(C1079, Resultados_Reales!$A$4:$I$107, 5, FALSE)-VLOOKUP(C1079, Resultados_Reales!$A$4:$I$107, 6, FALSE)) = SIGN(G1079-H1079), Configuracion!$B$4, 0)))</f>
        <v/>
      </c>
      <c r="L1079" s="11" t="n"/>
      <c r="M1079" s="11" t="n"/>
      <c r="N1079" s="11" t="n"/>
      <c r="O1079" s="11" t="n"/>
      <c r="P1079" s="11" t="n"/>
      <c r="Q1079" s="11" t="n"/>
    </row>
    <row r="1080">
      <c r="A1080" s="8">
        <f>B1080&amp;"_"&amp;C1080</f>
        <v/>
      </c>
      <c r="B1080" s="8" t="n"/>
      <c r="C1080" s="8" t="n"/>
      <c r="D1080" s="8" t="n"/>
      <c r="E1080" s="11" t="n"/>
      <c r="F1080" s="11" t="n"/>
      <c r="G1080" s="8" t="n"/>
      <c r="H1080" s="8" t="n"/>
      <c r="I1080" s="8" t="n"/>
      <c r="J1080" s="8" t="n"/>
      <c r="K1080" s="12">
        <f>IF(OR(ISERROR(VLOOKUP(C1080, Resultados_Reales!$A$4:$I$107, 5, FALSE)), ISERROR(VLOOKUP(C1080, Resultados_Reales!$A$4:$I$107, 6, FALSE)), VLOOKUP(C1080, Resultados_Reales!$A$4:$I$107, 5, FALSE)="", VLOOKUP(C1080, Resultados_Reales!$A$4:$I$107, 6, FALSE)=""), 0, IF(AND(VLOOKUP(C1080, Resultados_Reales!$A$4:$I$107, 5, FALSE)=G1080, VLOOKUP(C1080, Resultados_Reales!$A$4:$I$107, 6, FALSE)=H1080), Configuracion!$B$5, IF(SIGN(VLOOKUP(C1080, Resultados_Reales!$A$4:$I$107, 5, FALSE)-VLOOKUP(C1080, Resultados_Reales!$A$4:$I$107, 6, FALSE)) = SIGN(G1080-H1080), Configuracion!$B$4, 0)))</f>
        <v/>
      </c>
      <c r="L1080" s="11" t="n"/>
      <c r="M1080" s="11" t="n"/>
      <c r="N1080" s="11" t="n"/>
      <c r="O1080" s="11" t="n"/>
      <c r="P1080" s="11" t="n"/>
      <c r="Q1080" s="11" t="n"/>
    </row>
    <row r="1081">
      <c r="A1081" s="8">
        <f>B1081&amp;"_"&amp;C1081</f>
        <v/>
      </c>
      <c r="B1081" s="8" t="n"/>
      <c r="C1081" s="8" t="n"/>
      <c r="D1081" s="8" t="n"/>
      <c r="E1081" s="11" t="n"/>
      <c r="F1081" s="11" t="n"/>
      <c r="G1081" s="8" t="n"/>
      <c r="H1081" s="8" t="n"/>
      <c r="I1081" s="8" t="n"/>
      <c r="J1081" s="8" t="n"/>
      <c r="K1081" s="12">
        <f>IF(OR(ISERROR(VLOOKUP(C1081, Resultados_Reales!$A$4:$I$107, 5, FALSE)), ISERROR(VLOOKUP(C1081, Resultados_Reales!$A$4:$I$107, 6, FALSE)), VLOOKUP(C1081, Resultados_Reales!$A$4:$I$107, 5, FALSE)="", VLOOKUP(C1081, Resultados_Reales!$A$4:$I$107, 6, FALSE)=""), 0, IF(AND(VLOOKUP(C1081, Resultados_Reales!$A$4:$I$107, 5, FALSE)=G1081, VLOOKUP(C1081, Resultados_Reales!$A$4:$I$107, 6, FALSE)=H1081), Configuracion!$B$5, IF(SIGN(VLOOKUP(C1081, Resultados_Reales!$A$4:$I$107, 5, FALSE)-VLOOKUP(C1081, Resultados_Reales!$A$4:$I$107, 6, FALSE)) = SIGN(G1081-H1081), Configuracion!$B$4, 0)))</f>
        <v/>
      </c>
      <c r="L1081" s="11" t="n"/>
      <c r="M1081" s="11" t="n"/>
      <c r="N1081" s="11" t="n"/>
      <c r="O1081" s="11" t="n"/>
      <c r="P1081" s="11" t="n"/>
      <c r="Q1081" s="11" t="n"/>
    </row>
    <row r="1082">
      <c r="A1082" s="8">
        <f>B1082&amp;"_"&amp;C1082</f>
        <v/>
      </c>
      <c r="B1082" s="8" t="n"/>
      <c r="C1082" s="8" t="n"/>
      <c r="D1082" s="8" t="n"/>
      <c r="E1082" s="11" t="n"/>
      <c r="F1082" s="11" t="n"/>
      <c r="G1082" s="8" t="n"/>
      <c r="H1082" s="8" t="n"/>
      <c r="I1082" s="8" t="n"/>
      <c r="J1082" s="8" t="n"/>
      <c r="K1082" s="12">
        <f>IF(OR(ISERROR(VLOOKUP(C1082, Resultados_Reales!$A$4:$I$107, 5, FALSE)), ISERROR(VLOOKUP(C1082, Resultados_Reales!$A$4:$I$107, 6, FALSE)), VLOOKUP(C1082, Resultados_Reales!$A$4:$I$107, 5, FALSE)="", VLOOKUP(C1082, Resultados_Reales!$A$4:$I$107, 6, FALSE)=""), 0, IF(AND(VLOOKUP(C1082, Resultados_Reales!$A$4:$I$107, 5, FALSE)=G1082, VLOOKUP(C1082, Resultados_Reales!$A$4:$I$107, 6, FALSE)=H1082), Configuracion!$B$5, IF(SIGN(VLOOKUP(C1082, Resultados_Reales!$A$4:$I$107, 5, FALSE)-VLOOKUP(C1082, Resultados_Reales!$A$4:$I$107, 6, FALSE)) = SIGN(G1082-H1082), Configuracion!$B$4, 0)))</f>
        <v/>
      </c>
      <c r="L1082" s="11" t="n"/>
      <c r="M1082" s="11" t="n"/>
      <c r="N1082" s="11" t="n"/>
      <c r="O1082" s="11" t="n"/>
      <c r="P1082" s="11" t="n"/>
      <c r="Q1082" s="11" t="n"/>
    </row>
    <row r="1083">
      <c r="A1083" s="8">
        <f>B1083&amp;"_"&amp;C1083</f>
        <v/>
      </c>
      <c r="B1083" s="8" t="n"/>
      <c r="C1083" s="8" t="n"/>
      <c r="D1083" s="8" t="n"/>
      <c r="E1083" s="11" t="n"/>
      <c r="F1083" s="11" t="n"/>
      <c r="G1083" s="8" t="n"/>
      <c r="H1083" s="8" t="n"/>
      <c r="I1083" s="8" t="n"/>
      <c r="J1083" s="8" t="n"/>
      <c r="K1083" s="12">
        <f>IF(OR(ISERROR(VLOOKUP(C1083, Resultados_Reales!$A$4:$I$107, 5, FALSE)), ISERROR(VLOOKUP(C1083, Resultados_Reales!$A$4:$I$107, 6, FALSE)), VLOOKUP(C1083, Resultados_Reales!$A$4:$I$107, 5, FALSE)="", VLOOKUP(C1083, Resultados_Reales!$A$4:$I$107, 6, FALSE)=""), 0, IF(AND(VLOOKUP(C1083, Resultados_Reales!$A$4:$I$107, 5, FALSE)=G1083, VLOOKUP(C1083, Resultados_Reales!$A$4:$I$107, 6, FALSE)=H1083), Configuracion!$B$5, IF(SIGN(VLOOKUP(C1083, Resultados_Reales!$A$4:$I$107, 5, FALSE)-VLOOKUP(C1083, Resultados_Reales!$A$4:$I$107, 6, FALSE)) = SIGN(G1083-H1083), Configuracion!$B$4, 0)))</f>
        <v/>
      </c>
      <c r="L1083" s="11" t="n"/>
      <c r="M1083" s="11" t="n"/>
      <c r="N1083" s="11" t="n"/>
      <c r="O1083" s="11" t="n"/>
      <c r="P1083" s="11" t="n"/>
      <c r="Q1083" s="11" t="n"/>
    </row>
    <row r="1084">
      <c r="A1084" s="8">
        <f>B1084&amp;"_"&amp;C1084</f>
        <v/>
      </c>
      <c r="B1084" s="8" t="n"/>
      <c r="C1084" s="8" t="n"/>
      <c r="D1084" s="8" t="n"/>
      <c r="E1084" s="11" t="n"/>
      <c r="F1084" s="11" t="n"/>
      <c r="G1084" s="8" t="n"/>
      <c r="H1084" s="8" t="n"/>
      <c r="I1084" s="8" t="n"/>
      <c r="J1084" s="8" t="n"/>
      <c r="K1084" s="12">
        <f>IF(OR(ISERROR(VLOOKUP(C1084, Resultados_Reales!$A$4:$I$107, 5, FALSE)), ISERROR(VLOOKUP(C1084, Resultados_Reales!$A$4:$I$107, 6, FALSE)), VLOOKUP(C1084, Resultados_Reales!$A$4:$I$107, 5, FALSE)="", VLOOKUP(C1084, Resultados_Reales!$A$4:$I$107, 6, FALSE)=""), 0, IF(AND(VLOOKUP(C1084, Resultados_Reales!$A$4:$I$107, 5, FALSE)=G1084, VLOOKUP(C1084, Resultados_Reales!$A$4:$I$107, 6, FALSE)=H1084), Configuracion!$B$5, IF(SIGN(VLOOKUP(C1084, Resultados_Reales!$A$4:$I$107, 5, FALSE)-VLOOKUP(C1084, Resultados_Reales!$A$4:$I$107, 6, FALSE)) = SIGN(G1084-H1084), Configuracion!$B$4, 0)))</f>
        <v/>
      </c>
      <c r="L1084" s="11" t="n"/>
      <c r="M1084" s="11" t="n"/>
      <c r="N1084" s="11" t="n"/>
      <c r="O1084" s="11" t="n"/>
      <c r="P1084" s="11" t="n"/>
      <c r="Q1084" s="11" t="n"/>
    </row>
    <row r="1085">
      <c r="A1085" s="8">
        <f>B1085&amp;"_"&amp;C1085</f>
        <v/>
      </c>
      <c r="B1085" s="8" t="n"/>
      <c r="C1085" s="8" t="n"/>
      <c r="D1085" s="8" t="n"/>
      <c r="E1085" s="11" t="n"/>
      <c r="F1085" s="11" t="n"/>
      <c r="G1085" s="8" t="n"/>
      <c r="H1085" s="8" t="n"/>
      <c r="I1085" s="8" t="n"/>
      <c r="J1085" s="8" t="n"/>
      <c r="K1085" s="12">
        <f>IF(OR(ISERROR(VLOOKUP(C1085, Resultados_Reales!$A$4:$I$107, 5, FALSE)), ISERROR(VLOOKUP(C1085, Resultados_Reales!$A$4:$I$107, 6, FALSE)), VLOOKUP(C1085, Resultados_Reales!$A$4:$I$107, 5, FALSE)="", VLOOKUP(C1085, Resultados_Reales!$A$4:$I$107, 6, FALSE)=""), 0, IF(AND(VLOOKUP(C1085, Resultados_Reales!$A$4:$I$107, 5, FALSE)=G1085, VLOOKUP(C1085, Resultados_Reales!$A$4:$I$107, 6, FALSE)=H1085), Configuracion!$B$5, IF(SIGN(VLOOKUP(C1085, Resultados_Reales!$A$4:$I$107, 5, FALSE)-VLOOKUP(C1085, Resultados_Reales!$A$4:$I$107, 6, FALSE)) = SIGN(G1085-H1085), Configuracion!$B$4, 0)))</f>
        <v/>
      </c>
      <c r="L1085" s="11" t="n"/>
      <c r="M1085" s="11" t="n"/>
      <c r="N1085" s="11" t="n"/>
      <c r="O1085" s="11" t="n"/>
      <c r="P1085" s="11" t="n"/>
      <c r="Q1085" s="11" t="n"/>
    </row>
    <row r="1086">
      <c r="A1086" s="8">
        <f>B1086&amp;"_"&amp;C1086</f>
        <v/>
      </c>
      <c r="B1086" s="8" t="n"/>
      <c r="C1086" s="8" t="n"/>
      <c r="D1086" s="8" t="n"/>
      <c r="E1086" s="11" t="n"/>
      <c r="F1086" s="11" t="n"/>
      <c r="G1086" s="8" t="n"/>
      <c r="H1086" s="8" t="n"/>
      <c r="I1086" s="8" t="n"/>
      <c r="J1086" s="8" t="n"/>
      <c r="K1086" s="12">
        <f>IF(OR(ISERROR(VLOOKUP(C1086, Resultados_Reales!$A$4:$I$107, 5, FALSE)), ISERROR(VLOOKUP(C1086, Resultados_Reales!$A$4:$I$107, 6, FALSE)), VLOOKUP(C1086, Resultados_Reales!$A$4:$I$107, 5, FALSE)="", VLOOKUP(C1086, Resultados_Reales!$A$4:$I$107, 6, FALSE)=""), 0, IF(AND(VLOOKUP(C1086, Resultados_Reales!$A$4:$I$107, 5, FALSE)=G1086, VLOOKUP(C1086, Resultados_Reales!$A$4:$I$107, 6, FALSE)=H1086), Configuracion!$B$5, IF(SIGN(VLOOKUP(C1086, Resultados_Reales!$A$4:$I$107, 5, FALSE)-VLOOKUP(C1086, Resultados_Reales!$A$4:$I$107, 6, FALSE)) = SIGN(G1086-H1086), Configuracion!$B$4, 0)))</f>
        <v/>
      </c>
      <c r="L1086" s="11" t="n"/>
      <c r="M1086" s="11" t="n"/>
      <c r="N1086" s="11" t="n"/>
      <c r="O1086" s="11" t="n"/>
      <c r="P1086" s="11" t="n"/>
      <c r="Q1086" s="11" t="n"/>
    </row>
    <row r="1087">
      <c r="A1087" s="8">
        <f>B1087&amp;"_"&amp;C1087</f>
        <v/>
      </c>
      <c r="B1087" s="8" t="n"/>
      <c r="C1087" s="8" t="n"/>
      <c r="D1087" s="8" t="n"/>
      <c r="E1087" s="11" t="n"/>
      <c r="F1087" s="11" t="n"/>
      <c r="G1087" s="8" t="n"/>
      <c r="H1087" s="8" t="n"/>
      <c r="I1087" s="8" t="n"/>
      <c r="J1087" s="8" t="n"/>
      <c r="K1087" s="12">
        <f>IF(OR(ISERROR(VLOOKUP(C1087, Resultados_Reales!$A$4:$I$107, 5, FALSE)), ISERROR(VLOOKUP(C1087, Resultados_Reales!$A$4:$I$107, 6, FALSE)), VLOOKUP(C1087, Resultados_Reales!$A$4:$I$107, 5, FALSE)="", VLOOKUP(C1087, Resultados_Reales!$A$4:$I$107, 6, FALSE)=""), 0, IF(AND(VLOOKUP(C1087, Resultados_Reales!$A$4:$I$107, 5, FALSE)=G1087, VLOOKUP(C1087, Resultados_Reales!$A$4:$I$107, 6, FALSE)=H1087), Configuracion!$B$5, IF(SIGN(VLOOKUP(C1087, Resultados_Reales!$A$4:$I$107, 5, FALSE)-VLOOKUP(C1087, Resultados_Reales!$A$4:$I$107, 6, FALSE)) = SIGN(G1087-H1087), Configuracion!$B$4, 0)))</f>
        <v/>
      </c>
      <c r="L1087" s="11" t="n"/>
      <c r="M1087" s="11" t="n"/>
      <c r="N1087" s="11" t="n"/>
      <c r="O1087" s="11" t="n"/>
      <c r="P1087" s="11" t="n"/>
      <c r="Q1087" s="11" t="n"/>
    </row>
    <row r="1088">
      <c r="A1088" s="8">
        <f>B1088&amp;"_"&amp;C1088</f>
        <v/>
      </c>
      <c r="B1088" s="8" t="n"/>
      <c r="C1088" s="8" t="n"/>
      <c r="D1088" s="8" t="n"/>
      <c r="E1088" s="11" t="n"/>
      <c r="F1088" s="11" t="n"/>
      <c r="G1088" s="8" t="n"/>
      <c r="H1088" s="8" t="n"/>
      <c r="I1088" s="8" t="n"/>
      <c r="J1088" s="8" t="n"/>
      <c r="K1088" s="12">
        <f>IF(OR(ISERROR(VLOOKUP(C1088, Resultados_Reales!$A$4:$I$107, 5, FALSE)), ISERROR(VLOOKUP(C1088, Resultados_Reales!$A$4:$I$107, 6, FALSE)), VLOOKUP(C1088, Resultados_Reales!$A$4:$I$107, 5, FALSE)="", VLOOKUP(C1088, Resultados_Reales!$A$4:$I$107, 6, FALSE)=""), 0, IF(AND(VLOOKUP(C1088, Resultados_Reales!$A$4:$I$107, 5, FALSE)=G1088, VLOOKUP(C1088, Resultados_Reales!$A$4:$I$107, 6, FALSE)=H1088), Configuracion!$B$5, IF(SIGN(VLOOKUP(C1088, Resultados_Reales!$A$4:$I$107, 5, FALSE)-VLOOKUP(C1088, Resultados_Reales!$A$4:$I$107, 6, FALSE)) = SIGN(G1088-H1088), Configuracion!$B$4, 0)))</f>
        <v/>
      </c>
      <c r="L1088" s="11" t="n"/>
      <c r="M1088" s="11" t="n"/>
      <c r="N1088" s="11" t="n"/>
      <c r="O1088" s="11" t="n"/>
      <c r="P1088" s="11" t="n"/>
      <c r="Q1088" s="11" t="n"/>
    </row>
    <row r="1089">
      <c r="A1089" s="8">
        <f>B1089&amp;"_"&amp;C1089</f>
        <v/>
      </c>
      <c r="B1089" s="8" t="n"/>
      <c r="C1089" s="8" t="n"/>
      <c r="D1089" s="8" t="n"/>
      <c r="E1089" s="11" t="n"/>
      <c r="F1089" s="11" t="n"/>
      <c r="G1089" s="8" t="n"/>
      <c r="H1089" s="8" t="n"/>
      <c r="I1089" s="8" t="n"/>
      <c r="J1089" s="8" t="n"/>
      <c r="K1089" s="12">
        <f>IF(OR(ISERROR(VLOOKUP(C1089, Resultados_Reales!$A$4:$I$107, 5, FALSE)), ISERROR(VLOOKUP(C1089, Resultados_Reales!$A$4:$I$107, 6, FALSE)), VLOOKUP(C1089, Resultados_Reales!$A$4:$I$107, 5, FALSE)="", VLOOKUP(C1089, Resultados_Reales!$A$4:$I$107, 6, FALSE)=""), 0, IF(AND(VLOOKUP(C1089, Resultados_Reales!$A$4:$I$107, 5, FALSE)=G1089, VLOOKUP(C1089, Resultados_Reales!$A$4:$I$107, 6, FALSE)=H1089), Configuracion!$B$5, IF(SIGN(VLOOKUP(C1089, Resultados_Reales!$A$4:$I$107, 5, FALSE)-VLOOKUP(C1089, Resultados_Reales!$A$4:$I$107, 6, FALSE)) = SIGN(G1089-H1089), Configuracion!$B$4, 0)))</f>
        <v/>
      </c>
      <c r="L1089" s="11" t="n"/>
      <c r="M1089" s="11" t="n"/>
      <c r="N1089" s="11" t="n"/>
      <c r="O1089" s="11" t="n"/>
      <c r="P1089" s="11" t="n"/>
      <c r="Q1089" s="11" t="n"/>
    </row>
    <row r="1090">
      <c r="A1090" s="8">
        <f>B1090&amp;"_"&amp;C1090</f>
        <v/>
      </c>
      <c r="B1090" s="8" t="n"/>
      <c r="C1090" s="8" t="n"/>
      <c r="D1090" s="8" t="n"/>
      <c r="E1090" s="11" t="n"/>
      <c r="F1090" s="11" t="n"/>
      <c r="G1090" s="8" t="n"/>
      <c r="H1090" s="8" t="n"/>
      <c r="I1090" s="8" t="n"/>
      <c r="J1090" s="8" t="n"/>
      <c r="K1090" s="12">
        <f>IF(OR(ISERROR(VLOOKUP(C1090, Resultados_Reales!$A$4:$I$107, 5, FALSE)), ISERROR(VLOOKUP(C1090, Resultados_Reales!$A$4:$I$107, 6, FALSE)), VLOOKUP(C1090, Resultados_Reales!$A$4:$I$107, 5, FALSE)="", VLOOKUP(C1090, Resultados_Reales!$A$4:$I$107, 6, FALSE)=""), 0, IF(AND(VLOOKUP(C1090, Resultados_Reales!$A$4:$I$107, 5, FALSE)=G1090, VLOOKUP(C1090, Resultados_Reales!$A$4:$I$107, 6, FALSE)=H1090), Configuracion!$B$5, IF(SIGN(VLOOKUP(C1090, Resultados_Reales!$A$4:$I$107, 5, FALSE)-VLOOKUP(C1090, Resultados_Reales!$A$4:$I$107, 6, FALSE)) = SIGN(G1090-H1090), Configuracion!$B$4, 0)))</f>
        <v/>
      </c>
      <c r="L1090" s="11" t="n"/>
      <c r="M1090" s="11" t="n"/>
      <c r="N1090" s="11" t="n"/>
      <c r="O1090" s="11" t="n"/>
      <c r="P1090" s="11" t="n"/>
      <c r="Q1090" s="11" t="n"/>
    </row>
    <row r="1091">
      <c r="A1091" s="8">
        <f>B1091&amp;"_"&amp;C1091</f>
        <v/>
      </c>
      <c r="B1091" s="8" t="n"/>
      <c r="C1091" s="8" t="n"/>
      <c r="D1091" s="8" t="n"/>
      <c r="E1091" s="11" t="n"/>
      <c r="F1091" s="11" t="n"/>
      <c r="G1091" s="8" t="n"/>
      <c r="H1091" s="8" t="n"/>
      <c r="I1091" s="8" t="n"/>
      <c r="J1091" s="8" t="n"/>
      <c r="K1091" s="12">
        <f>IF(OR(ISERROR(VLOOKUP(C1091, Resultados_Reales!$A$4:$I$107, 5, FALSE)), ISERROR(VLOOKUP(C1091, Resultados_Reales!$A$4:$I$107, 6, FALSE)), VLOOKUP(C1091, Resultados_Reales!$A$4:$I$107, 5, FALSE)="", VLOOKUP(C1091, Resultados_Reales!$A$4:$I$107, 6, FALSE)=""), 0, IF(AND(VLOOKUP(C1091, Resultados_Reales!$A$4:$I$107, 5, FALSE)=G1091, VLOOKUP(C1091, Resultados_Reales!$A$4:$I$107, 6, FALSE)=H1091), Configuracion!$B$5, IF(SIGN(VLOOKUP(C1091, Resultados_Reales!$A$4:$I$107, 5, FALSE)-VLOOKUP(C1091, Resultados_Reales!$A$4:$I$107, 6, FALSE)) = SIGN(G1091-H1091), Configuracion!$B$4, 0)))</f>
        <v/>
      </c>
      <c r="L1091" s="11" t="n"/>
      <c r="M1091" s="11" t="n"/>
      <c r="N1091" s="11" t="n"/>
      <c r="O1091" s="11" t="n"/>
      <c r="P1091" s="11" t="n"/>
      <c r="Q1091" s="11" t="n"/>
    </row>
    <row r="1092">
      <c r="A1092" s="8">
        <f>B1092&amp;"_"&amp;C1092</f>
        <v/>
      </c>
      <c r="B1092" s="8" t="n"/>
      <c r="C1092" s="8" t="n"/>
      <c r="D1092" s="8" t="n"/>
      <c r="E1092" s="11" t="n"/>
      <c r="F1092" s="11" t="n"/>
      <c r="G1092" s="8" t="n"/>
      <c r="H1092" s="8" t="n"/>
      <c r="I1092" s="8" t="n"/>
      <c r="J1092" s="8" t="n"/>
      <c r="K1092" s="12">
        <f>IF(OR(ISERROR(VLOOKUP(C1092, Resultados_Reales!$A$4:$I$107, 5, FALSE)), ISERROR(VLOOKUP(C1092, Resultados_Reales!$A$4:$I$107, 6, FALSE)), VLOOKUP(C1092, Resultados_Reales!$A$4:$I$107, 5, FALSE)="", VLOOKUP(C1092, Resultados_Reales!$A$4:$I$107, 6, FALSE)=""), 0, IF(AND(VLOOKUP(C1092, Resultados_Reales!$A$4:$I$107, 5, FALSE)=G1092, VLOOKUP(C1092, Resultados_Reales!$A$4:$I$107, 6, FALSE)=H1092), Configuracion!$B$5, IF(SIGN(VLOOKUP(C1092, Resultados_Reales!$A$4:$I$107, 5, FALSE)-VLOOKUP(C1092, Resultados_Reales!$A$4:$I$107, 6, FALSE)) = SIGN(G1092-H1092), Configuracion!$B$4, 0)))</f>
        <v/>
      </c>
      <c r="L1092" s="11" t="n"/>
      <c r="M1092" s="11" t="n"/>
      <c r="N1092" s="11" t="n"/>
      <c r="O1092" s="11" t="n"/>
      <c r="P1092" s="11" t="n"/>
      <c r="Q1092" s="11" t="n"/>
    </row>
    <row r="1093">
      <c r="A1093" s="8">
        <f>B1093&amp;"_"&amp;C1093</f>
        <v/>
      </c>
      <c r="B1093" s="8" t="n"/>
      <c r="C1093" s="8" t="n"/>
      <c r="D1093" s="8" t="n"/>
      <c r="E1093" s="11" t="n"/>
      <c r="F1093" s="11" t="n"/>
      <c r="G1093" s="8" t="n"/>
      <c r="H1093" s="8" t="n"/>
      <c r="I1093" s="8" t="n"/>
      <c r="J1093" s="8" t="n"/>
      <c r="K1093" s="12">
        <f>IF(OR(ISERROR(VLOOKUP(C1093, Resultados_Reales!$A$4:$I$107, 5, FALSE)), ISERROR(VLOOKUP(C1093, Resultados_Reales!$A$4:$I$107, 6, FALSE)), VLOOKUP(C1093, Resultados_Reales!$A$4:$I$107, 5, FALSE)="", VLOOKUP(C1093, Resultados_Reales!$A$4:$I$107, 6, FALSE)=""), 0, IF(AND(VLOOKUP(C1093, Resultados_Reales!$A$4:$I$107, 5, FALSE)=G1093, VLOOKUP(C1093, Resultados_Reales!$A$4:$I$107, 6, FALSE)=H1093), Configuracion!$B$5, IF(SIGN(VLOOKUP(C1093, Resultados_Reales!$A$4:$I$107, 5, FALSE)-VLOOKUP(C1093, Resultados_Reales!$A$4:$I$107, 6, FALSE)) = SIGN(G1093-H1093), Configuracion!$B$4, 0)))</f>
        <v/>
      </c>
      <c r="L1093" s="11" t="n"/>
      <c r="M1093" s="11" t="n"/>
      <c r="N1093" s="11" t="n"/>
      <c r="O1093" s="11" t="n"/>
      <c r="P1093" s="11" t="n"/>
      <c r="Q1093" s="11" t="n"/>
    </row>
    <row r="1094">
      <c r="A1094" s="8">
        <f>B1094&amp;"_"&amp;C1094</f>
        <v/>
      </c>
      <c r="B1094" s="8" t="n"/>
      <c r="C1094" s="8" t="n"/>
      <c r="D1094" s="8" t="n"/>
      <c r="E1094" s="11" t="n"/>
      <c r="F1094" s="11" t="n"/>
      <c r="G1094" s="8" t="n"/>
      <c r="H1094" s="8" t="n"/>
      <c r="I1094" s="8" t="n"/>
      <c r="J1094" s="8" t="n"/>
      <c r="K1094" s="12">
        <f>IF(OR(ISERROR(VLOOKUP(C1094, Resultados_Reales!$A$4:$I$107, 5, FALSE)), ISERROR(VLOOKUP(C1094, Resultados_Reales!$A$4:$I$107, 6, FALSE)), VLOOKUP(C1094, Resultados_Reales!$A$4:$I$107, 5, FALSE)="", VLOOKUP(C1094, Resultados_Reales!$A$4:$I$107, 6, FALSE)=""), 0, IF(AND(VLOOKUP(C1094, Resultados_Reales!$A$4:$I$107, 5, FALSE)=G1094, VLOOKUP(C1094, Resultados_Reales!$A$4:$I$107, 6, FALSE)=H1094), Configuracion!$B$5, IF(SIGN(VLOOKUP(C1094, Resultados_Reales!$A$4:$I$107, 5, FALSE)-VLOOKUP(C1094, Resultados_Reales!$A$4:$I$107, 6, FALSE)) = SIGN(G1094-H1094), Configuracion!$B$4, 0)))</f>
        <v/>
      </c>
      <c r="L1094" s="11" t="n"/>
      <c r="M1094" s="11" t="n"/>
      <c r="N1094" s="11" t="n"/>
      <c r="O1094" s="11" t="n"/>
      <c r="P1094" s="11" t="n"/>
      <c r="Q1094" s="11" t="n"/>
    </row>
    <row r="1095">
      <c r="A1095" s="8">
        <f>B1095&amp;"_"&amp;C1095</f>
        <v/>
      </c>
      <c r="B1095" s="8" t="n"/>
      <c r="C1095" s="8" t="n"/>
      <c r="D1095" s="8" t="n"/>
      <c r="E1095" s="11" t="n"/>
      <c r="F1095" s="11" t="n"/>
      <c r="G1095" s="8" t="n"/>
      <c r="H1095" s="8" t="n"/>
      <c r="I1095" s="8" t="n"/>
      <c r="J1095" s="8" t="n"/>
      <c r="K1095" s="12">
        <f>IF(OR(ISERROR(VLOOKUP(C1095, Resultados_Reales!$A$4:$I$107, 5, FALSE)), ISERROR(VLOOKUP(C1095, Resultados_Reales!$A$4:$I$107, 6, FALSE)), VLOOKUP(C1095, Resultados_Reales!$A$4:$I$107, 5, FALSE)="", VLOOKUP(C1095, Resultados_Reales!$A$4:$I$107, 6, FALSE)=""), 0, IF(AND(VLOOKUP(C1095, Resultados_Reales!$A$4:$I$107, 5, FALSE)=G1095, VLOOKUP(C1095, Resultados_Reales!$A$4:$I$107, 6, FALSE)=H1095), Configuracion!$B$5, IF(SIGN(VLOOKUP(C1095, Resultados_Reales!$A$4:$I$107, 5, FALSE)-VLOOKUP(C1095, Resultados_Reales!$A$4:$I$107, 6, FALSE)) = SIGN(G1095-H1095), Configuracion!$B$4, 0)))</f>
        <v/>
      </c>
      <c r="L1095" s="11" t="n"/>
      <c r="M1095" s="11" t="n"/>
      <c r="N1095" s="11" t="n"/>
      <c r="O1095" s="11" t="n"/>
      <c r="P1095" s="11" t="n"/>
      <c r="Q1095" s="11" t="n"/>
    </row>
    <row r="1096">
      <c r="A1096" s="8">
        <f>B1096&amp;"_"&amp;C1096</f>
        <v/>
      </c>
      <c r="B1096" s="8" t="n"/>
      <c r="C1096" s="8" t="n"/>
      <c r="D1096" s="8" t="n"/>
      <c r="E1096" s="11" t="n"/>
      <c r="F1096" s="11" t="n"/>
      <c r="G1096" s="8" t="n"/>
      <c r="H1096" s="8" t="n"/>
      <c r="I1096" s="8" t="n"/>
      <c r="J1096" s="8" t="n"/>
      <c r="K1096" s="12">
        <f>IF(OR(ISERROR(VLOOKUP(C1096, Resultados_Reales!$A$4:$I$107, 5, FALSE)), ISERROR(VLOOKUP(C1096, Resultados_Reales!$A$4:$I$107, 6, FALSE)), VLOOKUP(C1096, Resultados_Reales!$A$4:$I$107, 5, FALSE)="", VLOOKUP(C1096, Resultados_Reales!$A$4:$I$107, 6, FALSE)=""), 0, IF(AND(VLOOKUP(C1096, Resultados_Reales!$A$4:$I$107, 5, FALSE)=G1096, VLOOKUP(C1096, Resultados_Reales!$A$4:$I$107, 6, FALSE)=H1096), Configuracion!$B$5, IF(SIGN(VLOOKUP(C1096, Resultados_Reales!$A$4:$I$107, 5, FALSE)-VLOOKUP(C1096, Resultados_Reales!$A$4:$I$107, 6, FALSE)) = SIGN(G1096-H1096), Configuracion!$B$4, 0)))</f>
        <v/>
      </c>
      <c r="L1096" s="11" t="n"/>
      <c r="M1096" s="11" t="n"/>
      <c r="N1096" s="11" t="n"/>
      <c r="O1096" s="11" t="n"/>
      <c r="P1096" s="11" t="n"/>
      <c r="Q1096" s="11" t="n"/>
    </row>
    <row r="1097">
      <c r="A1097" s="8">
        <f>B1097&amp;"_"&amp;C1097</f>
        <v/>
      </c>
      <c r="B1097" s="8" t="n"/>
      <c r="C1097" s="8" t="n"/>
      <c r="D1097" s="8" t="n"/>
      <c r="E1097" s="11" t="n"/>
      <c r="F1097" s="11" t="n"/>
      <c r="G1097" s="8" t="n"/>
      <c r="H1097" s="8" t="n"/>
      <c r="I1097" s="8" t="n"/>
      <c r="J1097" s="8" t="n"/>
      <c r="K1097" s="12">
        <f>IF(OR(ISERROR(VLOOKUP(C1097, Resultados_Reales!$A$4:$I$107, 5, FALSE)), ISERROR(VLOOKUP(C1097, Resultados_Reales!$A$4:$I$107, 6, FALSE)), VLOOKUP(C1097, Resultados_Reales!$A$4:$I$107, 5, FALSE)="", VLOOKUP(C1097, Resultados_Reales!$A$4:$I$107, 6, FALSE)=""), 0, IF(AND(VLOOKUP(C1097, Resultados_Reales!$A$4:$I$107, 5, FALSE)=G1097, VLOOKUP(C1097, Resultados_Reales!$A$4:$I$107, 6, FALSE)=H1097), Configuracion!$B$5, IF(SIGN(VLOOKUP(C1097, Resultados_Reales!$A$4:$I$107, 5, FALSE)-VLOOKUP(C1097, Resultados_Reales!$A$4:$I$107, 6, FALSE)) = SIGN(G1097-H1097), Configuracion!$B$4, 0)))</f>
        <v/>
      </c>
      <c r="L1097" s="11" t="n"/>
      <c r="M1097" s="11" t="n"/>
      <c r="N1097" s="11" t="n"/>
      <c r="O1097" s="11" t="n"/>
      <c r="P1097" s="11" t="n"/>
      <c r="Q1097" s="11" t="n"/>
    </row>
    <row r="1098">
      <c r="A1098" s="8">
        <f>B1098&amp;"_"&amp;C1098</f>
        <v/>
      </c>
      <c r="B1098" s="8" t="n"/>
      <c r="C1098" s="8" t="n"/>
      <c r="D1098" s="8" t="n"/>
      <c r="E1098" s="11" t="n"/>
      <c r="F1098" s="11" t="n"/>
      <c r="G1098" s="8" t="n"/>
      <c r="H1098" s="8" t="n"/>
      <c r="I1098" s="8" t="n"/>
      <c r="J1098" s="8" t="n"/>
      <c r="K1098" s="12">
        <f>IF(OR(ISERROR(VLOOKUP(C1098, Resultados_Reales!$A$4:$I$107, 5, FALSE)), ISERROR(VLOOKUP(C1098, Resultados_Reales!$A$4:$I$107, 6, FALSE)), VLOOKUP(C1098, Resultados_Reales!$A$4:$I$107, 5, FALSE)="", VLOOKUP(C1098, Resultados_Reales!$A$4:$I$107, 6, FALSE)=""), 0, IF(AND(VLOOKUP(C1098, Resultados_Reales!$A$4:$I$107, 5, FALSE)=G1098, VLOOKUP(C1098, Resultados_Reales!$A$4:$I$107, 6, FALSE)=H1098), Configuracion!$B$5, IF(SIGN(VLOOKUP(C1098, Resultados_Reales!$A$4:$I$107, 5, FALSE)-VLOOKUP(C1098, Resultados_Reales!$A$4:$I$107, 6, FALSE)) = SIGN(G1098-H1098), Configuracion!$B$4, 0)))</f>
        <v/>
      </c>
      <c r="L1098" s="11" t="n"/>
      <c r="M1098" s="11" t="n"/>
      <c r="N1098" s="11" t="n"/>
      <c r="O1098" s="11" t="n"/>
      <c r="P1098" s="11" t="n"/>
      <c r="Q1098" s="11" t="n"/>
    </row>
    <row r="1099">
      <c r="A1099" s="8">
        <f>B1099&amp;"_"&amp;C1099</f>
        <v/>
      </c>
      <c r="B1099" s="8" t="n"/>
      <c r="C1099" s="8" t="n"/>
      <c r="D1099" s="8" t="n"/>
      <c r="E1099" s="11" t="n"/>
      <c r="F1099" s="11" t="n"/>
      <c r="G1099" s="8" t="n"/>
      <c r="H1099" s="8" t="n"/>
      <c r="I1099" s="8" t="n"/>
      <c r="J1099" s="8" t="n"/>
      <c r="K1099" s="12">
        <f>IF(OR(ISERROR(VLOOKUP(C1099, Resultados_Reales!$A$4:$I$107, 5, FALSE)), ISERROR(VLOOKUP(C1099, Resultados_Reales!$A$4:$I$107, 6, FALSE)), VLOOKUP(C1099, Resultados_Reales!$A$4:$I$107, 5, FALSE)="", VLOOKUP(C1099, Resultados_Reales!$A$4:$I$107, 6, FALSE)=""), 0, IF(AND(VLOOKUP(C1099, Resultados_Reales!$A$4:$I$107, 5, FALSE)=G1099, VLOOKUP(C1099, Resultados_Reales!$A$4:$I$107, 6, FALSE)=H1099), Configuracion!$B$5, IF(SIGN(VLOOKUP(C1099, Resultados_Reales!$A$4:$I$107, 5, FALSE)-VLOOKUP(C1099, Resultados_Reales!$A$4:$I$107, 6, FALSE)) = SIGN(G1099-H1099), Configuracion!$B$4, 0)))</f>
        <v/>
      </c>
      <c r="L1099" s="11" t="n"/>
      <c r="M1099" s="11" t="n"/>
      <c r="N1099" s="11" t="n"/>
      <c r="O1099" s="11" t="n"/>
      <c r="P1099" s="11" t="n"/>
      <c r="Q1099" s="11" t="n"/>
    </row>
    <row r="1100">
      <c r="A1100" s="8">
        <f>B1100&amp;"_"&amp;C1100</f>
        <v/>
      </c>
      <c r="B1100" s="8" t="n"/>
      <c r="C1100" s="8" t="n"/>
      <c r="D1100" s="8" t="n"/>
      <c r="E1100" s="11" t="n"/>
      <c r="F1100" s="11" t="n"/>
      <c r="G1100" s="8" t="n"/>
      <c r="H1100" s="8" t="n"/>
      <c r="I1100" s="8" t="n"/>
      <c r="J1100" s="8" t="n"/>
      <c r="K1100" s="12">
        <f>IF(OR(ISERROR(VLOOKUP(C1100, Resultados_Reales!$A$4:$I$107, 5, FALSE)), ISERROR(VLOOKUP(C1100, Resultados_Reales!$A$4:$I$107, 6, FALSE)), VLOOKUP(C1100, Resultados_Reales!$A$4:$I$107, 5, FALSE)="", VLOOKUP(C1100, Resultados_Reales!$A$4:$I$107, 6, FALSE)=""), 0, IF(AND(VLOOKUP(C1100, Resultados_Reales!$A$4:$I$107, 5, FALSE)=G1100, VLOOKUP(C1100, Resultados_Reales!$A$4:$I$107, 6, FALSE)=H1100), Configuracion!$B$5, IF(SIGN(VLOOKUP(C1100, Resultados_Reales!$A$4:$I$107, 5, FALSE)-VLOOKUP(C1100, Resultados_Reales!$A$4:$I$107, 6, FALSE)) = SIGN(G1100-H1100), Configuracion!$B$4, 0)))</f>
        <v/>
      </c>
      <c r="L1100" s="11" t="n"/>
      <c r="M1100" s="11" t="n"/>
      <c r="N1100" s="11" t="n"/>
      <c r="O1100" s="11" t="n"/>
      <c r="P1100" s="11" t="n"/>
      <c r="Q1100" s="11" t="n"/>
    </row>
    <row r="1101">
      <c r="A1101" s="8">
        <f>B1101&amp;"_"&amp;C1101</f>
        <v/>
      </c>
      <c r="B1101" s="8" t="n"/>
      <c r="C1101" s="8" t="n"/>
      <c r="D1101" s="8" t="n"/>
      <c r="E1101" s="11" t="n"/>
      <c r="F1101" s="11" t="n"/>
      <c r="G1101" s="8" t="n"/>
      <c r="H1101" s="8" t="n"/>
      <c r="I1101" s="8" t="n"/>
      <c r="J1101" s="8" t="n"/>
      <c r="K1101" s="12">
        <f>IF(OR(ISERROR(VLOOKUP(C1101, Resultados_Reales!$A$4:$I$107, 5, FALSE)), ISERROR(VLOOKUP(C1101, Resultados_Reales!$A$4:$I$107, 6, FALSE)), VLOOKUP(C1101, Resultados_Reales!$A$4:$I$107, 5, FALSE)="", VLOOKUP(C1101, Resultados_Reales!$A$4:$I$107, 6, FALSE)=""), 0, IF(AND(VLOOKUP(C1101, Resultados_Reales!$A$4:$I$107, 5, FALSE)=G1101, VLOOKUP(C1101, Resultados_Reales!$A$4:$I$107, 6, FALSE)=H1101), Configuracion!$B$5, IF(SIGN(VLOOKUP(C1101, Resultados_Reales!$A$4:$I$107, 5, FALSE)-VLOOKUP(C1101, Resultados_Reales!$A$4:$I$107, 6, FALSE)) = SIGN(G1101-H1101), Configuracion!$B$4, 0)))</f>
        <v/>
      </c>
      <c r="L1101" s="11" t="n"/>
      <c r="M1101" s="11" t="n"/>
      <c r="N1101" s="11" t="n"/>
      <c r="O1101" s="11" t="n"/>
      <c r="P1101" s="11" t="n"/>
      <c r="Q1101" s="11" t="n"/>
    </row>
    <row r="1102">
      <c r="A1102" s="8">
        <f>B1102&amp;"_"&amp;C1102</f>
        <v/>
      </c>
      <c r="B1102" s="8" t="n"/>
      <c r="C1102" s="8" t="n"/>
      <c r="D1102" s="8" t="n"/>
      <c r="E1102" s="11" t="n"/>
      <c r="F1102" s="11" t="n"/>
      <c r="G1102" s="8" t="n"/>
      <c r="H1102" s="8" t="n"/>
      <c r="I1102" s="8" t="n"/>
      <c r="J1102" s="8" t="n"/>
      <c r="K1102" s="12">
        <f>IF(OR(ISERROR(VLOOKUP(C1102, Resultados_Reales!$A$4:$I$107, 5, FALSE)), ISERROR(VLOOKUP(C1102, Resultados_Reales!$A$4:$I$107, 6, FALSE)), VLOOKUP(C1102, Resultados_Reales!$A$4:$I$107, 5, FALSE)="", VLOOKUP(C1102, Resultados_Reales!$A$4:$I$107, 6, FALSE)=""), 0, IF(AND(VLOOKUP(C1102, Resultados_Reales!$A$4:$I$107, 5, FALSE)=G1102, VLOOKUP(C1102, Resultados_Reales!$A$4:$I$107, 6, FALSE)=H1102), Configuracion!$B$5, IF(SIGN(VLOOKUP(C1102, Resultados_Reales!$A$4:$I$107, 5, FALSE)-VLOOKUP(C1102, Resultados_Reales!$A$4:$I$107, 6, FALSE)) = SIGN(G1102-H1102), Configuracion!$B$4, 0)))</f>
        <v/>
      </c>
      <c r="L1102" s="11" t="n"/>
      <c r="M1102" s="11" t="n"/>
      <c r="N1102" s="11" t="n"/>
      <c r="O1102" s="11" t="n"/>
      <c r="P1102" s="11" t="n"/>
      <c r="Q1102" s="11" t="n"/>
    </row>
    <row r="1103">
      <c r="A1103" s="8">
        <f>B1103&amp;"_"&amp;C1103</f>
        <v/>
      </c>
      <c r="B1103" s="8" t="n"/>
      <c r="C1103" s="8" t="n"/>
      <c r="D1103" s="8" t="n"/>
      <c r="E1103" s="11" t="n"/>
      <c r="F1103" s="11" t="n"/>
      <c r="G1103" s="8" t="n"/>
      <c r="H1103" s="8" t="n"/>
      <c r="I1103" s="8" t="n"/>
      <c r="J1103" s="8" t="n"/>
      <c r="K1103" s="12">
        <f>IF(OR(ISERROR(VLOOKUP(C1103, Resultados_Reales!$A$4:$I$107, 5, FALSE)), ISERROR(VLOOKUP(C1103, Resultados_Reales!$A$4:$I$107, 6, FALSE)), VLOOKUP(C1103, Resultados_Reales!$A$4:$I$107, 5, FALSE)="", VLOOKUP(C1103, Resultados_Reales!$A$4:$I$107, 6, FALSE)=""), 0, IF(AND(VLOOKUP(C1103, Resultados_Reales!$A$4:$I$107, 5, FALSE)=G1103, VLOOKUP(C1103, Resultados_Reales!$A$4:$I$107, 6, FALSE)=H1103), Configuracion!$B$5, IF(SIGN(VLOOKUP(C1103, Resultados_Reales!$A$4:$I$107, 5, FALSE)-VLOOKUP(C1103, Resultados_Reales!$A$4:$I$107, 6, FALSE)) = SIGN(G1103-H1103), Configuracion!$B$4, 0)))</f>
        <v/>
      </c>
      <c r="L1103" s="11" t="n"/>
      <c r="M1103" s="11" t="n"/>
      <c r="N1103" s="11" t="n"/>
      <c r="O1103" s="11" t="n"/>
      <c r="P1103" s="11" t="n"/>
      <c r="Q1103" s="11" t="n"/>
    </row>
    <row r="1104">
      <c r="A1104" s="8">
        <f>B1104&amp;"_"&amp;C1104</f>
        <v/>
      </c>
      <c r="B1104" s="8" t="n"/>
      <c r="C1104" s="8" t="n"/>
      <c r="D1104" s="8" t="n"/>
      <c r="E1104" s="11" t="n"/>
      <c r="F1104" s="11" t="n"/>
      <c r="G1104" s="8" t="n"/>
      <c r="H1104" s="8" t="n"/>
      <c r="I1104" s="8" t="n"/>
      <c r="J1104" s="8" t="n"/>
      <c r="K1104" s="12">
        <f>IF(OR(ISERROR(VLOOKUP(C1104, Resultados_Reales!$A$4:$I$107, 5, FALSE)), ISERROR(VLOOKUP(C1104, Resultados_Reales!$A$4:$I$107, 6, FALSE)), VLOOKUP(C1104, Resultados_Reales!$A$4:$I$107, 5, FALSE)="", VLOOKUP(C1104, Resultados_Reales!$A$4:$I$107, 6, FALSE)=""), 0, IF(AND(VLOOKUP(C1104, Resultados_Reales!$A$4:$I$107, 5, FALSE)=G1104, VLOOKUP(C1104, Resultados_Reales!$A$4:$I$107, 6, FALSE)=H1104), Configuracion!$B$5, IF(SIGN(VLOOKUP(C1104, Resultados_Reales!$A$4:$I$107, 5, FALSE)-VLOOKUP(C1104, Resultados_Reales!$A$4:$I$107, 6, FALSE)) = SIGN(G1104-H1104), Configuracion!$B$4, 0)))</f>
        <v/>
      </c>
      <c r="L1104" s="11" t="n"/>
      <c r="M1104" s="11" t="n"/>
      <c r="N1104" s="11" t="n"/>
      <c r="O1104" s="11" t="n"/>
      <c r="P1104" s="11" t="n"/>
      <c r="Q1104" s="11" t="n"/>
    </row>
    <row r="1105">
      <c r="A1105" s="8">
        <f>B1105&amp;"_"&amp;C1105</f>
        <v/>
      </c>
      <c r="B1105" s="8" t="n"/>
      <c r="C1105" s="8" t="n"/>
      <c r="D1105" s="8" t="n"/>
      <c r="E1105" s="11" t="n"/>
      <c r="F1105" s="11" t="n"/>
      <c r="G1105" s="8" t="n"/>
      <c r="H1105" s="8" t="n"/>
      <c r="I1105" s="8" t="n"/>
      <c r="J1105" s="8" t="n"/>
      <c r="K1105" s="12">
        <f>IF(OR(ISERROR(VLOOKUP(C1105, Resultados_Reales!$A$4:$I$107, 5, FALSE)), ISERROR(VLOOKUP(C1105, Resultados_Reales!$A$4:$I$107, 6, FALSE)), VLOOKUP(C1105, Resultados_Reales!$A$4:$I$107, 5, FALSE)="", VLOOKUP(C1105, Resultados_Reales!$A$4:$I$107, 6, FALSE)=""), 0, IF(AND(VLOOKUP(C1105, Resultados_Reales!$A$4:$I$107, 5, FALSE)=G1105, VLOOKUP(C1105, Resultados_Reales!$A$4:$I$107, 6, FALSE)=H1105), Configuracion!$B$5, IF(SIGN(VLOOKUP(C1105, Resultados_Reales!$A$4:$I$107, 5, FALSE)-VLOOKUP(C1105, Resultados_Reales!$A$4:$I$107, 6, FALSE)) = SIGN(G1105-H1105), Configuracion!$B$4, 0)))</f>
        <v/>
      </c>
      <c r="L1105" s="11" t="n"/>
      <c r="M1105" s="11" t="n"/>
      <c r="N1105" s="11" t="n"/>
      <c r="O1105" s="11" t="n"/>
      <c r="P1105" s="11" t="n"/>
      <c r="Q1105" s="11" t="n"/>
    </row>
    <row r="1106">
      <c r="A1106" s="8">
        <f>B1106&amp;"_"&amp;C1106</f>
        <v/>
      </c>
      <c r="B1106" s="8" t="n"/>
      <c r="C1106" s="8" t="n"/>
      <c r="D1106" s="8" t="n"/>
      <c r="E1106" s="11" t="n"/>
      <c r="F1106" s="11" t="n"/>
      <c r="G1106" s="8" t="n"/>
      <c r="H1106" s="8" t="n"/>
      <c r="I1106" s="8" t="n"/>
      <c r="J1106" s="8" t="n"/>
      <c r="K1106" s="12">
        <f>IF(OR(ISERROR(VLOOKUP(C1106, Resultados_Reales!$A$4:$I$107, 5, FALSE)), ISERROR(VLOOKUP(C1106, Resultados_Reales!$A$4:$I$107, 6, FALSE)), VLOOKUP(C1106, Resultados_Reales!$A$4:$I$107, 5, FALSE)="", VLOOKUP(C1106, Resultados_Reales!$A$4:$I$107, 6, FALSE)=""), 0, IF(AND(VLOOKUP(C1106, Resultados_Reales!$A$4:$I$107, 5, FALSE)=G1106, VLOOKUP(C1106, Resultados_Reales!$A$4:$I$107, 6, FALSE)=H1106), Configuracion!$B$5, IF(SIGN(VLOOKUP(C1106, Resultados_Reales!$A$4:$I$107, 5, FALSE)-VLOOKUP(C1106, Resultados_Reales!$A$4:$I$107, 6, FALSE)) = SIGN(G1106-H1106), Configuracion!$B$4, 0)))</f>
        <v/>
      </c>
      <c r="L1106" s="11" t="n"/>
      <c r="M1106" s="11" t="n"/>
      <c r="N1106" s="11" t="n"/>
      <c r="O1106" s="11" t="n"/>
      <c r="P1106" s="11" t="n"/>
      <c r="Q1106" s="11" t="n"/>
    </row>
    <row r="1107">
      <c r="A1107" s="8">
        <f>B1107&amp;"_"&amp;C1107</f>
        <v/>
      </c>
      <c r="B1107" s="8" t="n"/>
      <c r="C1107" s="8" t="n"/>
      <c r="D1107" s="8" t="n"/>
      <c r="E1107" s="11" t="n"/>
      <c r="F1107" s="11" t="n"/>
      <c r="G1107" s="8" t="n"/>
      <c r="H1107" s="8" t="n"/>
      <c r="I1107" s="8" t="n"/>
      <c r="J1107" s="8" t="n"/>
      <c r="K1107" s="12">
        <f>IF(OR(ISERROR(VLOOKUP(C1107, Resultados_Reales!$A$4:$I$107, 5, FALSE)), ISERROR(VLOOKUP(C1107, Resultados_Reales!$A$4:$I$107, 6, FALSE)), VLOOKUP(C1107, Resultados_Reales!$A$4:$I$107, 5, FALSE)="", VLOOKUP(C1107, Resultados_Reales!$A$4:$I$107, 6, FALSE)=""), 0, IF(AND(VLOOKUP(C1107, Resultados_Reales!$A$4:$I$107, 5, FALSE)=G1107, VLOOKUP(C1107, Resultados_Reales!$A$4:$I$107, 6, FALSE)=H1107), Configuracion!$B$5, IF(SIGN(VLOOKUP(C1107, Resultados_Reales!$A$4:$I$107, 5, FALSE)-VLOOKUP(C1107, Resultados_Reales!$A$4:$I$107, 6, FALSE)) = SIGN(G1107-H1107), Configuracion!$B$4, 0)))</f>
        <v/>
      </c>
      <c r="L1107" s="11" t="n"/>
      <c r="M1107" s="11" t="n"/>
      <c r="N1107" s="11" t="n"/>
      <c r="O1107" s="11" t="n"/>
      <c r="P1107" s="11" t="n"/>
      <c r="Q1107" s="11" t="n"/>
    </row>
    <row r="1108">
      <c r="A1108" s="8">
        <f>B1108&amp;"_"&amp;C1108</f>
        <v/>
      </c>
      <c r="B1108" s="8" t="n"/>
      <c r="C1108" s="8" t="n"/>
      <c r="D1108" s="8" t="n"/>
      <c r="E1108" s="11" t="n"/>
      <c r="F1108" s="11" t="n"/>
      <c r="G1108" s="8" t="n"/>
      <c r="H1108" s="8" t="n"/>
      <c r="I1108" s="8" t="n"/>
      <c r="J1108" s="8" t="n"/>
      <c r="K1108" s="12">
        <f>IF(OR(ISERROR(VLOOKUP(C1108, Resultados_Reales!$A$4:$I$107, 5, FALSE)), ISERROR(VLOOKUP(C1108, Resultados_Reales!$A$4:$I$107, 6, FALSE)), VLOOKUP(C1108, Resultados_Reales!$A$4:$I$107, 5, FALSE)="", VLOOKUP(C1108, Resultados_Reales!$A$4:$I$107, 6, FALSE)=""), 0, IF(AND(VLOOKUP(C1108, Resultados_Reales!$A$4:$I$107, 5, FALSE)=G1108, VLOOKUP(C1108, Resultados_Reales!$A$4:$I$107, 6, FALSE)=H1108), Configuracion!$B$5, IF(SIGN(VLOOKUP(C1108, Resultados_Reales!$A$4:$I$107, 5, FALSE)-VLOOKUP(C1108, Resultados_Reales!$A$4:$I$107, 6, FALSE)) = SIGN(G1108-H1108), Configuracion!$B$4, 0)))</f>
        <v/>
      </c>
      <c r="L1108" s="11" t="n"/>
      <c r="M1108" s="11" t="n"/>
      <c r="N1108" s="11" t="n"/>
      <c r="O1108" s="11" t="n"/>
      <c r="P1108" s="11" t="n"/>
      <c r="Q1108" s="11" t="n"/>
    </row>
    <row r="1109">
      <c r="A1109" s="8">
        <f>B1109&amp;"_"&amp;C1109</f>
        <v/>
      </c>
      <c r="B1109" s="8" t="n"/>
      <c r="C1109" s="8" t="n"/>
      <c r="D1109" s="8" t="n"/>
      <c r="E1109" s="11" t="n"/>
      <c r="F1109" s="11" t="n"/>
      <c r="G1109" s="8" t="n"/>
      <c r="H1109" s="8" t="n"/>
      <c r="I1109" s="8" t="n"/>
      <c r="J1109" s="8" t="n"/>
      <c r="K1109" s="12">
        <f>IF(OR(ISERROR(VLOOKUP(C1109, Resultados_Reales!$A$4:$I$107, 5, FALSE)), ISERROR(VLOOKUP(C1109, Resultados_Reales!$A$4:$I$107, 6, FALSE)), VLOOKUP(C1109, Resultados_Reales!$A$4:$I$107, 5, FALSE)="", VLOOKUP(C1109, Resultados_Reales!$A$4:$I$107, 6, FALSE)=""), 0, IF(AND(VLOOKUP(C1109, Resultados_Reales!$A$4:$I$107, 5, FALSE)=G1109, VLOOKUP(C1109, Resultados_Reales!$A$4:$I$107, 6, FALSE)=H1109), Configuracion!$B$5, IF(SIGN(VLOOKUP(C1109, Resultados_Reales!$A$4:$I$107, 5, FALSE)-VLOOKUP(C1109, Resultados_Reales!$A$4:$I$107, 6, FALSE)) = SIGN(G1109-H1109), Configuracion!$B$4, 0)))</f>
        <v/>
      </c>
      <c r="L1109" s="11" t="n"/>
      <c r="M1109" s="11" t="n"/>
      <c r="N1109" s="11" t="n"/>
      <c r="O1109" s="11" t="n"/>
      <c r="P1109" s="11" t="n"/>
      <c r="Q1109" s="11" t="n"/>
    </row>
    <row r="1110">
      <c r="A1110" s="8">
        <f>B1110&amp;"_"&amp;C1110</f>
        <v/>
      </c>
      <c r="B1110" s="8" t="n"/>
      <c r="C1110" s="8" t="n"/>
      <c r="D1110" s="8" t="n"/>
      <c r="E1110" s="11" t="n"/>
      <c r="F1110" s="11" t="n"/>
      <c r="G1110" s="8" t="n"/>
      <c r="H1110" s="8" t="n"/>
      <c r="I1110" s="8" t="n"/>
      <c r="J1110" s="8" t="n"/>
      <c r="K1110" s="12">
        <f>IF(OR(ISERROR(VLOOKUP(C1110, Resultados_Reales!$A$4:$I$107, 5, FALSE)), ISERROR(VLOOKUP(C1110, Resultados_Reales!$A$4:$I$107, 6, FALSE)), VLOOKUP(C1110, Resultados_Reales!$A$4:$I$107, 5, FALSE)="", VLOOKUP(C1110, Resultados_Reales!$A$4:$I$107, 6, FALSE)=""), 0, IF(AND(VLOOKUP(C1110, Resultados_Reales!$A$4:$I$107, 5, FALSE)=G1110, VLOOKUP(C1110, Resultados_Reales!$A$4:$I$107, 6, FALSE)=H1110), Configuracion!$B$5, IF(SIGN(VLOOKUP(C1110, Resultados_Reales!$A$4:$I$107, 5, FALSE)-VLOOKUP(C1110, Resultados_Reales!$A$4:$I$107, 6, FALSE)) = SIGN(G1110-H1110), Configuracion!$B$4, 0)))</f>
        <v/>
      </c>
      <c r="L1110" s="11" t="n"/>
      <c r="M1110" s="11" t="n"/>
      <c r="N1110" s="11" t="n"/>
      <c r="O1110" s="11" t="n"/>
      <c r="P1110" s="11" t="n"/>
      <c r="Q1110" s="11" t="n"/>
    </row>
    <row r="1111">
      <c r="A1111" s="8">
        <f>B1111&amp;"_"&amp;C1111</f>
        <v/>
      </c>
      <c r="B1111" s="8" t="n"/>
      <c r="C1111" s="8" t="n"/>
      <c r="D1111" s="8" t="n"/>
      <c r="E1111" s="11" t="n"/>
      <c r="F1111" s="11" t="n"/>
      <c r="G1111" s="8" t="n"/>
      <c r="H1111" s="8" t="n"/>
      <c r="I1111" s="8" t="n"/>
      <c r="J1111" s="8" t="n"/>
      <c r="K1111" s="12">
        <f>IF(OR(ISERROR(VLOOKUP(C1111, Resultados_Reales!$A$4:$I$107, 5, FALSE)), ISERROR(VLOOKUP(C1111, Resultados_Reales!$A$4:$I$107, 6, FALSE)), VLOOKUP(C1111, Resultados_Reales!$A$4:$I$107, 5, FALSE)="", VLOOKUP(C1111, Resultados_Reales!$A$4:$I$107, 6, FALSE)=""), 0, IF(AND(VLOOKUP(C1111, Resultados_Reales!$A$4:$I$107, 5, FALSE)=G1111, VLOOKUP(C1111, Resultados_Reales!$A$4:$I$107, 6, FALSE)=H1111), Configuracion!$B$5, IF(SIGN(VLOOKUP(C1111, Resultados_Reales!$A$4:$I$107, 5, FALSE)-VLOOKUP(C1111, Resultados_Reales!$A$4:$I$107, 6, FALSE)) = SIGN(G1111-H1111), Configuracion!$B$4, 0)))</f>
        <v/>
      </c>
      <c r="L1111" s="11" t="n"/>
      <c r="M1111" s="11" t="n"/>
      <c r="N1111" s="11" t="n"/>
      <c r="O1111" s="11" t="n"/>
      <c r="P1111" s="11" t="n"/>
      <c r="Q1111" s="11" t="n"/>
    </row>
    <row r="1112">
      <c r="A1112" s="8">
        <f>B1112&amp;"_"&amp;C1112</f>
        <v/>
      </c>
      <c r="B1112" s="8" t="n"/>
      <c r="C1112" s="8" t="n"/>
      <c r="D1112" s="8" t="n"/>
      <c r="E1112" s="11" t="n"/>
      <c r="F1112" s="11" t="n"/>
      <c r="G1112" s="8" t="n"/>
      <c r="H1112" s="8" t="n"/>
      <c r="I1112" s="8" t="n"/>
      <c r="J1112" s="8" t="n"/>
      <c r="K1112" s="12">
        <f>IF(OR(ISERROR(VLOOKUP(C1112, Resultados_Reales!$A$4:$I$107, 5, FALSE)), ISERROR(VLOOKUP(C1112, Resultados_Reales!$A$4:$I$107, 6, FALSE)), VLOOKUP(C1112, Resultados_Reales!$A$4:$I$107, 5, FALSE)="", VLOOKUP(C1112, Resultados_Reales!$A$4:$I$107, 6, FALSE)=""), 0, IF(AND(VLOOKUP(C1112, Resultados_Reales!$A$4:$I$107, 5, FALSE)=G1112, VLOOKUP(C1112, Resultados_Reales!$A$4:$I$107, 6, FALSE)=H1112), Configuracion!$B$5, IF(SIGN(VLOOKUP(C1112, Resultados_Reales!$A$4:$I$107, 5, FALSE)-VLOOKUP(C1112, Resultados_Reales!$A$4:$I$107, 6, FALSE)) = SIGN(G1112-H1112), Configuracion!$B$4, 0)))</f>
        <v/>
      </c>
      <c r="L1112" s="11" t="n"/>
      <c r="M1112" s="11" t="n"/>
      <c r="N1112" s="11" t="n"/>
      <c r="O1112" s="11" t="n"/>
      <c r="P1112" s="11" t="n"/>
      <c r="Q1112" s="11" t="n"/>
    </row>
    <row r="1113">
      <c r="A1113" s="8">
        <f>B1113&amp;"_"&amp;C1113</f>
        <v/>
      </c>
      <c r="B1113" s="8" t="n"/>
      <c r="C1113" s="8" t="n"/>
      <c r="D1113" s="8" t="n"/>
      <c r="E1113" s="11" t="n"/>
      <c r="F1113" s="11" t="n"/>
      <c r="G1113" s="8" t="n"/>
      <c r="H1113" s="8" t="n"/>
      <c r="I1113" s="8" t="n"/>
      <c r="J1113" s="8" t="n"/>
      <c r="K1113" s="12">
        <f>IF(OR(ISERROR(VLOOKUP(C1113, Resultados_Reales!$A$4:$I$107, 5, FALSE)), ISERROR(VLOOKUP(C1113, Resultados_Reales!$A$4:$I$107, 6, FALSE)), VLOOKUP(C1113, Resultados_Reales!$A$4:$I$107, 5, FALSE)="", VLOOKUP(C1113, Resultados_Reales!$A$4:$I$107, 6, FALSE)=""), 0, IF(AND(VLOOKUP(C1113, Resultados_Reales!$A$4:$I$107, 5, FALSE)=G1113, VLOOKUP(C1113, Resultados_Reales!$A$4:$I$107, 6, FALSE)=H1113), Configuracion!$B$5, IF(SIGN(VLOOKUP(C1113, Resultados_Reales!$A$4:$I$107, 5, FALSE)-VLOOKUP(C1113, Resultados_Reales!$A$4:$I$107, 6, FALSE)) = SIGN(G1113-H1113), Configuracion!$B$4, 0)))</f>
        <v/>
      </c>
      <c r="L1113" s="11" t="n"/>
      <c r="M1113" s="11" t="n"/>
      <c r="N1113" s="11" t="n"/>
      <c r="O1113" s="11" t="n"/>
      <c r="P1113" s="11" t="n"/>
      <c r="Q1113" s="11" t="n"/>
    </row>
    <row r="1114">
      <c r="A1114" s="8">
        <f>B1114&amp;"_"&amp;C1114</f>
        <v/>
      </c>
      <c r="B1114" s="8" t="n"/>
      <c r="C1114" s="8" t="n"/>
      <c r="D1114" s="8" t="n"/>
      <c r="E1114" s="11" t="n"/>
      <c r="F1114" s="11" t="n"/>
      <c r="G1114" s="8" t="n"/>
      <c r="H1114" s="8" t="n"/>
      <c r="I1114" s="8" t="n"/>
      <c r="J1114" s="8" t="n"/>
      <c r="K1114" s="12">
        <f>IF(OR(ISERROR(VLOOKUP(C1114, Resultados_Reales!$A$4:$I$107, 5, FALSE)), ISERROR(VLOOKUP(C1114, Resultados_Reales!$A$4:$I$107, 6, FALSE)), VLOOKUP(C1114, Resultados_Reales!$A$4:$I$107, 5, FALSE)="", VLOOKUP(C1114, Resultados_Reales!$A$4:$I$107, 6, FALSE)=""), 0, IF(AND(VLOOKUP(C1114, Resultados_Reales!$A$4:$I$107, 5, FALSE)=G1114, VLOOKUP(C1114, Resultados_Reales!$A$4:$I$107, 6, FALSE)=H1114), Configuracion!$B$5, IF(SIGN(VLOOKUP(C1114, Resultados_Reales!$A$4:$I$107, 5, FALSE)-VLOOKUP(C1114, Resultados_Reales!$A$4:$I$107, 6, FALSE)) = SIGN(G1114-H1114), Configuracion!$B$4, 0)))</f>
        <v/>
      </c>
      <c r="L1114" s="11" t="n"/>
      <c r="M1114" s="11" t="n"/>
      <c r="N1114" s="11" t="n"/>
      <c r="O1114" s="11" t="n"/>
      <c r="P1114" s="11" t="n"/>
      <c r="Q1114" s="11" t="n"/>
    </row>
    <row r="1115">
      <c r="A1115" s="8">
        <f>B1115&amp;"_"&amp;C1115</f>
        <v/>
      </c>
      <c r="B1115" s="8" t="n"/>
      <c r="C1115" s="8" t="n"/>
      <c r="D1115" s="8" t="n"/>
      <c r="E1115" s="11" t="n"/>
      <c r="F1115" s="11" t="n"/>
      <c r="G1115" s="8" t="n"/>
      <c r="H1115" s="8" t="n"/>
      <c r="I1115" s="8" t="n"/>
      <c r="J1115" s="8" t="n"/>
      <c r="K1115" s="12">
        <f>IF(OR(ISERROR(VLOOKUP(C1115, Resultados_Reales!$A$4:$I$107, 5, FALSE)), ISERROR(VLOOKUP(C1115, Resultados_Reales!$A$4:$I$107, 6, FALSE)), VLOOKUP(C1115, Resultados_Reales!$A$4:$I$107, 5, FALSE)="", VLOOKUP(C1115, Resultados_Reales!$A$4:$I$107, 6, FALSE)=""), 0, IF(AND(VLOOKUP(C1115, Resultados_Reales!$A$4:$I$107, 5, FALSE)=G1115, VLOOKUP(C1115, Resultados_Reales!$A$4:$I$107, 6, FALSE)=H1115), Configuracion!$B$5, IF(SIGN(VLOOKUP(C1115, Resultados_Reales!$A$4:$I$107, 5, FALSE)-VLOOKUP(C1115, Resultados_Reales!$A$4:$I$107, 6, FALSE)) = SIGN(G1115-H1115), Configuracion!$B$4, 0)))</f>
        <v/>
      </c>
      <c r="L1115" s="11" t="n"/>
      <c r="M1115" s="11" t="n"/>
      <c r="N1115" s="11" t="n"/>
      <c r="O1115" s="11" t="n"/>
      <c r="P1115" s="11" t="n"/>
      <c r="Q1115" s="11" t="n"/>
    </row>
    <row r="1116">
      <c r="A1116" s="8">
        <f>B1116&amp;"_"&amp;C1116</f>
        <v/>
      </c>
      <c r="B1116" s="8" t="n"/>
      <c r="C1116" s="8" t="n"/>
      <c r="D1116" s="8" t="n"/>
      <c r="E1116" s="11" t="n"/>
      <c r="F1116" s="11" t="n"/>
      <c r="G1116" s="8" t="n"/>
      <c r="H1116" s="8" t="n"/>
      <c r="I1116" s="8" t="n"/>
      <c r="J1116" s="8" t="n"/>
      <c r="K1116" s="12">
        <f>IF(OR(ISERROR(VLOOKUP(C1116, Resultados_Reales!$A$4:$I$107, 5, FALSE)), ISERROR(VLOOKUP(C1116, Resultados_Reales!$A$4:$I$107, 6, FALSE)), VLOOKUP(C1116, Resultados_Reales!$A$4:$I$107, 5, FALSE)="", VLOOKUP(C1116, Resultados_Reales!$A$4:$I$107, 6, FALSE)=""), 0, IF(AND(VLOOKUP(C1116, Resultados_Reales!$A$4:$I$107, 5, FALSE)=G1116, VLOOKUP(C1116, Resultados_Reales!$A$4:$I$107, 6, FALSE)=H1116), Configuracion!$B$5, IF(SIGN(VLOOKUP(C1116, Resultados_Reales!$A$4:$I$107, 5, FALSE)-VLOOKUP(C1116, Resultados_Reales!$A$4:$I$107, 6, FALSE)) = SIGN(G1116-H1116), Configuracion!$B$4, 0)))</f>
        <v/>
      </c>
      <c r="L1116" s="11" t="n"/>
      <c r="M1116" s="11" t="n"/>
      <c r="N1116" s="11" t="n"/>
      <c r="O1116" s="11" t="n"/>
      <c r="P1116" s="11" t="n"/>
      <c r="Q1116" s="11" t="n"/>
    </row>
    <row r="1117">
      <c r="A1117" s="8">
        <f>B1117&amp;"_"&amp;C1117</f>
        <v/>
      </c>
      <c r="B1117" s="8" t="n"/>
      <c r="C1117" s="8" t="n"/>
      <c r="D1117" s="8" t="n"/>
      <c r="E1117" s="11" t="n"/>
      <c r="F1117" s="11" t="n"/>
      <c r="G1117" s="8" t="n"/>
      <c r="H1117" s="8" t="n"/>
      <c r="I1117" s="8" t="n"/>
      <c r="J1117" s="8" t="n"/>
      <c r="K1117" s="12">
        <f>IF(OR(ISERROR(VLOOKUP(C1117, Resultados_Reales!$A$4:$I$107, 5, FALSE)), ISERROR(VLOOKUP(C1117, Resultados_Reales!$A$4:$I$107, 6, FALSE)), VLOOKUP(C1117, Resultados_Reales!$A$4:$I$107, 5, FALSE)="", VLOOKUP(C1117, Resultados_Reales!$A$4:$I$107, 6, FALSE)=""), 0, IF(AND(VLOOKUP(C1117, Resultados_Reales!$A$4:$I$107, 5, FALSE)=G1117, VLOOKUP(C1117, Resultados_Reales!$A$4:$I$107, 6, FALSE)=H1117), Configuracion!$B$5, IF(SIGN(VLOOKUP(C1117, Resultados_Reales!$A$4:$I$107, 5, FALSE)-VLOOKUP(C1117, Resultados_Reales!$A$4:$I$107, 6, FALSE)) = SIGN(G1117-H1117), Configuracion!$B$4, 0)))</f>
        <v/>
      </c>
      <c r="L1117" s="11" t="n"/>
      <c r="M1117" s="11" t="n"/>
      <c r="N1117" s="11" t="n"/>
      <c r="O1117" s="11" t="n"/>
      <c r="P1117" s="11" t="n"/>
      <c r="Q1117" s="11" t="n"/>
    </row>
    <row r="1118">
      <c r="A1118" s="8">
        <f>B1118&amp;"_"&amp;C1118</f>
        <v/>
      </c>
      <c r="B1118" s="8" t="n"/>
      <c r="C1118" s="8" t="n"/>
      <c r="D1118" s="8" t="n"/>
      <c r="E1118" s="11" t="n"/>
      <c r="F1118" s="11" t="n"/>
      <c r="G1118" s="8" t="n"/>
      <c r="H1118" s="8" t="n"/>
      <c r="I1118" s="8" t="n"/>
      <c r="J1118" s="8" t="n"/>
      <c r="K1118" s="12">
        <f>IF(OR(ISERROR(VLOOKUP(C1118, Resultados_Reales!$A$4:$I$107, 5, FALSE)), ISERROR(VLOOKUP(C1118, Resultados_Reales!$A$4:$I$107, 6, FALSE)), VLOOKUP(C1118, Resultados_Reales!$A$4:$I$107, 5, FALSE)="", VLOOKUP(C1118, Resultados_Reales!$A$4:$I$107, 6, FALSE)=""), 0, IF(AND(VLOOKUP(C1118, Resultados_Reales!$A$4:$I$107, 5, FALSE)=G1118, VLOOKUP(C1118, Resultados_Reales!$A$4:$I$107, 6, FALSE)=H1118), Configuracion!$B$5, IF(SIGN(VLOOKUP(C1118, Resultados_Reales!$A$4:$I$107, 5, FALSE)-VLOOKUP(C1118, Resultados_Reales!$A$4:$I$107, 6, FALSE)) = SIGN(G1118-H1118), Configuracion!$B$4, 0)))</f>
        <v/>
      </c>
      <c r="L1118" s="11" t="n"/>
      <c r="M1118" s="11" t="n"/>
      <c r="N1118" s="11" t="n"/>
      <c r="O1118" s="11" t="n"/>
      <c r="P1118" s="11" t="n"/>
      <c r="Q1118" s="11" t="n"/>
    </row>
    <row r="1119">
      <c r="A1119" s="8">
        <f>B1119&amp;"_"&amp;C1119</f>
        <v/>
      </c>
      <c r="B1119" s="8" t="n"/>
      <c r="C1119" s="8" t="n"/>
      <c r="D1119" s="8" t="n"/>
      <c r="E1119" s="11" t="n"/>
      <c r="F1119" s="11" t="n"/>
      <c r="G1119" s="8" t="n"/>
      <c r="H1119" s="8" t="n"/>
      <c r="I1119" s="8" t="n"/>
      <c r="J1119" s="8" t="n"/>
      <c r="K1119" s="12">
        <f>IF(OR(ISERROR(VLOOKUP(C1119, Resultados_Reales!$A$4:$I$107, 5, FALSE)), ISERROR(VLOOKUP(C1119, Resultados_Reales!$A$4:$I$107, 6, FALSE)), VLOOKUP(C1119, Resultados_Reales!$A$4:$I$107, 5, FALSE)="", VLOOKUP(C1119, Resultados_Reales!$A$4:$I$107, 6, FALSE)=""), 0, IF(AND(VLOOKUP(C1119, Resultados_Reales!$A$4:$I$107, 5, FALSE)=G1119, VLOOKUP(C1119, Resultados_Reales!$A$4:$I$107, 6, FALSE)=H1119), Configuracion!$B$5, IF(SIGN(VLOOKUP(C1119, Resultados_Reales!$A$4:$I$107, 5, FALSE)-VLOOKUP(C1119, Resultados_Reales!$A$4:$I$107, 6, FALSE)) = SIGN(G1119-H1119), Configuracion!$B$4, 0)))</f>
        <v/>
      </c>
      <c r="L1119" s="11" t="n"/>
      <c r="M1119" s="11" t="n"/>
      <c r="N1119" s="11" t="n"/>
      <c r="O1119" s="11" t="n"/>
      <c r="P1119" s="11" t="n"/>
      <c r="Q1119" s="11" t="n"/>
    </row>
    <row r="1120">
      <c r="A1120" s="8">
        <f>B1120&amp;"_"&amp;C1120</f>
        <v/>
      </c>
      <c r="B1120" s="8" t="n"/>
      <c r="C1120" s="8" t="n"/>
      <c r="D1120" s="8" t="n"/>
      <c r="E1120" s="11" t="n"/>
      <c r="F1120" s="11" t="n"/>
      <c r="G1120" s="8" t="n"/>
      <c r="H1120" s="8" t="n"/>
      <c r="I1120" s="8" t="n"/>
      <c r="J1120" s="8" t="n"/>
      <c r="K1120" s="12">
        <f>IF(OR(ISERROR(VLOOKUP(C1120, Resultados_Reales!$A$4:$I$107, 5, FALSE)), ISERROR(VLOOKUP(C1120, Resultados_Reales!$A$4:$I$107, 6, FALSE)), VLOOKUP(C1120, Resultados_Reales!$A$4:$I$107, 5, FALSE)="", VLOOKUP(C1120, Resultados_Reales!$A$4:$I$107, 6, FALSE)=""), 0, IF(AND(VLOOKUP(C1120, Resultados_Reales!$A$4:$I$107, 5, FALSE)=G1120, VLOOKUP(C1120, Resultados_Reales!$A$4:$I$107, 6, FALSE)=H1120), Configuracion!$B$5, IF(SIGN(VLOOKUP(C1120, Resultados_Reales!$A$4:$I$107, 5, FALSE)-VLOOKUP(C1120, Resultados_Reales!$A$4:$I$107, 6, FALSE)) = SIGN(G1120-H1120), Configuracion!$B$4, 0)))</f>
        <v/>
      </c>
      <c r="L1120" s="11" t="n"/>
      <c r="M1120" s="11" t="n"/>
      <c r="N1120" s="11" t="n"/>
      <c r="O1120" s="11" t="n"/>
      <c r="P1120" s="11" t="n"/>
      <c r="Q1120" s="11" t="n"/>
    </row>
    <row r="1121">
      <c r="A1121" s="8">
        <f>B1121&amp;"_"&amp;C1121</f>
        <v/>
      </c>
      <c r="B1121" s="8" t="n"/>
      <c r="C1121" s="8" t="n"/>
      <c r="D1121" s="8" t="n"/>
      <c r="E1121" s="11" t="n"/>
      <c r="F1121" s="11" t="n"/>
      <c r="G1121" s="8" t="n"/>
      <c r="H1121" s="8" t="n"/>
      <c r="I1121" s="8" t="n"/>
      <c r="J1121" s="8" t="n"/>
      <c r="K1121" s="12">
        <f>IF(OR(ISERROR(VLOOKUP(C1121, Resultados_Reales!$A$4:$I$107, 5, FALSE)), ISERROR(VLOOKUP(C1121, Resultados_Reales!$A$4:$I$107, 6, FALSE)), VLOOKUP(C1121, Resultados_Reales!$A$4:$I$107, 5, FALSE)="", VLOOKUP(C1121, Resultados_Reales!$A$4:$I$107, 6, FALSE)=""), 0, IF(AND(VLOOKUP(C1121, Resultados_Reales!$A$4:$I$107, 5, FALSE)=G1121, VLOOKUP(C1121, Resultados_Reales!$A$4:$I$107, 6, FALSE)=H1121), Configuracion!$B$5, IF(SIGN(VLOOKUP(C1121, Resultados_Reales!$A$4:$I$107, 5, FALSE)-VLOOKUP(C1121, Resultados_Reales!$A$4:$I$107, 6, FALSE)) = SIGN(G1121-H1121), Configuracion!$B$4, 0)))</f>
        <v/>
      </c>
      <c r="L1121" s="11" t="n"/>
      <c r="M1121" s="11" t="n"/>
      <c r="N1121" s="11" t="n"/>
      <c r="O1121" s="11" t="n"/>
      <c r="P1121" s="11" t="n"/>
      <c r="Q1121" s="11" t="n"/>
    </row>
    <row r="1122">
      <c r="A1122" s="8">
        <f>B1122&amp;"_"&amp;C1122</f>
        <v/>
      </c>
      <c r="B1122" s="8" t="n"/>
      <c r="C1122" s="8" t="n"/>
      <c r="D1122" s="8" t="n"/>
      <c r="E1122" s="11" t="n"/>
      <c r="F1122" s="11" t="n"/>
      <c r="G1122" s="8" t="n"/>
      <c r="H1122" s="8" t="n"/>
      <c r="I1122" s="8" t="n"/>
      <c r="J1122" s="8" t="n"/>
      <c r="K1122" s="12">
        <f>IF(OR(ISERROR(VLOOKUP(C1122, Resultados_Reales!$A$4:$I$107, 5, FALSE)), ISERROR(VLOOKUP(C1122, Resultados_Reales!$A$4:$I$107, 6, FALSE)), VLOOKUP(C1122, Resultados_Reales!$A$4:$I$107, 5, FALSE)="", VLOOKUP(C1122, Resultados_Reales!$A$4:$I$107, 6, FALSE)=""), 0, IF(AND(VLOOKUP(C1122, Resultados_Reales!$A$4:$I$107, 5, FALSE)=G1122, VLOOKUP(C1122, Resultados_Reales!$A$4:$I$107, 6, FALSE)=H1122), Configuracion!$B$5, IF(SIGN(VLOOKUP(C1122, Resultados_Reales!$A$4:$I$107, 5, FALSE)-VLOOKUP(C1122, Resultados_Reales!$A$4:$I$107, 6, FALSE)) = SIGN(G1122-H1122), Configuracion!$B$4, 0)))</f>
        <v/>
      </c>
      <c r="L1122" s="11" t="n"/>
      <c r="M1122" s="11" t="n"/>
      <c r="N1122" s="11" t="n"/>
      <c r="O1122" s="11" t="n"/>
      <c r="P1122" s="11" t="n"/>
      <c r="Q1122" s="11" t="n"/>
    </row>
    <row r="1123">
      <c r="A1123" s="8">
        <f>B1123&amp;"_"&amp;C1123</f>
        <v/>
      </c>
      <c r="B1123" s="8" t="n"/>
      <c r="C1123" s="8" t="n"/>
      <c r="D1123" s="8" t="n"/>
      <c r="E1123" s="11" t="n"/>
      <c r="F1123" s="11" t="n"/>
      <c r="G1123" s="8" t="n"/>
      <c r="H1123" s="8" t="n"/>
      <c r="I1123" s="8" t="n"/>
      <c r="J1123" s="8" t="n"/>
      <c r="K1123" s="12">
        <f>IF(OR(ISERROR(VLOOKUP(C1123, Resultados_Reales!$A$4:$I$107, 5, FALSE)), ISERROR(VLOOKUP(C1123, Resultados_Reales!$A$4:$I$107, 6, FALSE)), VLOOKUP(C1123, Resultados_Reales!$A$4:$I$107, 5, FALSE)="", VLOOKUP(C1123, Resultados_Reales!$A$4:$I$107, 6, FALSE)=""), 0, IF(AND(VLOOKUP(C1123, Resultados_Reales!$A$4:$I$107, 5, FALSE)=G1123, VLOOKUP(C1123, Resultados_Reales!$A$4:$I$107, 6, FALSE)=H1123), Configuracion!$B$5, IF(SIGN(VLOOKUP(C1123, Resultados_Reales!$A$4:$I$107, 5, FALSE)-VLOOKUP(C1123, Resultados_Reales!$A$4:$I$107, 6, FALSE)) = SIGN(G1123-H1123), Configuracion!$B$4, 0)))</f>
        <v/>
      </c>
      <c r="L1123" s="11" t="n"/>
      <c r="M1123" s="11" t="n"/>
      <c r="N1123" s="11" t="n"/>
      <c r="O1123" s="11" t="n"/>
      <c r="P1123" s="11" t="n"/>
      <c r="Q1123" s="11" t="n"/>
    </row>
    <row r="1124">
      <c r="A1124" s="8">
        <f>B1124&amp;"_"&amp;C1124</f>
        <v/>
      </c>
      <c r="B1124" s="8" t="n"/>
      <c r="C1124" s="8" t="n"/>
      <c r="D1124" s="8" t="n"/>
      <c r="E1124" s="11" t="n"/>
      <c r="F1124" s="11" t="n"/>
      <c r="G1124" s="8" t="n"/>
      <c r="H1124" s="8" t="n"/>
      <c r="I1124" s="8" t="n"/>
      <c r="J1124" s="8" t="n"/>
      <c r="K1124" s="12">
        <f>IF(OR(ISERROR(VLOOKUP(C1124, Resultados_Reales!$A$4:$I$107, 5, FALSE)), ISERROR(VLOOKUP(C1124, Resultados_Reales!$A$4:$I$107, 6, FALSE)), VLOOKUP(C1124, Resultados_Reales!$A$4:$I$107, 5, FALSE)="", VLOOKUP(C1124, Resultados_Reales!$A$4:$I$107, 6, FALSE)=""), 0, IF(AND(VLOOKUP(C1124, Resultados_Reales!$A$4:$I$107, 5, FALSE)=G1124, VLOOKUP(C1124, Resultados_Reales!$A$4:$I$107, 6, FALSE)=H1124), Configuracion!$B$5, IF(SIGN(VLOOKUP(C1124, Resultados_Reales!$A$4:$I$107, 5, FALSE)-VLOOKUP(C1124, Resultados_Reales!$A$4:$I$107, 6, FALSE)) = SIGN(G1124-H1124), Configuracion!$B$4, 0)))</f>
        <v/>
      </c>
      <c r="L1124" s="11" t="n"/>
      <c r="M1124" s="11" t="n"/>
      <c r="N1124" s="11" t="n"/>
      <c r="O1124" s="11" t="n"/>
      <c r="P1124" s="11" t="n"/>
      <c r="Q1124" s="11" t="n"/>
    </row>
    <row r="1125">
      <c r="A1125" s="8">
        <f>B1125&amp;"_"&amp;C1125</f>
        <v/>
      </c>
      <c r="B1125" s="8" t="n"/>
      <c r="C1125" s="8" t="n"/>
      <c r="D1125" s="8" t="n"/>
      <c r="E1125" s="11" t="n"/>
      <c r="F1125" s="11" t="n"/>
      <c r="G1125" s="8" t="n"/>
      <c r="H1125" s="8" t="n"/>
      <c r="I1125" s="8" t="n"/>
      <c r="J1125" s="8" t="n"/>
      <c r="K1125" s="12">
        <f>IF(OR(ISERROR(VLOOKUP(C1125, Resultados_Reales!$A$4:$I$107, 5, FALSE)), ISERROR(VLOOKUP(C1125, Resultados_Reales!$A$4:$I$107, 6, FALSE)), VLOOKUP(C1125, Resultados_Reales!$A$4:$I$107, 5, FALSE)="", VLOOKUP(C1125, Resultados_Reales!$A$4:$I$107, 6, FALSE)=""), 0, IF(AND(VLOOKUP(C1125, Resultados_Reales!$A$4:$I$107, 5, FALSE)=G1125, VLOOKUP(C1125, Resultados_Reales!$A$4:$I$107, 6, FALSE)=H1125), Configuracion!$B$5, IF(SIGN(VLOOKUP(C1125, Resultados_Reales!$A$4:$I$107, 5, FALSE)-VLOOKUP(C1125, Resultados_Reales!$A$4:$I$107, 6, FALSE)) = SIGN(G1125-H1125), Configuracion!$B$4, 0)))</f>
        <v/>
      </c>
      <c r="L1125" s="11" t="n"/>
      <c r="M1125" s="11" t="n"/>
      <c r="N1125" s="11" t="n"/>
      <c r="O1125" s="11" t="n"/>
      <c r="P1125" s="11" t="n"/>
      <c r="Q1125" s="11" t="n"/>
    </row>
    <row r="1126">
      <c r="A1126" s="8">
        <f>B1126&amp;"_"&amp;C1126</f>
        <v/>
      </c>
      <c r="B1126" s="8" t="n"/>
      <c r="C1126" s="8" t="n"/>
      <c r="D1126" s="8" t="n"/>
      <c r="E1126" s="11" t="n"/>
      <c r="F1126" s="11" t="n"/>
      <c r="G1126" s="8" t="n"/>
      <c r="H1126" s="8" t="n"/>
      <c r="I1126" s="8" t="n"/>
      <c r="J1126" s="8" t="n"/>
      <c r="K1126" s="12">
        <f>IF(OR(ISERROR(VLOOKUP(C1126, Resultados_Reales!$A$4:$I$107, 5, FALSE)), ISERROR(VLOOKUP(C1126, Resultados_Reales!$A$4:$I$107, 6, FALSE)), VLOOKUP(C1126, Resultados_Reales!$A$4:$I$107, 5, FALSE)="", VLOOKUP(C1126, Resultados_Reales!$A$4:$I$107, 6, FALSE)=""), 0, IF(AND(VLOOKUP(C1126, Resultados_Reales!$A$4:$I$107, 5, FALSE)=G1126, VLOOKUP(C1126, Resultados_Reales!$A$4:$I$107, 6, FALSE)=H1126), Configuracion!$B$5, IF(SIGN(VLOOKUP(C1126, Resultados_Reales!$A$4:$I$107, 5, FALSE)-VLOOKUP(C1126, Resultados_Reales!$A$4:$I$107, 6, FALSE)) = SIGN(G1126-H1126), Configuracion!$B$4, 0)))</f>
        <v/>
      </c>
      <c r="L1126" s="11" t="n"/>
      <c r="M1126" s="11" t="n"/>
      <c r="N1126" s="11" t="n"/>
      <c r="O1126" s="11" t="n"/>
      <c r="P1126" s="11" t="n"/>
      <c r="Q1126" s="11" t="n"/>
    </row>
    <row r="1127">
      <c r="A1127" s="8">
        <f>B1127&amp;"_"&amp;C1127</f>
        <v/>
      </c>
      <c r="B1127" s="8" t="n"/>
      <c r="C1127" s="8" t="n"/>
      <c r="D1127" s="8" t="n"/>
      <c r="E1127" s="11" t="n"/>
      <c r="F1127" s="11" t="n"/>
      <c r="G1127" s="8" t="n"/>
      <c r="H1127" s="8" t="n"/>
      <c r="I1127" s="8" t="n"/>
      <c r="J1127" s="8" t="n"/>
      <c r="K1127" s="12">
        <f>IF(OR(ISERROR(VLOOKUP(C1127, Resultados_Reales!$A$4:$I$107, 5, FALSE)), ISERROR(VLOOKUP(C1127, Resultados_Reales!$A$4:$I$107, 6, FALSE)), VLOOKUP(C1127, Resultados_Reales!$A$4:$I$107, 5, FALSE)="", VLOOKUP(C1127, Resultados_Reales!$A$4:$I$107, 6, FALSE)=""), 0, IF(AND(VLOOKUP(C1127, Resultados_Reales!$A$4:$I$107, 5, FALSE)=G1127, VLOOKUP(C1127, Resultados_Reales!$A$4:$I$107, 6, FALSE)=H1127), Configuracion!$B$5, IF(SIGN(VLOOKUP(C1127, Resultados_Reales!$A$4:$I$107, 5, FALSE)-VLOOKUP(C1127, Resultados_Reales!$A$4:$I$107, 6, FALSE)) = SIGN(G1127-H1127), Configuracion!$B$4, 0)))</f>
        <v/>
      </c>
      <c r="L1127" s="11" t="n"/>
      <c r="M1127" s="11" t="n"/>
      <c r="N1127" s="11" t="n"/>
      <c r="O1127" s="11" t="n"/>
      <c r="P1127" s="11" t="n"/>
      <c r="Q1127" s="11" t="n"/>
    </row>
    <row r="1128">
      <c r="A1128" s="8">
        <f>B1128&amp;"_"&amp;C1128</f>
        <v/>
      </c>
      <c r="B1128" s="8" t="n"/>
      <c r="C1128" s="8" t="n"/>
      <c r="D1128" s="8" t="n"/>
      <c r="E1128" s="11" t="n"/>
      <c r="F1128" s="11" t="n"/>
      <c r="G1128" s="8" t="n"/>
      <c r="H1128" s="8" t="n"/>
      <c r="I1128" s="8" t="n"/>
      <c r="J1128" s="8" t="n"/>
      <c r="K1128" s="12">
        <f>IF(OR(ISERROR(VLOOKUP(C1128, Resultados_Reales!$A$4:$I$107, 5, FALSE)), ISERROR(VLOOKUP(C1128, Resultados_Reales!$A$4:$I$107, 6, FALSE)), VLOOKUP(C1128, Resultados_Reales!$A$4:$I$107, 5, FALSE)="", VLOOKUP(C1128, Resultados_Reales!$A$4:$I$107, 6, FALSE)=""), 0, IF(AND(VLOOKUP(C1128, Resultados_Reales!$A$4:$I$107, 5, FALSE)=G1128, VLOOKUP(C1128, Resultados_Reales!$A$4:$I$107, 6, FALSE)=H1128), Configuracion!$B$5, IF(SIGN(VLOOKUP(C1128, Resultados_Reales!$A$4:$I$107, 5, FALSE)-VLOOKUP(C1128, Resultados_Reales!$A$4:$I$107, 6, FALSE)) = SIGN(G1128-H1128), Configuracion!$B$4, 0)))</f>
        <v/>
      </c>
      <c r="L1128" s="11" t="n"/>
      <c r="M1128" s="11" t="n"/>
      <c r="N1128" s="11" t="n"/>
      <c r="O1128" s="11" t="n"/>
      <c r="P1128" s="11" t="n"/>
      <c r="Q1128" s="11" t="n"/>
    </row>
    <row r="1129">
      <c r="A1129" s="8">
        <f>B1129&amp;"_"&amp;C1129</f>
        <v/>
      </c>
      <c r="B1129" s="8" t="n"/>
      <c r="C1129" s="8" t="n"/>
      <c r="D1129" s="8" t="n"/>
      <c r="E1129" s="11" t="n"/>
      <c r="F1129" s="11" t="n"/>
      <c r="G1129" s="8" t="n"/>
      <c r="H1129" s="8" t="n"/>
      <c r="I1129" s="8" t="n"/>
      <c r="J1129" s="8" t="n"/>
      <c r="K1129" s="12">
        <f>IF(OR(ISERROR(VLOOKUP(C1129, Resultados_Reales!$A$4:$I$107, 5, FALSE)), ISERROR(VLOOKUP(C1129, Resultados_Reales!$A$4:$I$107, 6, FALSE)), VLOOKUP(C1129, Resultados_Reales!$A$4:$I$107, 5, FALSE)="", VLOOKUP(C1129, Resultados_Reales!$A$4:$I$107, 6, FALSE)=""), 0, IF(AND(VLOOKUP(C1129, Resultados_Reales!$A$4:$I$107, 5, FALSE)=G1129, VLOOKUP(C1129, Resultados_Reales!$A$4:$I$107, 6, FALSE)=H1129), Configuracion!$B$5, IF(SIGN(VLOOKUP(C1129, Resultados_Reales!$A$4:$I$107, 5, FALSE)-VLOOKUP(C1129, Resultados_Reales!$A$4:$I$107, 6, FALSE)) = SIGN(G1129-H1129), Configuracion!$B$4, 0)))</f>
        <v/>
      </c>
      <c r="L1129" s="11" t="n"/>
      <c r="M1129" s="11" t="n"/>
      <c r="N1129" s="11" t="n"/>
      <c r="O1129" s="11" t="n"/>
      <c r="P1129" s="11" t="n"/>
      <c r="Q1129" s="11" t="n"/>
    </row>
    <row r="1130">
      <c r="A1130" s="8">
        <f>B1130&amp;"_"&amp;C1130</f>
        <v/>
      </c>
      <c r="B1130" s="8" t="n"/>
      <c r="C1130" s="8" t="n"/>
      <c r="D1130" s="8" t="n"/>
      <c r="E1130" s="11" t="n"/>
      <c r="F1130" s="11" t="n"/>
      <c r="G1130" s="8" t="n"/>
      <c r="H1130" s="8" t="n"/>
      <c r="I1130" s="8" t="n"/>
      <c r="J1130" s="8" t="n"/>
      <c r="K1130" s="12">
        <f>IF(OR(ISERROR(VLOOKUP(C1130, Resultados_Reales!$A$4:$I$107, 5, FALSE)), ISERROR(VLOOKUP(C1130, Resultados_Reales!$A$4:$I$107, 6, FALSE)), VLOOKUP(C1130, Resultados_Reales!$A$4:$I$107, 5, FALSE)="", VLOOKUP(C1130, Resultados_Reales!$A$4:$I$107, 6, FALSE)=""), 0, IF(AND(VLOOKUP(C1130, Resultados_Reales!$A$4:$I$107, 5, FALSE)=G1130, VLOOKUP(C1130, Resultados_Reales!$A$4:$I$107, 6, FALSE)=H1130), Configuracion!$B$5, IF(SIGN(VLOOKUP(C1130, Resultados_Reales!$A$4:$I$107, 5, FALSE)-VLOOKUP(C1130, Resultados_Reales!$A$4:$I$107, 6, FALSE)) = SIGN(G1130-H1130), Configuracion!$B$4, 0)))</f>
        <v/>
      </c>
      <c r="L1130" s="11" t="n"/>
      <c r="M1130" s="11" t="n"/>
      <c r="N1130" s="11" t="n"/>
      <c r="O1130" s="11" t="n"/>
      <c r="P1130" s="11" t="n"/>
      <c r="Q1130" s="11" t="n"/>
    </row>
    <row r="1131">
      <c r="A1131" s="8">
        <f>B1131&amp;"_"&amp;C1131</f>
        <v/>
      </c>
      <c r="B1131" s="8" t="n"/>
      <c r="C1131" s="8" t="n"/>
      <c r="D1131" s="8" t="n"/>
      <c r="E1131" s="11" t="n"/>
      <c r="F1131" s="11" t="n"/>
      <c r="G1131" s="8" t="n"/>
      <c r="H1131" s="8" t="n"/>
      <c r="I1131" s="8" t="n"/>
      <c r="J1131" s="8" t="n"/>
      <c r="K1131" s="12">
        <f>IF(OR(ISERROR(VLOOKUP(C1131, Resultados_Reales!$A$4:$I$107, 5, FALSE)), ISERROR(VLOOKUP(C1131, Resultados_Reales!$A$4:$I$107, 6, FALSE)), VLOOKUP(C1131, Resultados_Reales!$A$4:$I$107, 5, FALSE)="", VLOOKUP(C1131, Resultados_Reales!$A$4:$I$107, 6, FALSE)=""), 0, IF(AND(VLOOKUP(C1131, Resultados_Reales!$A$4:$I$107, 5, FALSE)=G1131, VLOOKUP(C1131, Resultados_Reales!$A$4:$I$107, 6, FALSE)=H1131), Configuracion!$B$5, IF(SIGN(VLOOKUP(C1131, Resultados_Reales!$A$4:$I$107, 5, FALSE)-VLOOKUP(C1131, Resultados_Reales!$A$4:$I$107, 6, FALSE)) = SIGN(G1131-H1131), Configuracion!$B$4, 0)))</f>
        <v/>
      </c>
      <c r="L1131" s="11" t="n"/>
      <c r="M1131" s="11" t="n"/>
      <c r="N1131" s="11" t="n"/>
      <c r="O1131" s="11" t="n"/>
      <c r="P1131" s="11" t="n"/>
      <c r="Q1131" s="11" t="n"/>
    </row>
    <row r="1132">
      <c r="A1132" s="8">
        <f>B1132&amp;"_"&amp;C1132</f>
        <v/>
      </c>
      <c r="B1132" s="8" t="n"/>
      <c r="C1132" s="8" t="n"/>
      <c r="D1132" s="8" t="n"/>
      <c r="E1132" s="11" t="n"/>
      <c r="F1132" s="11" t="n"/>
      <c r="G1132" s="8" t="n"/>
      <c r="H1132" s="8" t="n"/>
      <c r="I1132" s="8" t="n"/>
      <c r="J1132" s="8" t="n"/>
      <c r="K1132" s="12">
        <f>IF(OR(ISERROR(VLOOKUP(C1132, Resultados_Reales!$A$4:$I$107, 5, FALSE)), ISERROR(VLOOKUP(C1132, Resultados_Reales!$A$4:$I$107, 6, FALSE)), VLOOKUP(C1132, Resultados_Reales!$A$4:$I$107, 5, FALSE)="", VLOOKUP(C1132, Resultados_Reales!$A$4:$I$107, 6, FALSE)=""), 0, IF(AND(VLOOKUP(C1132, Resultados_Reales!$A$4:$I$107, 5, FALSE)=G1132, VLOOKUP(C1132, Resultados_Reales!$A$4:$I$107, 6, FALSE)=H1132), Configuracion!$B$5, IF(SIGN(VLOOKUP(C1132, Resultados_Reales!$A$4:$I$107, 5, FALSE)-VLOOKUP(C1132, Resultados_Reales!$A$4:$I$107, 6, FALSE)) = SIGN(G1132-H1132), Configuracion!$B$4, 0)))</f>
        <v/>
      </c>
      <c r="L1132" s="11" t="n"/>
      <c r="M1132" s="11" t="n"/>
      <c r="N1132" s="11" t="n"/>
      <c r="O1132" s="11" t="n"/>
      <c r="P1132" s="11" t="n"/>
      <c r="Q1132" s="11" t="n"/>
    </row>
    <row r="1133">
      <c r="A1133" s="8">
        <f>B1133&amp;"_"&amp;C1133</f>
        <v/>
      </c>
      <c r="B1133" s="8" t="n"/>
      <c r="C1133" s="8" t="n"/>
      <c r="D1133" s="8" t="n"/>
      <c r="E1133" s="11" t="n"/>
      <c r="F1133" s="11" t="n"/>
      <c r="G1133" s="8" t="n"/>
      <c r="H1133" s="8" t="n"/>
      <c r="I1133" s="8" t="n"/>
      <c r="J1133" s="8" t="n"/>
      <c r="K1133" s="12">
        <f>IF(OR(ISERROR(VLOOKUP(C1133, Resultados_Reales!$A$4:$I$107, 5, FALSE)), ISERROR(VLOOKUP(C1133, Resultados_Reales!$A$4:$I$107, 6, FALSE)), VLOOKUP(C1133, Resultados_Reales!$A$4:$I$107, 5, FALSE)="", VLOOKUP(C1133, Resultados_Reales!$A$4:$I$107, 6, FALSE)=""), 0, IF(AND(VLOOKUP(C1133, Resultados_Reales!$A$4:$I$107, 5, FALSE)=G1133, VLOOKUP(C1133, Resultados_Reales!$A$4:$I$107, 6, FALSE)=H1133), Configuracion!$B$5, IF(SIGN(VLOOKUP(C1133, Resultados_Reales!$A$4:$I$107, 5, FALSE)-VLOOKUP(C1133, Resultados_Reales!$A$4:$I$107, 6, FALSE)) = SIGN(G1133-H1133), Configuracion!$B$4, 0)))</f>
        <v/>
      </c>
      <c r="L1133" s="11" t="n"/>
      <c r="M1133" s="11" t="n"/>
      <c r="N1133" s="11" t="n"/>
      <c r="O1133" s="11" t="n"/>
      <c r="P1133" s="11" t="n"/>
      <c r="Q1133" s="11" t="n"/>
    </row>
    <row r="1134">
      <c r="A1134" s="8">
        <f>B1134&amp;"_"&amp;C1134</f>
        <v/>
      </c>
      <c r="B1134" s="8" t="n"/>
      <c r="C1134" s="8" t="n"/>
      <c r="D1134" s="8" t="n"/>
      <c r="E1134" s="11" t="n"/>
      <c r="F1134" s="11" t="n"/>
      <c r="G1134" s="8" t="n"/>
      <c r="H1134" s="8" t="n"/>
      <c r="I1134" s="8" t="n"/>
      <c r="J1134" s="8" t="n"/>
      <c r="K1134" s="12">
        <f>IF(OR(ISERROR(VLOOKUP(C1134, Resultados_Reales!$A$4:$I$107, 5, FALSE)), ISERROR(VLOOKUP(C1134, Resultados_Reales!$A$4:$I$107, 6, FALSE)), VLOOKUP(C1134, Resultados_Reales!$A$4:$I$107, 5, FALSE)="", VLOOKUP(C1134, Resultados_Reales!$A$4:$I$107, 6, FALSE)=""), 0, IF(AND(VLOOKUP(C1134, Resultados_Reales!$A$4:$I$107, 5, FALSE)=G1134, VLOOKUP(C1134, Resultados_Reales!$A$4:$I$107, 6, FALSE)=H1134), Configuracion!$B$5, IF(SIGN(VLOOKUP(C1134, Resultados_Reales!$A$4:$I$107, 5, FALSE)-VLOOKUP(C1134, Resultados_Reales!$A$4:$I$107, 6, FALSE)) = SIGN(G1134-H1134), Configuracion!$B$4, 0)))</f>
        <v/>
      </c>
      <c r="L1134" s="11" t="n"/>
      <c r="M1134" s="11" t="n"/>
      <c r="N1134" s="11" t="n"/>
      <c r="O1134" s="11" t="n"/>
      <c r="P1134" s="11" t="n"/>
      <c r="Q1134" s="11" t="n"/>
    </row>
    <row r="1135">
      <c r="A1135" s="8">
        <f>B1135&amp;"_"&amp;C1135</f>
        <v/>
      </c>
      <c r="B1135" s="8" t="n"/>
      <c r="C1135" s="8" t="n"/>
      <c r="D1135" s="8" t="n"/>
      <c r="E1135" s="11" t="n"/>
      <c r="F1135" s="11" t="n"/>
      <c r="G1135" s="8" t="n"/>
      <c r="H1135" s="8" t="n"/>
      <c r="I1135" s="8" t="n"/>
      <c r="J1135" s="8" t="n"/>
      <c r="K1135" s="12">
        <f>IF(OR(ISERROR(VLOOKUP(C1135, Resultados_Reales!$A$4:$I$107, 5, FALSE)), ISERROR(VLOOKUP(C1135, Resultados_Reales!$A$4:$I$107, 6, FALSE)), VLOOKUP(C1135, Resultados_Reales!$A$4:$I$107, 5, FALSE)="", VLOOKUP(C1135, Resultados_Reales!$A$4:$I$107, 6, FALSE)=""), 0, IF(AND(VLOOKUP(C1135, Resultados_Reales!$A$4:$I$107, 5, FALSE)=G1135, VLOOKUP(C1135, Resultados_Reales!$A$4:$I$107, 6, FALSE)=H1135), Configuracion!$B$5, IF(SIGN(VLOOKUP(C1135, Resultados_Reales!$A$4:$I$107, 5, FALSE)-VLOOKUP(C1135, Resultados_Reales!$A$4:$I$107, 6, FALSE)) = SIGN(G1135-H1135), Configuracion!$B$4, 0)))</f>
        <v/>
      </c>
      <c r="L1135" s="11" t="n"/>
      <c r="M1135" s="11" t="n"/>
      <c r="N1135" s="11" t="n"/>
      <c r="O1135" s="11" t="n"/>
      <c r="P1135" s="11" t="n"/>
      <c r="Q1135" s="11" t="n"/>
    </row>
    <row r="1136">
      <c r="A1136" s="8">
        <f>B1136&amp;"_"&amp;C1136</f>
        <v/>
      </c>
      <c r="B1136" s="8" t="n"/>
      <c r="C1136" s="8" t="n"/>
      <c r="D1136" s="8" t="n"/>
      <c r="E1136" s="11" t="n"/>
      <c r="F1136" s="11" t="n"/>
      <c r="G1136" s="8" t="n"/>
      <c r="H1136" s="8" t="n"/>
      <c r="I1136" s="8" t="n"/>
      <c r="J1136" s="8" t="n"/>
      <c r="K1136" s="12">
        <f>IF(OR(ISERROR(VLOOKUP(C1136, Resultados_Reales!$A$4:$I$107, 5, FALSE)), ISERROR(VLOOKUP(C1136, Resultados_Reales!$A$4:$I$107, 6, FALSE)), VLOOKUP(C1136, Resultados_Reales!$A$4:$I$107, 5, FALSE)="", VLOOKUP(C1136, Resultados_Reales!$A$4:$I$107, 6, FALSE)=""), 0, IF(AND(VLOOKUP(C1136, Resultados_Reales!$A$4:$I$107, 5, FALSE)=G1136, VLOOKUP(C1136, Resultados_Reales!$A$4:$I$107, 6, FALSE)=H1136), Configuracion!$B$5, IF(SIGN(VLOOKUP(C1136, Resultados_Reales!$A$4:$I$107, 5, FALSE)-VLOOKUP(C1136, Resultados_Reales!$A$4:$I$107, 6, FALSE)) = SIGN(G1136-H1136), Configuracion!$B$4, 0)))</f>
        <v/>
      </c>
      <c r="L1136" s="11" t="n"/>
      <c r="M1136" s="11" t="n"/>
      <c r="N1136" s="11" t="n"/>
      <c r="O1136" s="11" t="n"/>
      <c r="P1136" s="11" t="n"/>
      <c r="Q1136" s="11" t="n"/>
    </row>
    <row r="1137">
      <c r="A1137" s="8">
        <f>B1137&amp;"_"&amp;C1137</f>
        <v/>
      </c>
      <c r="B1137" s="8" t="n"/>
      <c r="C1137" s="8" t="n"/>
      <c r="D1137" s="8" t="n"/>
      <c r="E1137" s="11" t="n"/>
      <c r="F1137" s="11" t="n"/>
      <c r="G1137" s="8" t="n"/>
      <c r="H1137" s="8" t="n"/>
      <c r="I1137" s="8" t="n"/>
      <c r="J1137" s="8" t="n"/>
      <c r="K1137" s="12">
        <f>IF(OR(ISERROR(VLOOKUP(C1137, Resultados_Reales!$A$4:$I$107, 5, FALSE)), ISERROR(VLOOKUP(C1137, Resultados_Reales!$A$4:$I$107, 6, FALSE)), VLOOKUP(C1137, Resultados_Reales!$A$4:$I$107, 5, FALSE)="", VLOOKUP(C1137, Resultados_Reales!$A$4:$I$107, 6, FALSE)=""), 0, IF(AND(VLOOKUP(C1137, Resultados_Reales!$A$4:$I$107, 5, FALSE)=G1137, VLOOKUP(C1137, Resultados_Reales!$A$4:$I$107, 6, FALSE)=H1137), Configuracion!$B$5, IF(SIGN(VLOOKUP(C1137, Resultados_Reales!$A$4:$I$107, 5, FALSE)-VLOOKUP(C1137, Resultados_Reales!$A$4:$I$107, 6, FALSE)) = SIGN(G1137-H1137), Configuracion!$B$4, 0)))</f>
        <v/>
      </c>
      <c r="L1137" s="11" t="n"/>
      <c r="M1137" s="11" t="n"/>
      <c r="N1137" s="11" t="n"/>
      <c r="O1137" s="11" t="n"/>
      <c r="P1137" s="11" t="n"/>
      <c r="Q1137" s="11" t="n"/>
    </row>
    <row r="1138">
      <c r="A1138" s="8">
        <f>B1138&amp;"_"&amp;C1138</f>
        <v/>
      </c>
      <c r="B1138" s="8" t="n"/>
      <c r="C1138" s="8" t="n"/>
      <c r="D1138" s="8" t="n"/>
      <c r="E1138" s="11" t="n"/>
      <c r="F1138" s="11" t="n"/>
      <c r="G1138" s="8" t="n"/>
      <c r="H1138" s="8" t="n"/>
      <c r="I1138" s="8" t="n"/>
      <c r="J1138" s="8" t="n"/>
      <c r="K1138" s="12">
        <f>IF(OR(ISERROR(VLOOKUP(C1138, Resultados_Reales!$A$4:$I$107, 5, FALSE)), ISERROR(VLOOKUP(C1138, Resultados_Reales!$A$4:$I$107, 6, FALSE)), VLOOKUP(C1138, Resultados_Reales!$A$4:$I$107, 5, FALSE)="", VLOOKUP(C1138, Resultados_Reales!$A$4:$I$107, 6, FALSE)=""), 0, IF(AND(VLOOKUP(C1138, Resultados_Reales!$A$4:$I$107, 5, FALSE)=G1138, VLOOKUP(C1138, Resultados_Reales!$A$4:$I$107, 6, FALSE)=H1138), Configuracion!$B$5, IF(SIGN(VLOOKUP(C1138, Resultados_Reales!$A$4:$I$107, 5, FALSE)-VLOOKUP(C1138, Resultados_Reales!$A$4:$I$107, 6, FALSE)) = SIGN(G1138-H1138), Configuracion!$B$4, 0)))</f>
        <v/>
      </c>
      <c r="L1138" s="11" t="n"/>
      <c r="M1138" s="11" t="n"/>
      <c r="N1138" s="11" t="n"/>
      <c r="O1138" s="11" t="n"/>
      <c r="P1138" s="11" t="n"/>
      <c r="Q1138" s="11" t="n"/>
    </row>
    <row r="1139">
      <c r="A1139" s="8">
        <f>B1139&amp;"_"&amp;C1139</f>
        <v/>
      </c>
      <c r="B1139" s="8" t="n"/>
      <c r="C1139" s="8" t="n"/>
      <c r="D1139" s="8" t="n"/>
      <c r="E1139" s="11" t="n"/>
      <c r="F1139" s="11" t="n"/>
      <c r="G1139" s="8" t="n"/>
      <c r="H1139" s="8" t="n"/>
      <c r="I1139" s="8" t="n"/>
      <c r="J1139" s="8" t="n"/>
      <c r="K1139" s="12">
        <f>IF(OR(ISERROR(VLOOKUP(C1139, Resultados_Reales!$A$4:$I$107, 5, FALSE)), ISERROR(VLOOKUP(C1139, Resultados_Reales!$A$4:$I$107, 6, FALSE)), VLOOKUP(C1139, Resultados_Reales!$A$4:$I$107, 5, FALSE)="", VLOOKUP(C1139, Resultados_Reales!$A$4:$I$107, 6, FALSE)=""), 0, IF(AND(VLOOKUP(C1139, Resultados_Reales!$A$4:$I$107, 5, FALSE)=G1139, VLOOKUP(C1139, Resultados_Reales!$A$4:$I$107, 6, FALSE)=H1139), Configuracion!$B$5, IF(SIGN(VLOOKUP(C1139, Resultados_Reales!$A$4:$I$107, 5, FALSE)-VLOOKUP(C1139, Resultados_Reales!$A$4:$I$107, 6, FALSE)) = SIGN(G1139-H1139), Configuracion!$B$4, 0)))</f>
        <v/>
      </c>
      <c r="L1139" s="11" t="n"/>
      <c r="M1139" s="11" t="n"/>
      <c r="N1139" s="11" t="n"/>
      <c r="O1139" s="11" t="n"/>
      <c r="P1139" s="11" t="n"/>
      <c r="Q1139" s="11" t="n"/>
    </row>
    <row r="1140">
      <c r="A1140" s="8">
        <f>B1140&amp;"_"&amp;C1140</f>
        <v/>
      </c>
      <c r="B1140" s="8" t="n"/>
      <c r="C1140" s="8" t="n"/>
      <c r="D1140" s="8" t="n"/>
      <c r="E1140" s="11" t="n"/>
      <c r="F1140" s="11" t="n"/>
      <c r="G1140" s="8" t="n"/>
      <c r="H1140" s="8" t="n"/>
      <c r="I1140" s="8" t="n"/>
      <c r="J1140" s="8" t="n"/>
      <c r="K1140" s="12">
        <f>IF(OR(ISERROR(VLOOKUP(C1140, Resultados_Reales!$A$4:$I$107, 5, FALSE)), ISERROR(VLOOKUP(C1140, Resultados_Reales!$A$4:$I$107, 6, FALSE)), VLOOKUP(C1140, Resultados_Reales!$A$4:$I$107, 5, FALSE)="", VLOOKUP(C1140, Resultados_Reales!$A$4:$I$107, 6, FALSE)=""), 0, IF(AND(VLOOKUP(C1140, Resultados_Reales!$A$4:$I$107, 5, FALSE)=G1140, VLOOKUP(C1140, Resultados_Reales!$A$4:$I$107, 6, FALSE)=H1140), Configuracion!$B$5, IF(SIGN(VLOOKUP(C1140, Resultados_Reales!$A$4:$I$107, 5, FALSE)-VLOOKUP(C1140, Resultados_Reales!$A$4:$I$107, 6, FALSE)) = SIGN(G1140-H1140), Configuracion!$B$4, 0)))</f>
        <v/>
      </c>
      <c r="L1140" s="11" t="n"/>
      <c r="M1140" s="11" t="n"/>
      <c r="N1140" s="11" t="n"/>
      <c r="O1140" s="11" t="n"/>
      <c r="P1140" s="11" t="n"/>
      <c r="Q1140" s="11" t="n"/>
    </row>
    <row r="1141">
      <c r="A1141" s="8">
        <f>B1141&amp;"_"&amp;C1141</f>
        <v/>
      </c>
      <c r="B1141" s="8" t="n"/>
      <c r="C1141" s="8" t="n"/>
      <c r="D1141" s="8" t="n"/>
      <c r="E1141" s="11" t="n"/>
      <c r="F1141" s="11" t="n"/>
      <c r="G1141" s="8" t="n"/>
      <c r="H1141" s="8" t="n"/>
      <c r="I1141" s="8" t="n"/>
      <c r="J1141" s="8" t="n"/>
      <c r="K1141" s="12">
        <f>IF(OR(ISERROR(VLOOKUP(C1141, Resultados_Reales!$A$4:$I$107, 5, FALSE)), ISERROR(VLOOKUP(C1141, Resultados_Reales!$A$4:$I$107, 6, FALSE)), VLOOKUP(C1141, Resultados_Reales!$A$4:$I$107, 5, FALSE)="", VLOOKUP(C1141, Resultados_Reales!$A$4:$I$107, 6, FALSE)=""), 0, IF(AND(VLOOKUP(C1141, Resultados_Reales!$A$4:$I$107, 5, FALSE)=G1141, VLOOKUP(C1141, Resultados_Reales!$A$4:$I$107, 6, FALSE)=H1141), Configuracion!$B$5, IF(SIGN(VLOOKUP(C1141, Resultados_Reales!$A$4:$I$107, 5, FALSE)-VLOOKUP(C1141, Resultados_Reales!$A$4:$I$107, 6, FALSE)) = SIGN(G1141-H1141), Configuracion!$B$4, 0)))</f>
        <v/>
      </c>
      <c r="L1141" s="11" t="n"/>
      <c r="M1141" s="11" t="n"/>
      <c r="N1141" s="11" t="n"/>
      <c r="O1141" s="11" t="n"/>
      <c r="P1141" s="11" t="n"/>
      <c r="Q1141" s="11" t="n"/>
    </row>
    <row r="1142">
      <c r="A1142" s="8">
        <f>B1142&amp;"_"&amp;C1142</f>
        <v/>
      </c>
      <c r="B1142" s="8" t="n"/>
      <c r="C1142" s="8" t="n"/>
      <c r="D1142" s="8" t="n"/>
      <c r="E1142" s="11" t="n"/>
      <c r="F1142" s="11" t="n"/>
      <c r="G1142" s="8" t="n"/>
      <c r="H1142" s="8" t="n"/>
      <c r="I1142" s="8" t="n"/>
      <c r="J1142" s="8" t="n"/>
      <c r="K1142" s="12">
        <f>IF(OR(ISERROR(VLOOKUP(C1142, Resultados_Reales!$A$4:$I$107, 5, FALSE)), ISERROR(VLOOKUP(C1142, Resultados_Reales!$A$4:$I$107, 6, FALSE)), VLOOKUP(C1142, Resultados_Reales!$A$4:$I$107, 5, FALSE)="", VLOOKUP(C1142, Resultados_Reales!$A$4:$I$107, 6, FALSE)=""), 0, IF(AND(VLOOKUP(C1142, Resultados_Reales!$A$4:$I$107, 5, FALSE)=G1142, VLOOKUP(C1142, Resultados_Reales!$A$4:$I$107, 6, FALSE)=H1142), Configuracion!$B$5, IF(SIGN(VLOOKUP(C1142, Resultados_Reales!$A$4:$I$107, 5, FALSE)-VLOOKUP(C1142, Resultados_Reales!$A$4:$I$107, 6, FALSE)) = SIGN(G1142-H1142), Configuracion!$B$4, 0)))</f>
        <v/>
      </c>
      <c r="L1142" s="11" t="n"/>
      <c r="M1142" s="11" t="n"/>
      <c r="N1142" s="11" t="n"/>
      <c r="O1142" s="11" t="n"/>
      <c r="P1142" s="11" t="n"/>
      <c r="Q1142" s="11" t="n"/>
    </row>
    <row r="1143">
      <c r="A1143" s="8">
        <f>B1143&amp;"_"&amp;C1143</f>
        <v/>
      </c>
      <c r="B1143" s="8" t="n"/>
      <c r="C1143" s="8" t="n"/>
      <c r="D1143" s="8" t="n"/>
      <c r="E1143" s="11" t="n"/>
      <c r="F1143" s="11" t="n"/>
      <c r="G1143" s="8" t="n"/>
      <c r="H1143" s="8" t="n"/>
      <c r="I1143" s="8" t="n"/>
      <c r="J1143" s="8" t="n"/>
      <c r="K1143" s="12">
        <f>IF(OR(ISERROR(VLOOKUP(C1143, Resultados_Reales!$A$4:$I$107, 5, FALSE)), ISERROR(VLOOKUP(C1143, Resultados_Reales!$A$4:$I$107, 6, FALSE)), VLOOKUP(C1143, Resultados_Reales!$A$4:$I$107, 5, FALSE)="", VLOOKUP(C1143, Resultados_Reales!$A$4:$I$107, 6, FALSE)=""), 0, IF(AND(VLOOKUP(C1143, Resultados_Reales!$A$4:$I$107, 5, FALSE)=G1143, VLOOKUP(C1143, Resultados_Reales!$A$4:$I$107, 6, FALSE)=H1143), Configuracion!$B$5, IF(SIGN(VLOOKUP(C1143, Resultados_Reales!$A$4:$I$107, 5, FALSE)-VLOOKUP(C1143, Resultados_Reales!$A$4:$I$107, 6, FALSE)) = SIGN(G1143-H1143), Configuracion!$B$4, 0)))</f>
        <v/>
      </c>
      <c r="L1143" s="11" t="n"/>
      <c r="M1143" s="11" t="n"/>
      <c r="N1143" s="11" t="n"/>
      <c r="O1143" s="11" t="n"/>
      <c r="P1143" s="11" t="n"/>
      <c r="Q1143" s="11" t="n"/>
    </row>
    <row r="1144">
      <c r="A1144" s="8">
        <f>B1144&amp;"_"&amp;C1144</f>
        <v/>
      </c>
      <c r="B1144" s="8" t="n"/>
      <c r="C1144" s="8" t="n"/>
      <c r="D1144" s="8" t="n"/>
      <c r="E1144" s="11" t="n"/>
      <c r="F1144" s="11" t="n"/>
      <c r="G1144" s="8" t="n"/>
      <c r="H1144" s="8" t="n"/>
      <c r="I1144" s="8" t="n"/>
      <c r="J1144" s="8" t="n"/>
      <c r="K1144" s="12">
        <f>IF(OR(ISERROR(VLOOKUP(C1144, Resultados_Reales!$A$4:$I$107, 5, FALSE)), ISERROR(VLOOKUP(C1144, Resultados_Reales!$A$4:$I$107, 6, FALSE)), VLOOKUP(C1144, Resultados_Reales!$A$4:$I$107, 5, FALSE)="", VLOOKUP(C1144, Resultados_Reales!$A$4:$I$107, 6, FALSE)=""), 0, IF(AND(VLOOKUP(C1144, Resultados_Reales!$A$4:$I$107, 5, FALSE)=G1144, VLOOKUP(C1144, Resultados_Reales!$A$4:$I$107, 6, FALSE)=H1144), Configuracion!$B$5, IF(SIGN(VLOOKUP(C1144, Resultados_Reales!$A$4:$I$107, 5, FALSE)-VLOOKUP(C1144, Resultados_Reales!$A$4:$I$107, 6, FALSE)) = SIGN(G1144-H1144), Configuracion!$B$4, 0)))</f>
        <v/>
      </c>
      <c r="L1144" s="11" t="n"/>
      <c r="M1144" s="11" t="n"/>
      <c r="N1144" s="11" t="n"/>
      <c r="O1144" s="11" t="n"/>
      <c r="P1144" s="11" t="n"/>
      <c r="Q1144" s="11" t="n"/>
    </row>
    <row r="1145">
      <c r="A1145" s="8">
        <f>B1145&amp;"_"&amp;C1145</f>
        <v/>
      </c>
      <c r="B1145" s="8" t="n"/>
      <c r="C1145" s="8" t="n"/>
      <c r="D1145" s="8" t="n"/>
      <c r="E1145" s="11" t="n"/>
      <c r="F1145" s="11" t="n"/>
      <c r="G1145" s="8" t="n"/>
      <c r="H1145" s="8" t="n"/>
      <c r="I1145" s="8" t="n"/>
      <c r="J1145" s="8" t="n"/>
      <c r="K1145" s="12">
        <f>IF(OR(ISERROR(VLOOKUP(C1145, Resultados_Reales!$A$4:$I$107, 5, FALSE)), ISERROR(VLOOKUP(C1145, Resultados_Reales!$A$4:$I$107, 6, FALSE)), VLOOKUP(C1145, Resultados_Reales!$A$4:$I$107, 5, FALSE)="", VLOOKUP(C1145, Resultados_Reales!$A$4:$I$107, 6, FALSE)=""), 0, IF(AND(VLOOKUP(C1145, Resultados_Reales!$A$4:$I$107, 5, FALSE)=G1145, VLOOKUP(C1145, Resultados_Reales!$A$4:$I$107, 6, FALSE)=H1145), Configuracion!$B$5, IF(SIGN(VLOOKUP(C1145, Resultados_Reales!$A$4:$I$107, 5, FALSE)-VLOOKUP(C1145, Resultados_Reales!$A$4:$I$107, 6, FALSE)) = SIGN(G1145-H1145), Configuracion!$B$4, 0)))</f>
        <v/>
      </c>
      <c r="L1145" s="11" t="n"/>
      <c r="M1145" s="11" t="n"/>
      <c r="N1145" s="11" t="n"/>
      <c r="O1145" s="11" t="n"/>
      <c r="P1145" s="11" t="n"/>
      <c r="Q1145" s="11" t="n"/>
    </row>
    <row r="1146">
      <c r="A1146" s="8">
        <f>B1146&amp;"_"&amp;C1146</f>
        <v/>
      </c>
      <c r="B1146" s="8" t="n"/>
      <c r="C1146" s="8" t="n"/>
      <c r="D1146" s="8" t="n"/>
      <c r="E1146" s="11" t="n"/>
      <c r="F1146" s="11" t="n"/>
      <c r="G1146" s="8" t="n"/>
      <c r="H1146" s="8" t="n"/>
      <c r="I1146" s="8" t="n"/>
      <c r="J1146" s="8" t="n"/>
      <c r="K1146" s="12">
        <f>IF(OR(ISERROR(VLOOKUP(C1146, Resultados_Reales!$A$4:$I$107, 5, FALSE)), ISERROR(VLOOKUP(C1146, Resultados_Reales!$A$4:$I$107, 6, FALSE)), VLOOKUP(C1146, Resultados_Reales!$A$4:$I$107, 5, FALSE)="", VLOOKUP(C1146, Resultados_Reales!$A$4:$I$107, 6, FALSE)=""), 0, IF(AND(VLOOKUP(C1146, Resultados_Reales!$A$4:$I$107, 5, FALSE)=G1146, VLOOKUP(C1146, Resultados_Reales!$A$4:$I$107, 6, FALSE)=H1146), Configuracion!$B$5, IF(SIGN(VLOOKUP(C1146, Resultados_Reales!$A$4:$I$107, 5, FALSE)-VLOOKUP(C1146, Resultados_Reales!$A$4:$I$107, 6, FALSE)) = SIGN(G1146-H1146), Configuracion!$B$4, 0)))</f>
        <v/>
      </c>
      <c r="L1146" s="11" t="n"/>
      <c r="M1146" s="11" t="n"/>
      <c r="N1146" s="11" t="n"/>
      <c r="O1146" s="11" t="n"/>
      <c r="P1146" s="11" t="n"/>
      <c r="Q1146" s="11" t="n"/>
    </row>
    <row r="1147">
      <c r="A1147" s="8">
        <f>B1147&amp;"_"&amp;C1147</f>
        <v/>
      </c>
      <c r="B1147" s="8" t="n"/>
      <c r="C1147" s="8" t="n"/>
      <c r="D1147" s="8" t="n"/>
      <c r="E1147" s="11" t="n"/>
      <c r="F1147" s="11" t="n"/>
      <c r="G1147" s="8" t="n"/>
      <c r="H1147" s="8" t="n"/>
      <c r="I1147" s="8" t="n"/>
      <c r="J1147" s="8" t="n"/>
      <c r="K1147" s="12">
        <f>IF(OR(ISERROR(VLOOKUP(C1147, Resultados_Reales!$A$4:$I$107, 5, FALSE)), ISERROR(VLOOKUP(C1147, Resultados_Reales!$A$4:$I$107, 6, FALSE)), VLOOKUP(C1147, Resultados_Reales!$A$4:$I$107, 5, FALSE)="", VLOOKUP(C1147, Resultados_Reales!$A$4:$I$107, 6, FALSE)=""), 0, IF(AND(VLOOKUP(C1147, Resultados_Reales!$A$4:$I$107, 5, FALSE)=G1147, VLOOKUP(C1147, Resultados_Reales!$A$4:$I$107, 6, FALSE)=H1147), Configuracion!$B$5, IF(SIGN(VLOOKUP(C1147, Resultados_Reales!$A$4:$I$107, 5, FALSE)-VLOOKUP(C1147, Resultados_Reales!$A$4:$I$107, 6, FALSE)) = SIGN(G1147-H1147), Configuracion!$B$4, 0)))</f>
        <v/>
      </c>
      <c r="L1147" s="11" t="n"/>
      <c r="M1147" s="11" t="n"/>
      <c r="N1147" s="11" t="n"/>
      <c r="O1147" s="11" t="n"/>
      <c r="P1147" s="11" t="n"/>
      <c r="Q1147" s="11" t="n"/>
    </row>
    <row r="1148">
      <c r="A1148" s="8">
        <f>B1148&amp;"_"&amp;C1148</f>
        <v/>
      </c>
      <c r="B1148" s="8" t="n"/>
      <c r="C1148" s="8" t="n"/>
      <c r="D1148" s="8" t="n"/>
      <c r="E1148" s="11" t="n"/>
      <c r="F1148" s="11" t="n"/>
      <c r="G1148" s="8" t="n"/>
      <c r="H1148" s="8" t="n"/>
      <c r="I1148" s="8" t="n"/>
      <c r="J1148" s="8" t="n"/>
      <c r="K1148" s="12">
        <f>IF(OR(ISERROR(VLOOKUP(C1148, Resultados_Reales!$A$4:$I$107, 5, FALSE)), ISERROR(VLOOKUP(C1148, Resultados_Reales!$A$4:$I$107, 6, FALSE)), VLOOKUP(C1148, Resultados_Reales!$A$4:$I$107, 5, FALSE)="", VLOOKUP(C1148, Resultados_Reales!$A$4:$I$107, 6, FALSE)=""), 0, IF(AND(VLOOKUP(C1148, Resultados_Reales!$A$4:$I$107, 5, FALSE)=G1148, VLOOKUP(C1148, Resultados_Reales!$A$4:$I$107, 6, FALSE)=H1148), Configuracion!$B$5, IF(SIGN(VLOOKUP(C1148, Resultados_Reales!$A$4:$I$107, 5, FALSE)-VLOOKUP(C1148, Resultados_Reales!$A$4:$I$107, 6, FALSE)) = SIGN(G1148-H1148), Configuracion!$B$4, 0)))</f>
        <v/>
      </c>
      <c r="L1148" s="11" t="n"/>
      <c r="M1148" s="11" t="n"/>
      <c r="N1148" s="11" t="n"/>
      <c r="O1148" s="11" t="n"/>
      <c r="P1148" s="11" t="n"/>
      <c r="Q1148" s="11" t="n"/>
    </row>
    <row r="1149">
      <c r="A1149" s="8">
        <f>B1149&amp;"_"&amp;C1149</f>
        <v/>
      </c>
      <c r="B1149" s="8" t="n"/>
      <c r="C1149" s="8" t="n"/>
      <c r="D1149" s="8" t="n"/>
      <c r="E1149" s="11" t="n"/>
      <c r="F1149" s="11" t="n"/>
      <c r="G1149" s="8" t="n"/>
      <c r="H1149" s="8" t="n"/>
      <c r="I1149" s="8" t="n"/>
      <c r="J1149" s="8" t="n"/>
      <c r="K1149" s="12">
        <f>IF(OR(ISERROR(VLOOKUP(C1149, Resultados_Reales!$A$4:$I$107, 5, FALSE)), ISERROR(VLOOKUP(C1149, Resultados_Reales!$A$4:$I$107, 6, FALSE)), VLOOKUP(C1149, Resultados_Reales!$A$4:$I$107, 5, FALSE)="", VLOOKUP(C1149, Resultados_Reales!$A$4:$I$107, 6, FALSE)=""), 0, IF(AND(VLOOKUP(C1149, Resultados_Reales!$A$4:$I$107, 5, FALSE)=G1149, VLOOKUP(C1149, Resultados_Reales!$A$4:$I$107, 6, FALSE)=H1149), Configuracion!$B$5, IF(SIGN(VLOOKUP(C1149, Resultados_Reales!$A$4:$I$107, 5, FALSE)-VLOOKUP(C1149, Resultados_Reales!$A$4:$I$107, 6, FALSE)) = SIGN(G1149-H1149), Configuracion!$B$4, 0)))</f>
        <v/>
      </c>
      <c r="L1149" s="11" t="n"/>
      <c r="M1149" s="11" t="n"/>
      <c r="N1149" s="11" t="n"/>
      <c r="O1149" s="11" t="n"/>
      <c r="P1149" s="11" t="n"/>
      <c r="Q1149" s="11" t="n"/>
    </row>
    <row r="1150">
      <c r="A1150" s="8">
        <f>B1150&amp;"_"&amp;C1150</f>
        <v/>
      </c>
      <c r="B1150" s="8" t="n"/>
      <c r="C1150" s="8" t="n"/>
      <c r="D1150" s="8" t="n"/>
      <c r="E1150" s="11" t="n"/>
      <c r="F1150" s="11" t="n"/>
      <c r="G1150" s="8" t="n"/>
      <c r="H1150" s="8" t="n"/>
      <c r="I1150" s="8" t="n"/>
      <c r="J1150" s="8" t="n"/>
      <c r="K1150" s="12">
        <f>IF(OR(ISERROR(VLOOKUP(C1150, Resultados_Reales!$A$4:$I$107, 5, FALSE)), ISERROR(VLOOKUP(C1150, Resultados_Reales!$A$4:$I$107, 6, FALSE)), VLOOKUP(C1150, Resultados_Reales!$A$4:$I$107, 5, FALSE)="", VLOOKUP(C1150, Resultados_Reales!$A$4:$I$107, 6, FALSE)=""), 0, IF(AND(VLOOKUP(C1150, Resultados_Reales!$A$4:$I$107, 5, FALSE)=G1150, VLOOKUP(C1150, Resultados_Reales!$A$4:$I$107, 6, FALSE)=H1150), Configuracion!$B$5, IF(SIGN(VLOOKUP(C1150, Resultados_Reales!$A$4:$I$107, 5, FALSE)-VLOOKUP(C1150, Resultados_Reales!$A$4:$I$107, 6, FALSE)) = SIGN(G1150-H1150), Configuracion!$B$4, 0)))</f>
        <v/>
      </c>
      <c r="L1150" s="11" t="n"/>
      <c r="M1150" s="11" t="n"/>
      <c r="N1150" s="11" t="n"/>
      <c r="O1150" s="11" t="n"/>
      <c r="P1150" s="11" t="n"/>
      <c r="Q1150" s="11" t="n"/>
    </row>
    <row r="1151">
      <c r="A1151" s="8">
        <f>B1151&amp;"_"&amp;C1151</f>
        <v/>
      </c>
      <c r="B1151" s="8" t="n"/>
      <c r="C1151" s="8" t="n"/>
      <c r="D1151" s="8" t="n"/>
      <c r="E1151" s="11" t="n"/>
      <c r="F1151" s="11" t="n"/>
      <c r="G1151" s="8" t="n"/>
      <c r="H1151" s="8" t="n"/>
      <c r="I1151" s="8" t="n"/>
      <c r="J1151" s="8" t="n"/>
      <c r="K1151" s="12">
        <f>IF(OR(ISERROR(VLOOKUP(C1151, Resultados_Reales!$A$4:$I$107, 5, FALSE)), ISERROR(VLOOKUP(C1151, Resultados_Reales!$A$4:$I$107, 6, FALSE)), VLOOKUP(C1151, Resultados_Reales!$A$4:$I$107, 5, FALSE)="", VLOOKUP(C1151, Resultados_Reales!$A$4:$I$107, 6, FALSE)=""), 0, IF(AND(VLOOKUP(C1151, Resultados_Reales!$A$4:$I$107, 5, FALSE)=G1151, VLOOKUP(C1151, Resultados_Reales!$A$4:$I$107, 6, FALSE)=H1151), Configuracion!$B$5, IF(SIGN(VLOOKUP(C1151, Resultados_Reales!$A$4:$I$107, 5, FALSE)-VLOOKUP(C1151, Resultados_Reales!$A$4:$I$107, 6, FALSE)) = SIGN(G1151-H1151), Configuracion!$B$4, 0)))</f>
        <v/>
      </c>
      <c r="L1151" s="11" t="n"/>
      <c r="M1151" s="11" t="n"/>
      <c r="N1151" s="11" t="n"/>
      <c r="O1151" s="11" t="n"/>
      <c r="P1151" s="11" t="n"/>
      <c r="Q1151" s="11" t="n"/>
    </row>
    <row r="1152">
      <c r="A1152" s="8">
        <f>B1152&amp;"_"&amp;C1152</f>
        <v/>
      </c>
      <c r="B1152" s="8" t="n"/>
      <c r="C1152" s="8" t="n"/>
      <c r="D1152" s="8" t="n"/>
      <c r="E1152" s="11" t="n"/>
      <c r="F1152" s="11" t="n"/>
      <c r="G1152" s="8" t="n"/>
      <c r="H1152" s="8" t="n"/>
      <c r="I1152" s="8" t="n"/>
      <c r="J1152" s="8" t="n"/>
      <c r="K1152" s="12">
        <f>IF(OR(ISERROR(VLOOKUP(C1152, Resultados_Reales!$A$4:$I$107, 5, FALSE)), ISERROR(VLOOKUP(C1152, Resultados_Reales!$A$4:$I$107, 6, FALSE)), VLOOKUP(C1152, Resultados_Reales!$A$4:$I$107, 5, FALSE)="", VLOOKUP(C1152, Resultados_Reales!$A$4:$I$107, 6, FALSE)=""), 0, IF(AND(VLOOKUP(C1152, Resultados_Reales!$A$4:$I$107, 5, FALSE)=G1152, VLOOKUP(C1152, Resultados_Reales!$A$4:$I$107, 6, FALSE)=H1152), Configuracion!$B$5, IF(SIGN(VLOOKUP(C1152, Resultados_Reales!$A$4:$I$107, 5, FALSE)-VLOOKUP(C1152, Resultados_Reales!$A$4:$I$107, 6, FALSE)) = SIGN(G1152-H1152), Configuracion!$B$4, 0)))</f>
        <v/>
      </c>
      <c r="L1152" s="11" t="n"/>
      <c r="M1152" s="11" t="n"/>
      <c r="N1152" s="11" t="n"/>
      <c r="O1152" s="11" t="n"/>
      <c r="P1152" s="11" t="n"/>
      <c r="Q1152" s="11" t="n"/>
    </row>
    <row r="1153">
      <c r="A1153" s="8">
        <f>B1153&amp;"_"&amp;C1153</f>
        <v/>
      </c>
      <c r="B1153" s="8" t="n"/>
      <c r="C1153" s="8" t="n"/>
      <c r="D1153" s="8" t="n"/>
      <c r="E1153" s="11" t="n"/>
      <c r="F1153" s="11" t="n"/>
      <c r="G1153" s="8" t="n"/>
      <c r="H1153" s="8" t="n"/>
      <c r="I1153" s="8" t="n"/>
      <c r="J1153" s="8" t="n"/>
      <c r="K1153" s="12">
        <f>IF(OR(ISERROR(VLOOKUP(C1153, Resultados_Reales!$A$4:$I$107, 5, FALSE)), ISERROR(VLOOKUP(C1153, Resultados_Reales!$A$4:$I$107, 6, FALSE)), VLOOKUP(C1153, Resultados_Reales!$A$4:$I$107, 5, FALSE)="", VLOOKUP(C1153, Resultados_Reales!$A$4:$I$107, 6, FALSE)=""), 0, IF(AND(VLOOKUP(C1153, Resultados_Reales!$A$4:$I$107, 5, FALSE)=G1153, VLOOKUP(C1153, Resultados_Reales!$A$4:$I$107, 6, FALSE)=H1153), Configuracion!$B$5, IF(SIGN(VLOOKUP(C1153, Resultados_Reales!$A$4:$I$107, 5, FALSE)-VLOOKUP(C1153, Resultados_Reales!$A$4:$I$107, 6, FALSE)) = SIGN(G1153-H1153), Configuracion!$B$4, 0)))</f>
        <v/>
      </c>
      <c r="L1153" s="11" t="n"/>
      <c r="M1153" s="11" t="n"/>
      <c r="N1153" s="11" t="n"/>
      <c r="O1153" s="11" t="n"/>
      <c r="P1153" s="11" t="n"/>
      <c r="Q1153" s="11" t="n"/>
    </row>
    <row r="1154">
      <c r="A1154" s="8">
        <f>B1154&amp;"_"&amp;C1154</f>
        <v/>
      </c>
      <c r="B1154" s="8" t="n"/>
      <c r="C1154" s="8" t="n"/>
      <c r="D1154" s="8" t="n"/>
      <c r="E1154" s="11" t="n"/>
      <c r="F1154" s="11" t="n"/>
      <c r="G1154" s="8" t="n"/>
      <c r="H1154" s="8" t="n"/>
      <c r="I1154" s="8" t="n"/>
      <c r="J1154" s="8" t="n"/>
      <c r="K1154" s="12">
        <f>IF(OR(ISERROR(VLOOKUP(C1154, Resultados_Reales!$A$4:$I$107, 5, FALSE)), ISERROR(VLOOKUP(C1154, Resultados_Reales!$A$4:$I$107, 6, FALSE)), VLOOKUP(C1154, Resultados_Reales!$A$4:$I$107, 5, FALSE)="", VLOOKUP(C1154, Resultados_Reales!$A$4:$I$107, 6, FALSE)=""), 0, IF(AND(VLOOKUP(C1154, Resultados_Reales!$A$4:$I$107, 5, FALSE)=G1154, VLOOKUP(C1154, Resultados_Reales!$A$4:$I$107, 6, FALSE)=H1154), Configuracion!$B$5, IF(SIGN(VLOOKUP(C1154, Resultados_Reales!$A$4:$I$107, 5, FALSE)-VLOOKUP(C1154, Resultados_Reales!$A$4:$I$107, 6, FALSE)) = SIGN(G1154-H1154), Configuracion!$B$4, 0)))</f>
        <v/>
      </c>
      <c r="L1154" s="11" t="n"/>
      <c r="M1154" s="11" t="n"/>
      <c r="N1154" s="11" t="n"/>
      <c r="O1154" s="11" t="n"/>
      <c r="P1154" s="11" t="n"/>
      <c r="Q1154" s="11" t="n"/>
    </row>
    <row r="1155">
      <c r="A1155" s="8">
        <f>B1155&amp;"_"&amp;C1155</f>
        <v/>
      </c>
      <c r="B1155" s="8" t="n"/>
      <c r="C1155" s="8" t="n"/>
      <c r="D1155" s="8" t="n"/>
      <c r="E1155" s="11" t="n"/>
      <c r="F1155" s="11" t="n"/>
      <c r="G1155" s="8" t="n"/>
      <c r="H1155" s="8" t="n"/>
      <c r="I1155" s="8" t="n"/>
      <c r="J1155" s="8" t="n"/>
      <c r="K1155" s="12">
        <f>IF(OR(ISERROR(VLOOKUP(C1155, Resultados_Reales!$A$4:$I$107, 5, FALSE)), ISERROR(VLOOKUP(C1155, Resultados_Reales!$A$4:$I$107, 6, FALSE)), VLOOKUP(C1155, Resultados_Reales!$A$4:$I$107, 5, FALSE)="", VLOOKUP(C1155, Resultados_Reales!$A$4:$I$107, 6, FALSE)=""), 0, IF(AND(VLOOKUP(C1155, Resultados_Reales!$A$4:$I$107, 5, FALSE)=G1155, VLOOKUP(C1155, Resultados_Reales!$A$4:$I$107, 6, FALSE)=H1155), Configuracion!$B$5, IF(SIGN(VLOOKUP(C1155, Resultados_Reales!$A$4:$I$107, 5, FALSE)-VLOOKUP(C1155, Resultados_Reales!$A$4:$I$107, 6, FALSE)) = SIGN(G1155-H1155), Configuracion!$B$4, 0)))</f>
        <v/>
      </c>
      <c r="L1155" s="11" t="n"/>
      <c r="M1155" s="11" t="n"/>
      <c r="N1155" s="11" t="n"/>
      <c r="O1155" s="11" t="n"/>
      <c r="P1155" s="11" t="n"/>
      <c r="Q1155" s="11" t="n"/>
    </row>
    <row r="1156">
      <c r="A1156" s="8">
        <f>B1156&amp;"_"&amp;C1156</f>
        <v/>
      </c>
      <c r="B1156" s="8" t="n"/>
      <c r="C1156" s="8" t="n"/>
      <c r="D1156" s="8" t="n"/>
      <c r="E1156" s="11" t="n"/>
      <c r="F1156" s="11" t="n"/>
      <c r="G1156" s="8" t="n"/>
      <c r="H1156" s="8" t="n"/>
      <c r="I1156" s="8" t="n"/>
      <c r="J1156" s="8" t="n"/>
      <c r="K1156" s="12">
        <f>IF(OR(ISERROR(VLOOKUP(C1156, Resultados_Reales!$A$4:$I$107, 5, FALSE)), ISERROR(VLOOKUP(C1156, Resultados_Reales!$A$4:$I$107, 6, FALSE)), VLOOKUP(C1156, Resultados_Reales!$A$4:$I$107, 5, FALSE)="", VLOOKUP(C1156, Resultados_Reales!$A$4:$I$107, 6, FALSE)=""), 0, IF(AND(VLOOKUP(C1156, Resultados_Reales!$A$4:$I$107, 5, FALSE)=G1156, VLOOKUP(C1156, Resultados_Reales!$A$4:$I$107, 6, FALSE)=H1156), Configuracion!$B$5, IF(SIGN(VLOOKUP(C1156, Resultados_Reales!$A$4:$I$107, 5, FALSE)-VLOOKUP(C1156, Resultados_Reales!$A$4:$I$107, 6, FALSE)) = SIGN(G1156-H1156), Configuracion!$B$4, 0)))</f>
        <v/>
      </c>
      <c r="L1156" s="11" t="n"/>
      <c r="M1156" s="11" t="n"/>
      <c r="N1156" s="11" t="n"/>
      <c r="O1156" s="11" t="n"/>
      <c r="P1156" s="11" t="n"/>
      <c r="Q1156" s="11" t="n"/>
    </row>
    <row r="1157">
      <c r="A1157" s="8">
        <f>B1157&amp;"_"&amp;C1157</f>
        <v/>
      </c>
      <c r="B1157" s="8" t="n"/>
      <c r="C1157" s="8" t="n"/>
      <c r="D1157" s="8" t="n"/>
      <c r="E1157" s="11" t="n"/>
      <c r="F1157" s="11" t="n"/>
      <c r="G1157" s="8" t="n"/>
      <c r="H1157" s="8" t="n"/>
      <c r="I1157" s="8" t="n"/>
      <c r="J1157" s="8" t="n"/>
      <c r="K1157" s="12">
        <f>IF(OR(ISERROR(VLOOKUP(C1157, Resultados_Reales!$A$4:$I$107, 5, FALSE)), ISERROR(VLOOKUP(C1157, Resultados_Reales!$A$4:$I$107, 6, FALSE)), VLOOKUP(C1157, Resultados_Reales!$A$4:$I$107, 5, FALSE)="", VLOOKUP(C1157, Resultados_Reales!$A$4:$I$107, 6, FALSE)=""), 0, IF(AND(VLOOKUP(C1157, Resultados_Reales!$A$4:$I$107, 5, FALSE)=G1157, VLOOKUP(C1157, Resultados_Reales!$A$4:$I$107, 6, FALSE)=H1157), Configuracion!$B$5, IF(SIGN(VLOOKUP(C1157, Resultados_Reales!$A$4:$I$107, 5, FALSE)-VLOOKUP(C1157, Resultados_Reales!$A$4:$I$107, 6, FALSE)) = SIGN(G1157-H1157), Configuracion!$B$4, 0)))</f>
        <v/>
      </c>
      <c r="L1157" s="11" t="n"/>
      <c r="M1157" s="11" t="n"/>
      <c r="N1157" s="11" t="n"/>
      <c r="O1157" s="11" t="n"/>
      <c r="P1157" s="11" t="n"/>
      <c r="Q1157" s="11" t="n"/>
    </row>
    <row r="1158">
      <c r="A1158" s="8">
        <f>B1158&amp;"_"&amp;C1158</f>
        <v/>
      </c>
      <c r="B1158" s="8" t="n"/>
      <c r="C1158" s="8" t="n"/>
      <c r="D1158" s="8" t="n"/>
      <c r="E1158" s="11" t="n"/>
      <c r="F1158" s="11" t="n"/>
      <c r="G1158" s="8" t="n"/>
      <c r="H1158" s="8" t="n"/>
      <c r="I1158" s="8" t="n"/>
      <c r="J1158" s="8" t="n"/>
      <c r="K1158" s="12">
        <f>IF(OR(ISERROR(VLOOKUP(C1158, Resultados_Reales!$A$4:$I$107, 5, FALSE)), ISERROR(VLOOKUP(C1158, Resultados_Reales!$A$4:$I$107, 6, FALSE)), VLOOKUP(C1158, Resultados_Reales!$A$4:$I$107, 5, FALSE)="", VLOOKUP(C1158, Resultados_Reales!$A$4:$I$107, 6, FALSE)=""), 0, IF(AND(VLOOKUP(C1158, Resultados_Reales!$A$4:$I$107, 5, FALSE)=G1158, VLOOKUP(C1158, Resultados_Reales!$A$4:$I$107, 6, FALSE)=H1158), Configuracion!$B$5, IF(SIGN(VLOOKUP(C1158, Resultados_Reales!$A$4:$I$107, 5, FALSE)-VLOOKUP(C1158, Resultados_Reales!$A$4:$I$107, 6, FALSE)) = SIGN(G1158-H1158), Configuracion!$B$4, 0)))</f>
        <v/>
      </c>
      <c r="L1158" s="11" t="n"/>
      <c r="M1158" s="11" t="n"/>
      <c r="N1158" s="11" t="n"/>
      <c r="O1158" s="11" t="n"/>
      <c r="P1158" s="11" t="n"/>
      <c r="Q1158" s="11" t="n"/>
    </row>
    <row r="1159">
      <c r="A1159" s="8">
        <f>B1159&amp;"_"&amp;C1159</f>
        <v/>
      </c>
      <c r="B1159" s="8" t="n"/>
      <c r="C1159" s="8" t="n"/>
      <c r="D1159" s="8" t="n"/>
      <c r="E1159" s="11" t="n"/>
      <c r="F1159" s="11" t="n"/>
      <c r="G1159" s="8" t="n"/>
      <c r="H1159" s="8" t="n"/>
      <c r="I1159" s="8" t="n"/>
      <c r="J1159" s="8" t="n"/>
      <c r="K1159" s="12">
        <f>IF(OR(ISERROR(VLOOKUP(C1159, Resultados_Reales!$A$4:$I$107, 5, FALSE)), ISERROR(VLOOKUP(C1159, Resultados_Reales!$A$4:$I$107, 6, FALSE)), VLOOKUP(C1159, Resultados_Reales!$A$4:$I$107, 5, FALSE)="", VLOOKUP(C1159, Resultados_Reales!$A$4:$I$107, 6, FALSE)=""), 0, IF(AND(VLOOKUP(C1159, Resultados_Reales!$A$4:$I$107, 5, FALSE)=G1159, VLOOKUP(C1159, Resultados_Reales!$A$4:$I$107, 6, FALSE)=H1159), Configuracion!$B$5, IF(SIGN(VLOOKUP(C1159, Resultados_Reales!$A$4:$I$107, 5, FALSE)-VLOOKUP(C1159, Resultados_Reales!$A$4:$I$107, 6, FALSE)) = SIGN(G1159-H1159), Configuracion!$B$4, 0)))</f>
        <v/>
      </c>
      <c r="L1159" s="11" t="n"/>
      <c r="M1159" s="11" t="n"/>
      <c r="N1159" s="11" t="n"/>
      <c r="O1159" s="11" t="n"/>
      <c r="P1159" s="11" t="n"/>
      <c r="Q1159" s="11" t="n"/>
    </row>
    <row r="1160">
      <c r="A1160" s="8">
        <f>B1160&amp;"_"&amp;C1160</f>
        <v/>
      </c>
      <c r="B1160" s="8" t="n"/>
      <c r="C1160" s="8" t="n"/>
      <c r="D1160" s="8" t="n"/>
      <c r="E1160" s="11" t="n"/>
      <c r="F1160" s="11" t="n"/>
      <c r="G1160" s="8" t="n"/>
      <c r="H1160" s="8" t="n"/>
      <c r="I1160" s="8" t="n"/>
      <c r="J1160" s="8" t="n"/>
      <c r="K1160" s="12">
        <f>IF(OR(ISERROR(VLOOKUP(C1160, Resultados_Reales!$A$4:$I$107, 5, FALSE)), ISERROR(VLOOKUP(C1160, Resultados_Reales!$A$4:$I$107, 6, FALSE)), VLOOKUP(C1160, Resultados_Reales!$A$4:$I$107, 5, FALSE)="", VLOOKUP(C1160, Resultados_Reales!$A$4:$I$107, 6, FALSE)=""), 0, IF(AND(VLOOKUP(C1160, Resultados_Reales!$A$4:$I$107, 5, FALSE)=G1160, VLOOKUP(C1160, Resultados_Reales!$A$4:$I$107, 6, FALSE)=H1160), Configuracion!$B$5, IF(SIGN(VLOOKUP(C1160, Resultados_Reales!$A$4:$I$107, 5, FALSE)-VLOOKUP(C1160, Resultados_Reales!$A$4:$I$107, 6, FALSE)) = SIGN(G1160-H1160), Configuracion!$B$4, 0)))</f>
        <v/>
      </c>
      <c r="L1160" s="11" t="n"/>
      <c r="M1160" s="11" t="n"/>
      <c r="N1160" s="11" t="n"/>
      <c r="O1160" s="11" t="n"/>
      <c r="P1160" s="11" t="n"/>
      <c r="Q1160" s="11" t="n"/>
    </row>
    <row r="1161">
      <c r="A1161" s="8">
        <f>B1161&amp;"_"&amp;C1161</f>
        <v/>
      </c>
      <c r="B1161" s="8" t="n"/>
      <c r="C1161" s="8" t="n"/>
      <c r="D1161" s="8" t="n"/>
      <c r="E1161" s="11" t="n"/>
      <c r="F1161" s="11" t="n"/>
      <c r="G1161" s="8" t="n"/>
      <c r="H1161" s="8" t="n"/>
      <c r="I1161" s="8" t="n"/>
      <c r="J1161" s="8" t="n"/>
      <c r="K1161" s="12">
        <f>IF(OR(ISERROR(VLOOKUP(C1161, Resultados_Reales!$A$4:$I$107, 5, FALSE)), ISERROR(VLOOKUP(C1161, Resultados_Reales!$A$4:$I$107, 6, FALSE)), VLOOKUP(C1161, Resultados_Reales!$A$4:$I$107, 5, FALSE)="", VLOOKUP(C1161, Resultados_Reales!$A$4:$I$107, 6, FALSE)=""), 0, IF(AND(VLOOKUP(C1161, Resultados_Reales!$A$4:$I$107, 5, FALSE)=G1161, VLOOKUP(C1161, Resultados_Reales!$A$4:$I$107, 6, FALSE)=H1161), Configuracion!$B$5, IF(SIGN(VLOOKUP(C1161, Resultados_Reales!$A$4:$I$107, 5, FALSE)-VLOOKUP(C1161, Resultados_Reales!$A$4:$I$107, 6, FALSE)) = SIGN(G1161-H1161), Configuracion!$B$4, 0)))</f>
        <v/>
      </c>
      <c r="L1161" s="11" t="n"/>
      <c r="M1161" s="11" t="n"/>
      <c r="N1161" s="11" t="n"/>
      <c r="O1161" s="11" t="n"/>
      <c r="P1161" s="11" t="n"/>
      <c r="Q1161" s="11" t="n"/>
    </row>
    <row r="1162">
      <c r="A1162" s="8">
        <f>B1162&amp;"_"&amp;C1162</f>
        <v/>
      </c>
      <c r="B1162" s="8" t="n"/>
      <c r="C1162" s="8" t="n"/>
      <c r="D1162" s="8" t="n"/>
      <c r="E1162" s="11" t="n"/>
      <c r="F1162" s="11" t="n"/>
      <c r="G1162" s="8" t="n"/>
      <c r="H1162" s="8" t="n"/>
      <c r="I1162" s="8" t="n"/>
      <c r="J1162" s="8" t="n"/>
      <c r="K1162" s="12">
        <f>IF(OR(ISERROR(VLOOKUP(C1162, Resultados_Reales!$A$4:$I$107, 5, FALSE)), ISERROR(VLOOKUP(C1162, Resultados_Reales!$A$4:$I$107, 6, FALSE)), VLOOKUP(C1162, Resultados_Reales!$A$4:$I$107, 5, FALSE)="", VLOOKUP(C1162, Resultados_Reales!$A$4:$I$107, 6, FALSE)=""), 0, IF(AND(VLOOKUP(C1162, Resultados_Reales!$A$4:$I$107, 5, FALSE)=G1162, VLOOKUP(C1162, Resultados_Reales!$A$4:$I$107, 6, FALSE)=H1162), Configuracion!$B$5, IF(SIGN(VLOOKUP(C1162, Resultados_Reales!$A$4:$I$107, 5, FALSE)-VLOOKUP(C1162, Resultados_Reales!$A$4:$I$107, 6, FALSE)) = SIGN(G1162-H1162), Configuracion!$B$4, 0)))</f>
        <v/>
      </c>
      <c r="L1162" s="11" t="n"/>
      <c r="M1162" s="11" t="n"/>
      <c r="N1162" s="11" t="n"/>
      <c r="O1162" s="11" t="n"/>
      <c r="P1162" s="11" t="n"/>
      <c r="Q1162" s="11" t="n"/>
    </row>
    <row r="1163">
      <c r="A1163" s="8">
        <f>B1163&amp;"_"&amp;C1163</f>
        <v/>
      </c>
      <c r="B1163" s="8" t="n"/>
      <c r="C1163" s="8" t="n"/>
      <c r="D1163" s="8" t="n"/>
      <c r="E1163" s="11" t="n"/>
      <c r="F1163" s="11" t="n"/>
      <c r="G1163" s="8" t="n"/>
      <c r="H1163" s="8" t="n"/>
      <c r="I1163" s="8" t="n"/>
      <c r="J1163" s="8" t="n"/>
      <c r="K1163" s="12">
        <f>IF(OR(ISERROR(VLOOKUP(C1163, Resultados_Reales!$A$4:$I$107, 5, FALSE)), ISERROR(VLOOKUP(C1163, Resultados_Reales!$A$4:$I$107, 6, FALSE)), VLOOKUP(C1163, Resultados_Reales!$A$4:$I$107, 5, FALSE)="", VLOOKUP(C1163, Resultados_Reales!$A$4:$I$107, 6, FALSE)=""), 0, IF(AND(VLOOKUP(C1163, Resultados_Reales!$A$4:$I$107, 5, FALSE)=G1163, VLOOKUP(C1163, Resultados_Reales!$A$4:$I$107, 6, FALSE)=H1163), Configuracion!$B$5, IF(SIGN(VLOOKUP(C1163, Resultados_Reales!$A$4:$I$107, 5, FALSE)-VLOOKUP(C1163, Resultados_Reales!$A$4:$I$107, 6, FALSE)) = SIGN(G1163-H1163), Configuracion!$B$4, 0)))</f>
        <v/>
      </c>
      <c r="L1163" s="11" t="n"/>
      <c r="M1163" s="11" t="n"/>
      <c r="N1163" s="11" t="n"/>
      <c r="O1163" s="11" t="n"/>
      <c r="P1163" s="11" t="n"/>
      <c r="Q1163" s="11" t="n"/>
    </row>
    <row r="1164">
      <c r="A1164" s="8">
        <f>B1164&amp;"_"&amp;C1164</f>
        <v/>
      </c>
      <c r="B1164" s="8" t="n"/>
      <c r="C1164" s="8" t="n"/>
      <c r="D1164" s="8" t="n"/>
      <c r="E1164" s="11" t="n"/>
      <c r="F1164" s="11" t="n"/>
      <c r="G1164" s="8" t="n"/>
      <c r="H1164" s="8" t="n"/>
      <c r="I1164" s="8" t="n"/>
      <c r="J1164" s="8" t="n"/>
      <c r="K1164" s="12">
        <f>IF(OR(ISERROR(VLOOKUP(C1164, Resultados_Reales!$A$4:$I$107, 5, FALSE)), ISERROR(VLOOKUP(C1164, Resultados_Reales!$A$4:$I$107, 6, FALSE)), VLOOKUP(C1164, Resultados_Reales!$A$4:$I$107, 5, FALSE)="", VLOOKUP(C1164, Resultados_Reales!$A$4:$I$107, 6, FALSE)=""), 0, IF(AND(VLOOKUP(C1164, Resultados_Reales!$A$4:$I$107, 5, FALSE)=G1164, VLOOKUP(C1164, Resultados_Reales!$A$4:$I$107, 6, FALSE)=H1164), Configuracion!$B$5, IF(SIGN(VLOOKUP(C1164, Resultados_Reales!$A$4:$I$107, 5, FALSE)-VLOOKUP(C1164, Resultados_Reales!$A$4:$I$107, 6, FALSE)) = SIGN(G1164-H1164), Configuracion!$B$4, 0)))</f>
        <v/>
      </c>
      <c r="L1164" s="11" t="n"/>
      <c r="M1164" s="11" t="n"/>
      <c r="N1164" s="11" t="n"/>
      <c r="O1164" s="11" t="n"/>
      <c r="P1164" s="11" t="n"/>
      <c r="Q1164" s="11" t="n"/>
    </row>
    <row r="1165">
      <c r="A1165" s="8">
        <f>B1165&amp;"_"&amp;C1165</f>
        <v/>
      </c>
      <c r="B1165" s="8" t="n"/>
      <c r="C1165" s="8" t="n"/>
      <c r="D1165" s="8" t="n"/>
      <c r="E1165" s="11" t="n"/>
      <c r="F1165" s="11" t="n"/>
      <c r="G1165" s="8" t="n"/>
      <c r="H1165" s="8" t="n"/>
      <c r="I1165" s="8" t="n"/>
      <c r="J1165" s="8" t="n"/>
      <c r="K1165" s="12">
        <f>IF(OR(ISERROR(VLOOKUP(C1165, Resultados_Reales!$A$4:$I$107, 5, FALSE)), ISERROR(VLOOKUP(C1165, Resultados_Reales!$A$4:$I$107, 6, FALSE)), VLOOKUP(C1165, Resultados_Reales!$A$4:$I$107, 5, FALSE)="", VLOOKUP(C1165, Resultados_Reales!$A$4:$I$107, 6, FALSE)=""), 0, IF(AND(VLOOKUP(C1165, Resultados_Reales!$A$4:$I$107, 5, FALSE)=G1165, VLOOKUP(C1165, Resultados_Reales!$A$4:$I$107, 6, FALSE)=H1165), Configuracion!$B$5, IF(SIGN(VLOOKUP(C1165, Resultados_Reales!$A$4:$I$107, 5, FALSE)-VLOOKUP(C1165, Resultados_Reales!$A$4:$I$107, 6, FALSE)) = SIGN(G1165-H1165), Configuracion!$B$4, 0)))</f>
        <v/>
      </c>
      <c r="L1165" s="11" t="n"/>
      <c r="M1165" s="11" t="n"/>
      <c r="N1165" s="11" t="n"/>
      <c r="O1165" s="11" t="n"/>
      <c r="P1165" s="11" t="n"/>
      <c r="Q1165" s="11" t="n"/>
    </row>
    <row r="1166">
      <c r="A1166" s="8">
        <f>B1166&amp;"_"&amp;C1166</f>
        <v/>
      </c>
      <c r="B1166" s="8" t="n"/>
      <c r="C1166" s="8" t="n"/>
      <c r="D1166" s="8" t="n"/>
      <c r="E1166" s="11" t="n"/>
      <c r="F1166" s="11" t="n"/>
      <c r="G1166" s="8" t="n"/>
      <c r="H1166" s="8" t="n"/>
      <c r="I1166" s="8" t="n"/>
      <c r="J1166" s="8" t="n"/>
      <c r="K1166" s="12">
        <f>IF(OR(ISERROR(VLOOKUP(C1166, Resultados_Reales!$A$4:$I$107, 5, FALSE)), ISERROR(VLOOKUP(C1166, Resultados_Reales!$A$4:$I$107, 6, FALSE)), VLOOKUP(C1166, Resultados_Reales!$A$4:$I$107, 5, FALSE)="", VLOOKUP(C1166, Resultados_Reales!$A$4:$I$107, 6, FALSE)=""), 0, IF(AND(VLOOKUP(C1166, Resultados_Reales!$A$4:$I$107, 5, FALSE)=G1166, VLOOKUP(C1166, Resultados_Reales!$A$4:$I$107, 6, FALSE)=H1166), Configuracion!$B$5, IF(SIGN(VLOOKUP(C1166, Resultados_Reales!$A$4:$I$107, 5, FALSE)-VLOOKUP(C1166, Resultados_Reales!$A$4:$I$107, 6, FALSE)) = SIGN(G1166-H1166), Configuracion!$B$4, 0)))</f>
        <v/>
      </c>
      <c r="L1166" s="11" t="n"/>
      <c r="M1166" s="11" t="n"/>
      <c r="N1166" s="11" t="n"/>
      <c r="O1166" s="11" t="n"/>
      <c r="P1166" s="11" t="n"/>
      <c r="Q1166" s="11" t="n"/>
    </row>
    <row r="1167">
      <c r="A1167" s="8">
        <f>B1167&amp;"_"&amp;C1167</f>
        <v/>
      </c>
      <c r="B1167" s="8" t="n"/>
      <c r="C1167" s="8" t="n"/>
      <c r="D1167" s="8" t="n"/>
      <c r="E1167" s="11" t="n"/>
      <c r="F1167" s="11" t="n"/>
      <c r="G1167" s="8" t="n"/>
      <c r="H1167" s="8" t="n"/>
      <c r="I1167" s="8" t="n"/>
      <c r="J1167" s="8" t="n"/>
      <c r="K1167" s="12">
        <f>IF(OR(ISERROR(VLOOKUP(C1167, Resultados_Reales!$A$4:$I$107, 5, FALSE)), ISERROR(VLOOKUP(C1167, Resultados_Reales!$A$4:$I$107, 6, FALSE)), VLOOKUP(C1167, Resultados_Reales!$A$4:$I$107, 5, FALSE)="", VLOOKUP(C1167, Resultados_Reales!$A$4:$I$107, 6, FALSE)=""), 0, IF(AND(VLOOKUP(C1167, Resultados_Reales!$A$4:$I$107, 5, FALSE)=G1167, VLOOKUP(C1167, Resultados_Reales!$A$4:$I$107, 6, FALSE)=H1167), Configuracion!$B$5, IF(SIGN(VLOOKUP(C1167, Resultados_Reales!$A$4:$I$107, 5, FALSE)-VLOOKUP(C1167, Resultados_Reales!$A$4:$I$107, 6, FALSE)) = SIGN(G1167-H1167), Configuracion!$B$4, 0)))</f>
        <v/>
      </c>
      <c r="L1167" s="11" t="n"/>
      <c r="M1167" s="11" t="n"/>
      <c r="N1167" s="11" t="n"/>
      <c r="O1167" s="11" t="n"/>
      <c r="P1167" s="11" t="n"/>
      <c r="Q1167" s="11" t="n"/>
    </row>
    <row r="1168">
      <c r="A1168" s="8">
        <f>B1168&amp;"_"&amp;C1168</f>
        <v/>
      </c>
      <c r="B1168" s="8" t="n"/>
      <c r="C1168" s="8" t="n"/>
      <c r="D1168" s="8" t="n"/>
      <c r="E1168" s="11" t="n"/>
      <c r="F1168" s="11" t="n"/>
      <c r="G1168" s="8" t="n"/>
      <c r="H1168" s="8" t="n"/>
      <c r="I1168" s="8" t="n"/>
      <c r="J1168" s="8" t="n"/>
      <c r="K1168" s="12">
        <f>IF(OR(ISERROR(VLOOKUP(C1168, Resultados_Reales!$A$4:$I$107, 5, FALSE)), ISERROR(VLOOKUP(C1168, Resultados_Reales!$A$4:$I$107, 6, FALSE)), VLOOKUP(C1168, Resultados_Reales!$A$4:$I$107, 5, FALSE)="", VLOOKUP(C1168, Resultados_Reales!$A$4:$I$107, 6, FALSE)=""), 0, IF(AND(VLOOKUP(C1168, Resultados_Reales!$A$4:$I$107, 5, FALSE)=G1168, VLOOKUP(C1168, Resultados_Reales!$A$4:$I$107, 6, FALSE)=H1168), Configuracion!$B$5, IF(SIGN(VLOOKUP(C1168, Resultados_Reales!$A$4:$I$107, 5, FALSE)-VLOOKUP(C1168, Resultados_Reales!$A$4:$I$107, 6, FALSE)) = SIGN(G1168-H1168), Configuracion!$B$4, 0)))</f>
        <v/>
      </c>
      <c r="L1168" s="11" t="n"/>
      <c r="M1168" s="11" t="n"/>
      <c r="N1168" s="11" t="n"/>
      <c r="O1168" s="11" t="n"/>
      <c r="P1168" s="11" t="n"/>
      <c r="Q1168" s="11" t="n"/>
    </row>
    <row r="1169">
      <c r="A1169" s="8">
        <f>B1169&amp;"_"&amp;C1169</f>
        <v/>
      </c>
      <c r="B1169" s="8" t="n"/>
      <c r="C1169" s="8" t="n"/>
      <c r="D1169" s="8" t="n"/>
      <c r="E1169" s="11" t="n"/>
      <c r="F1169" s="11" t="n"/>
      <c r="G1169" s="8" t="n"/>
      <c r="H1169" s="8" t="n"/>
      <c r="I1169" s="8" t="n"/>
      <c r="J1169" s="8" t="n"/>
      <c r="K1169" s="12">
        <f>IF(OR(ISERROR(VLOOKUP(C1169, Resultados_Reales!$A$4:$I$107, 5, FALSE)), ISERROR(VLOOKUP(C1169, Resultados_Reales!$A$4:$I$107, 6, FALSE)), VLOOKUP(C1169, Resultados_Reales!$A$4:$I$107, 5, FALSE)="", VLOOKUP(C1169, Resultados_Reales!$A$4:$I$107, 6, FALSE)=""), 0, IF(AND(VLOOKUP(C1169, Resultados_Reales!$A$4:$I$107, 5, FALSE)=G1169, VLOOKUP(C1169, Resultados_Reales!$A$4:$I$107, 6, FALSE)=H1169), Configuracion!$B$5, IF(SIGN(VLOOKUP(C1169, Resultados_Reales!$A$4:$I$107, 5, FALSE)-VLOOKUP(C1169, Resultados_Reales!$A$4:$I$107, 6, FALSE)) = SIGN(G1169-H1169), Configuracion!$B$4, 0)))</f>
        <v/>
      </c>
      <c r="L1169" s="11" t="n"/>
      <c r="M1169" s="11" t="n"/>
      <c r="N1169" s="11" t="n"/>
      <c r="O1169" s="11" t="n"/>
      <c r="P1169" s="11" t="n"/>
      <c r="Q1169" s="11" t="n"/>
    </row>
    <row r="1170">
      <c r="A1170" s="8">
        <f>B1170&amp;"_"&amp;C1170</f>
        <v/>
      </c>
      <c r="B1170" s="8" t="n"/>
      <c r="C1170" s="8" t="n"/>
      <c r="D1170" s="8" t="n"/>
      <c r="E1170" s="11" t="n"/>
      <c r="F1170" s="11" t="n"/>
      <c r="G1170" s="8" t="n"/>
      <c r="H1170" s="8" t="n"/>
      <c r="I1170" s="8" t="n"/>
      <c r="J1170" s="8" t="n"/>
      <c r="K1170" s="12">
        <f>IF(OR(ISERROR(VLOOKUP(C1170, Resultados_Reales!$A$4:$I$107, 5, FALSE)), ISERROR(VLOOKUP(C1170, Resultados_Reales!$A$4:$I$107, 6, FALSE)), VLOOKUP(C1170, Resultados_Reales!$A$4:$I$107, 5, FALSE)="", VLOOKUP(C1170, Resultados_Reales!$A$4:$I$107, 6, FALSE)=""), 0, IF(AND(VLOOKUP(C1170, Resultados_Reales!$A$4:$I$107, 5, FALSE)=G1170, VLOOKUP(C1170, Resultados_Reales!$A$4:$I$107, 6, FALSE)=H1170), Configuracion!$B$5, IF(SIGN(VLOOKUP(C1170, Resultados_Reales!$A$4:$I$107, 5, FALSE)-VLOOKUP(C1170, Resultados_Reales!$A$4:$I$107, 6, FALSE)) = SIGN(G1170-H1170), Configuracion!$B$4, 0)))</f>
        <v/>
      </c>
      <c r="L1170" s="11" t="n"/>
      <c r="M1170" s="11" t="n"/>
      <c r="N1170" s="11" t="n"/>
      <c r="O1170" s="11" t="n"/>
      <c r="P1170" s="11" t="n"/>
      <c r="Q1170" s="11" t="n"/>
    </row>
    <row r="1171">
      <c r="A1171" s="8">
        <f>B1171&amp;"_"&amp;C1171</f>
        <v/>
      </c>
      <c r="B1171" s="8" t="n"/>
      <c r="C1171" s="8" t="n"/>
      <c r="D1171" s="8" t="n"/>
      <c r="E1171" s="11" t="n"/>
      <c r="F1171" s="11" t="n"/>
      <c r="G1171" s="8" t="n"/>
      <c r="H1171" s="8" t="n"/>
      <c r="I1171" s="8" t="n"/>
      <c r="J1171" s="8" t="n"/>
      <c r="K1171" s="12">
        <f>IF(OR(ISERROR(VLOOKUP(C1171, Resultados_Reales!$A$4:$I$107, 5, FALSE)), ISERROR(VLOOKUP(C1171, Resultados_Reales!$A$4:$I$107, 6, FALSE)), VLOOKUP(C1171, Resultados_Reales!$A$4:$I$107, 5, FALSE)="", VLOOKUP(C1171, Resultados_Reales!$A$4:$I$107, 6, FALSE)=""), 0, IF(AND(VLOOKUP(C1171, Resultados_Reales!$A$4:$I$107, 5, FALSE)=G1171, VLOOKUP(C1171, Resultados_Reales!$A$4:$I$107, 6, FALSE)=H1171), Configuracion!$B$5, IF(SIGN(VLOOKUP(C1171, Resultados_Reales!$A$4:$I$107, 5, FALSE)-VLOOKUP(C1171, Resultados_Reales!$A$4:$I$107, 6, FALSE)) = SIGN(G1171-H1171), Configuracion!$B$4, 0)))</f>
        <v/>
      </c>
      <c r="L1171" s="11" t="n"/>
      <c r="M1171" s="11" t="n"/>
      <c r="N1171" s="11" t="n"/>
      <c r="O1171" s="11" t="n"/>
      <c r="P1171" s="11" t="n"/>
      <c r="Q1171" s="11" t="n"/>
    </row>
    <row r="1172">
      <c r="A1172" s="8">
        <f>B1172&amp;"_"&amp;C1172</f>
        <v/>
      </c>
      <c r="B1172" s="8" t="n"/>
      <c r="C1172" s="8" t="n"/>
      <c r="D1172" s="8" t="n"/>
      <c r="E1172" s="11" t="n"/>
      <c r="F1172" s="11" t="n"/>
      <c r="G1172" s="8" t="n"/>
      <c r="H1172" s="8" t="n"/>
      <c r="I1172" s="8" t="n"/>
      <c r="J1172" s="8" t="n"/>
      <c r="K1172" s="12">
        <f>IF(OR(ISERROR(VLOOKUP(C1172, Resultados_Reales!$A$4:$I$107, 5, FALSE)), ISERROR(VLOOKUP(C1172, Resultados_Reales!$A$4:$I$107, 6, FALSE)), VLOOKUP(C1172, Resultados_Reales!$A$4:$I$107, 5, FALSE)="", VLOOKUP(C1172, Resultados_Reales!$A$4:$I$107, 6, FALSE)=""), 0, IF(AND(VLOOKUP(C1172, Resultados_Reales!$A$4:$I$107, 5, FALSE)=G1172, VLOOKUP(C1172, Resultados_Reales!$A$4:$I$107, 6, FALSE)=H1172), Configuracion!$B$5, IF(SIGN(VLOOKUP(C1172, Resultados_Reales!$A$4:$I$107, 5, FALSE)-VLOOKUP(C1172, Resultados_Reales!$A$4:$I$107, 6, FALSE)) = SIGN(G1172-H1172), Configuracion!$B$4, 0)))</f>
        <v/>
      </c>
      <c r="L1172" s="11" t="n"/>
      <c r="M1172" s="11" t="n"/>
      <c r="N1172" s="11" t="n"/>
      <c r="O1172" s="11" t="n"/>
      <c r="P1172" s="11" t="n"/>
      <c r="Q1172" s="11" t="n"/>
    </row>
    <row r="1173">
      <c r="A1173" s="8">
        <f>B1173&amp;"_"&amp;C1173</f>
        <v/>
      </c>
      <c r="B1173" s="8" t="n"/>
      <c r="C1173" s="8" t="n"/>
      <c r="D1173" s="8" t="n"/>
      <c r="E1173" s="11" t="n"/>
      <c r="F1173" s="11" t="n"/>
      <c r="G1173" s="8" t="n"/>
      <c r="H1173" s="8" t="n"/>
      <c r="I1173" s="8" t="n"/>
      <c r="J1173" s="8" t="n"/>
      <c r="K1173" s="12">
        <f>IF(OR(ISERROR(VLOOKUP(C1173, Resultados_Reales!$A$4:$I$107, 5, FALSE)), ISERROR(VLOOKUP(C1173, Resultados_Reales!$A$4:$I$107, 6, FALSE)), VLOOKUP(C1173, Resultados_Reales!$A$4:$I$107, 5, FALSE)="", VLOOKUP(C1173, Resultados_Reales!$A$4:$I$107, 6, FALSE)=""), 0, IF(AND(VLOOKUP(C1173, Resultados_Reales!$A$4:$I$107, 5, FALSE)=G1173, VLOOKUP(C1173, Resultados_Reales!$A$4:$I$107, 6, FALSE)=H1173), Configuracion!$B$5, IF(SIGN(VLOOKUP(C1173, Resultados_Reales!$A$4:$I$107, 5, FALSE)-VLOOKUP(C1173, Resultados_Reales!$A$4:$I$107, 6, FALSE)) = SIGN(G1173-H1173), Configuracion!$B$4, 0)))</f>
        <v/>
      </c>
      <c r="L1173" s="11" t="n"/>
      <c r="M1173" s="11" t="n"/>
      <c r="N1173" s="11" t="n"/>
      <c r="O1173" s="11" t="n"/>
      <c r="P1173" s="11" t="n"/>
      <c r="Q1173" s="11" t="n"/>
    </row>
    <row r="1174">
      <c r="A1174" s="8">
        <f>B1174&amp;"_"&amp;C1174</f>
        <v/>
      </c>
      <c r="B1174" s="8" t="n"/>
      <c r="C1174" s="8" t="n"/>
      <c r="D1174" s="8" t="n"/>
      <c r="E1174" s="11" t="n"/>
      <c r="F1174" s="11" t="n"/>
      <c r="G1174" s="8" t="n"/>
      <c r="H1174" s="8" t="n"/>
      <c r="I1174" s="8" t="n"/>
      <c r="J1174" s="8" t="n"/>
      <c r="K1174" s="12">
        <f>IF(OR(ISERROR(VLOOKUP(C1174, Resultados_Reales!$A$4:$I$107, 5, FALSE)), ISERROR(VLOOKUP(C1174, Resultados_Reales!$A$4:$I$107, 6, FALSE)), VLOOKUP(C1174, Resultados_Reales!$A$4:$I$107, 5, FALSE)="", VLOOKUP(C1174, Resultados_Reales!$A$4:$I$107, 6, FALSE)=""), 0, IF(AND(VLOOKUP(C1174, Resultados_Reales!$A$4:$I$107, 5, FALSE)=G1174, VLOOKUP(C1174, Resultados_Reales!$A$4:$I$107, 6, FALSE)=H1174), Configuracion!$B$5, IF(SIGN(VLOOKUP(C1174, Resultados_Reales!$A$4:$I$107, 5, FALSE)-VLOOKUP(C1174, Resultados_Reales!$A$4:$I$107, 6, FALSE)) = SIGN(G1174-H1174), Configuracion!$B$4, 0)))</f>
        <v/>
      </c>
      <c r="L1174" s="11" t="n"/>
      <c r="M1174" s="11" t="n"/>
      <c r="N1174" s="11" t="n"/>
      <c r="O1174" s="11" t="n"/>
      <c r="P1174" s="11" t="n"/>
      <c r="Q1174" s="11" t="n"/>
    </row>
    <row r="1175">
      <c r="A1175" s="8">
        <f>B1175&amp;"_"&amp;C1175</f>
        <v/>
      </c>
      <c r="B1175" s="8" t="n"/>
      <c r="C1175" s="8" t="n"/>
      <c r="D1175" s="8" t="n"/>
      <c r="E1175" s="11" t="n"/>
      <c r="F1175" s="11" t="n"/>
      <c r="G1175" s="8" t="n"/>
      <c r="H1175" s="8" t="n"/>
      <c r="I1175" s="8" t="n"/>
      <c r="J1175" s="8" t="n"/>
      <c r="K1175" s="12">
        <f>IF(OR(ISERROR(VLOOKUP(C1175, Resultados_Reales!$A$4:$I$107, 5, FALSE)), ISERROR(VLOOKUP(C1175, Resultados_Reales!$A$4:$I$107, 6, FALSE)), VLOOKUP(C1175, Resultados_Reales!$A$4:$I$107, 5, FALSE)="", VLOOKUP(C1175, Resultados_Reales!$A$4:$I$107, 6, FALSE)=""), 0, IF(AND(VLOOKUP(C1175, Resultados_Reales!$A$4:$I$107, 5, FALSE)=G1175, VLOOKUP(C1175, Resultados_Reales!$A$4:$I$107, 6, FALSE)=H1175), Configuracion!$B$5, IF(SIGN(VLOOKUP(C1175, Resultados_Reales!$A$4:$I$107, 5, FALSE)-VLOOKUP(C1175, Resultados_Reales!$A$4:$I$107, 6, FALSE)) = SIGN(G1175-H1175), Configuracion!$B$4, 0)))</f>
        <v/>
      </c>
      <c r="L1175" s="11" t="n"/>
      <c r="M1175" s="11" t="n"/>
      <c r="N1175" s="11" t="n"/>
      <c r="O1175" s="11" t="n"/>
      <c r="P1175" s="11" t="n"/>
      <c r="Q1175" s="11" t="n"/>
    </row>
    <row r="1176">
      <c r="A1176" s="8">
        <f>B1176&amp;"_"&amp;C1176</f>
        <v/>
      </c>
      <c r="B1176" s="8" t="n"/>
      <c r="C1176" s="8" t="n"/>
      <c r="D1176" s="8" t="n"/>
      <c r="E1176" s="11" t="n"/>
      <c r="F1176" s="11" t="n"/>
      <c r="G1176" s="8" t="n"/>
      <c r="H1176" s="8" t="n"/>
      <c r="I1176" s="8" t="n"/>
      <c r="J1176" s="8" t="n"/>
      <c r="K1176" s="12">
        <f>IF(OR(ISERROR(VLOOKUP(C1176, Resultados_Reales!$A$4:$I$107, 5, FALSE)), ISERROR(VLOOKUP(C1176, Resultados_Reales!$A$4:$I$107, 6, FALSE)), VLOOKUP(C1176, Resultados_Reales!$A$4:$I$107, 5, FALSE)="", VLOOKUP(C1176, Resultados_Reales!$A$4:$I$107, 6, FALSE)=""), 0, IF(AND(VLOOKUP(C1176, Resultados_Reales!$A$4:$I$107, 5, FALSE)=G1176, VLOOKUP(C1176, Resultados_Reales!$A$4:$I$107, 6, FALSE)=H1176), Configuracion!$B$5, IF(SIGN(VLOOKUP(C1176, Resultados_Reales!$A$4:$I$107, 5, FALSE)-VLOOKUP(C1176, Resultados_Reales!$A$4:$I$107, 6, FALSE)) = SIGN(G1176-H1176), Configuracion!$B$4, 0)))</f>
        <v/>
      </c>
      <c r="L1176" s="11" t="n"/>
      <c r="M1176" s="11" t="n"/>
      <c r="N1176" s="11" t="n"/>
      <c r="O1176" s="11" t="n"/>
      <c r="P1176" s="11" t="n"/>
      <c r="Q1176" s="11" t="n"/>
    </row>
    <row r="1177">
      <c r="A1177" s="8">
        <f>B1177&amp;"_"&amp;C1177</f>
        <v/>
      </c>
      <c r="B1177" s="8" t="n"/>
      <c r="C1177" s="8" t="n"/>
      <c r="D1177" s="8" t="n"/>
      <c r="E1177" s="11" t="n"/>
      <c r="F1177" s="11" t="n"/>
      <c r="G1177" s="8" t="n"/>
      <c r="H1177" s="8" t="n"/>
      <c r="I1177" s="8" t="n"/>
      <c r="J1177" s="8" t="n"/>
      <c r="K1177" s="12">
        <f>IF(OR(ISERROR(VLOOKUP(C1177, Resultados_Reales!$A$4:$I$107, 5, FALSE)), ISERROR(VLOOKUP(C1177, Resultados_Reales!$A$4:$I$107, 6, FALSE)), VLOOKUP(C1177, Resultados_Reales!$A$4:$I$107, 5, FALSE)="", VLOOKUP(C1177, Resultados_Reales!$A$4:$I$107, 6, FALSE)=""), 0, IF(AND(VLOOKUP(C1177, Resultados_Reales!$A$4:$I$107, 5, FALSE)=G1177, VLOOKUP(C1177, Resultados_Reales!$A$4:$I$107, 6, FALSE)=H1177), Configuracion!$B$5, IF(SIGN(VLOOKUP(C1177, Resultados_Reales!$A$4:$I$107, 5, FALSE)-VLOOKUP(C1177, Resultados_Reales!$A$4:$I$107, 6, FALSE)) = SIGN(G1177-H1177), Configuracion!$B$4, 0)))</f>
        <v/>
      </c>
      <c r="L1177" s="11" t="n"/>
      <c r="M1177" s="11" t="n"/>
      <c r="N1177" s="11" t="n"/>
      <c r="O1177" s="11" t="n"/>
      <c r="P1177" s="11" t="n"/>
      <c r="Q1177" s="11" t="n"/>
    </row>
    <row r="1178">
      <c r="A1178" s="8">
        <f>B1178&amp;"_"&amp;C1178</f>
        <v/>
      </c>
      <c r="B1178" s="8" t="n"/>
      <c r="C1178" s="8" t="n"/>
      <c r="D1178" s="8" t="n"/>
      <c r="E1178" s="11" t="n"/>
      <c r="F1178" s="11" t="n"/>
      <c r="G1178" s="8" t="n"/>
      <c r="H1178" s="8" t="n"/>
      <c r="I1178" s="8" t="n"/>
      <c r="J1178" s="8" t="n"/>
      <c r="K1178" s="12">
        <f>IF(OR(ISERROR(VLOOKUP(C1178, Resultados_Reales!$A$4:$I$107, 5, FALSE)), ISERROR(VLOOKUP(C1178, Resultados_Reales!$A$4:$I$107, 6, FALSE)), VLOOKUP(C1178, Resultados_Reales!$A$4:$I$107, 5, FALSE)="", VLOOKUP(C1178, Resultados_Reales!$A$4:$I$107, 6, FALSE)=""), 0, IF(AND(VLOOKUP(C1178, Resultados_Reales!$A$4:$I$107, 5, FALSE)=G1178, VLOOKUP(C1178, Resultados_Reales!$A$4:$I$107, 6, FALSE)=H1178), Configuracion!$B$5, IF(SIGN(VLOOKUP(C1178, Resultados_Reales!$A$4:$I$107, 5, FALSE)-VLOOKUP(C1178, Resultados_Reales!$A$4:$I$107, 6, FALSE)) = SIGN(G1178-H1178), Configuracion!$B$4, 0)))</f>
        <v/>
      </c>
      <c r="L1178" s="11" t="n"/>
      <c r="M1178" s="11" t="n"/>
      <c r="N1178" s="11" t="n"/>
      <c r="O1178" s="11" t="n"/>
      <c r="P1178" s="11" t="n"/>
      <c r="Q1178" s="11" t="n"/>
    </row>
    <row r="1179">
      <c r="A1179" s="8">
        <f>B1179&amp;"_"&amp;C1179</f>
        <v/>
      </c>
      <c r="B1179" s="8" t="n"/>
      <c r="C1179" s="8" t="n"/>
      <c r="D1179" s="8" t="n"/>
      <c r="E1179" s="11" t="n"/>
      <c r="F1179" s="11" t="n"/>
      <c r="G1179" s="8" t="n"/>
      <c r="H1179" s="8" t="n"/>
      <c r="I1179" s="8" t="n"/>
      <c r="J1179" s="8" t="n"/>
      <c r="K1179" s="12">
        <f>IF(OR(ISERROR(VLOOKUP(C1179, Resultados_Reales!$A$4:$I$107, 5, FALSE)), ISERROR(VLOOKUP(C1179, Resultados_Reales!$A$4:$I$107, 6, FALSE)), VLOOKUP(C1179, Resultados_Reales!$A$4:$I$107, 5, FALSE)="", VLOOKUP(C1179, Resultados_Reales!$A$4:$I$107, 6, FALSE)=""), 0, IF(AND(VLOOKUP(C1179, Resultados_Reales!$A$4:$I$107, 5, FALSE)=G1179, VLOOKUP(C1179, Resultados_Reales!$A$4:$I$107, 6, FALSE)=H1179), Configuracion!$B$5, IF(SIGN(VLOOKUP(C1179, Resultados_Reales!$A$4:$I$107, 5, FALSE)-VLOOKUP(C1179, Resultados_Reales!$A$4:$I$107, 6, FALSE)) = SIGN(G1179-H1179), Configuracion!$B$4, 0)))</f>
        <v/>
      </c>
      <c r="L1179" s="11" t="n"/>
      <c r="M1179" s="11" t="n"/>
      <c r="N1179" s="11" t="n"/>
      <c r="O1179" s="11" t="n"/>
      <c r="P1179" s="11" t="n"/>
      <c r="Q1179" s="11" t="n"/>
    </row>
    <row r="1180">
      <c r="A1180" s="8">
        <f>B1180&amp;"_"&amp;C1180</f>
        <v/>
      </c>
      <c r="B1180" s="8" t="n"/>
      <c r="C1180" s="8" t="n"/>
      <c r="D1180" s="8" t="n"/>
      <c r="E1180" s="11" t="n"/>
      <c r="F1180" s="11" t="n"/>
      <c r="G1180" s="8" t="n"/>
      <c r="H1180" s="8" t="n"/>
      <c r="I1180" s="8" t="n"/>
      <c r="J1180" s="8" t="n"/>
      <c r="K1180" s="12">
        <f>IF(OR(ISERROR(VLOOKUP(C1180, Resultados_Reales!$A$4:$I$107, 5, FALSE)), ISERROR(VLOOKUP(C1180, Resultados_Reales!$A$4:$I$107, 6, FALSE)), VLOOKUP(C1180, Resultados_Reales!$A$4:$I$107, 5, FALSE)="", VLOOKUP(C1180, Resultados_Reales!$A$4:$I$107, 6, FALSE)=""), 0, IF(AND(VLOOKUP(C1180, Resultados_Reales!$A$4:$I$107, 5, FALSE)=G1180, VLOOKUP(C1180, Resultados_Reales!$A$4:$I$107, 6, FALSE)=H1180), Configuracion!$B$5, IF(SIGN(VLOOKUP(C1180, Resultados_Reales!$A$4:$I$107, 5, FALSE)-VLOOKUP(C1180, Resultados_Reales!$A$4:$I$107, 6, FALSE)) = SIGN(G1180-H1180), Configuracion!$B$4, 0)))</f>
        <v/>
      </c>
      <c r="L1180" s="11" t="n"/>
      <c r="M1180" s="11" t="n"/>
      <c r="N1180" s="11" t="n"/>
      <c r="O1180" s="11" t="n"/>
      <c r="P1180" s="11" t="n"/>
      <c r="Q1180" s="11" t="n"/>
    </row>
    <row r="1181">
      <c r="A1181" s="8">
        <f>B1181&amp;"_"&amp;C1181</f>
        <v/>
      </c>
      <c r="B1181" s="8" t="n"/>
      <c r="C1181" s="8" t="n"/>
      <c r="D1181" s="8" t="n"/>
      <c r="E1181" s="11" t="n"/>
      <c r="F1181" s="11" t="n"/>
      <c r="G1181" s="8" t="n"/>
      <c r="H1181" s="8" t="n"/>
      <c r="I1181" s="8" t="n"/>
      <c r="J1181" s="8" t="n"/>
      <c r="K1181" s="12">
        <f>IF(OR(ISERROR(VLOOKUP(C1181, Resultados_Reales!$A$4:$I$107, 5, FALSE)), ISERROR(VLOOKUP(C1181, Resultados_Reales!$A$4:$I$107, 6, FALSE)), VLOOKUP(C1181, Resultados_Reales!$A$4:$I$107, 5, FALSE)="", VLOOKUP(C1181, Resultados_Reales!$A$4:$I$107, 6, FALSE)=""), 0, IF(AND(VLOOKUP(C1181, Resultados_Reales!$A$4:$I$107, 5, FALSE)=G1181, VLOOKUP(C1181, Resultados_Reales!$A$4:$I$107, 6, FALSE)=H1181), Configuracion!$B$5, IF(SIGN(VLOOKUP(C1181, Resultados_Reales!$A$4:$I$107, 5, FALSE)-VLOOKUP(C1181, Resultados_Reales!$A$4:$I$107, 6, FALSE)) = SIGN(G1181-H1181), Configuracion!$B$4, 0)))</f>
        <v/>
      </c>
      <c r="L1181" s="11" t="n"/>
      <c r="M1181" s="11" t="n"/>
      <c r="N1181" s="11" t="n"/>
      <c r="O1181" s="11" t="n"/>
      <c r="P1181" s="11" t="n"/>
      <c r="Q1181" s="11" t="n"/>
    </row>
    <row r="1182">
      <c r="A1182" s="8">
        <f>B1182&amp;"_"&amp;C1182</f>
        <v/>
      </c>
      <c r="B1182" s="8" t="n"/>
      <c r="C1182" s="8" t="n"/>
      <c r="D1182" s="8" t="n"/>
      <c r="E1182" s="11" t="n"/>
      <c r="F1182" s="11" t="n"/>
      <c r="G1182" s="8" t="n"/>
      <c r="H1182" s="8" t="n"/>
      <c r="I1182" s="8" t="n"/>
      <c r="J1182" s="8" t="n"/>
      <c r="K1182" s="12">
        <f>IF(OR(ISERROR(VLOOKUP(C1182, Resultados_Reales!$A$4:$I$107, 5, FALSE)), ISERROR(VLOOKUP(C1182, Resultados_Reales!$A$4:$I$107, 6, FALSE)), VLOOKUP(C1182, Resultados_Reales!$A$4:$I$107, 5, FALSE)="", VLOOKUP(C1182, Resultados_Reales!$A$4:$I$107, 6, FALSE)=""), 0, IF(AND(VLOOKUP(C1182, Resultados_Reales!$A$4:$I$107, 5, FALSE)=G1182, VLOOKUP(C1182, Resultados_Reales!$A$4:$I$107, 6, FALSE)=H1182), Configuracion!$B$5, IF(SIGN(VLOOKUP(C1182, Resultados_Reales!$A$4:$I$107, 5, FALSE)-VLOOKUP(C1182, Resultados_Reales!$A$4:$I$107, 6, FALSE)) = SIGN(G1182-H1182), Configuracion!$B$4, 0)))</f>
        <v/>
      </c>
      <c r="L1182" s="11" t="n"/>
      <c r="M1182" s="11" t="n"/>
      <c r="N1182" s="11" t="n"/>
      <c r="O1182" s="11" t="n"/>
      <c r="P1182" s="11" t="n"/>
      <c r="Q1182" s="11" t="n"/>
    </row>
    <row r="1183">
      <c r="A1183" s="8">
        <f>B1183&amp;"_"&amp;C1183</f>
        <v/>
      </c>
      <c r="B1183" s="8" t="n"/>
      <c r="C1183" s="8" t="n"/>
      <c r="D1183" s="8" t="n"/>
      <c r="E1183" s="11" t="n"/>
      <c r="F1183" s="11" t="n"/>
      <c r="G1183" s="8" t="n"/>
      <c r="H1183" s="8" t="n"/>
      <c r="I1183" s="8" t="n"/>
      <c r="J1183" s="8" t="n"/>
      <c r="K1183" s="12">
        <f>IF(OR(ISERROR(VLOOKUP(C1183, Resultados_Reales!$A$4:$I$107, 5, FALSE)), ISERROR(VLOOKUP(C1183, Resultados_Reales!$A$4:$I$107, 6, FALSE)), VLOOKUP(C1183, Resultados_Reales!$A$4:$I$107, 5, FALSE)="", VLOOKUP(C1183, Resultados_Reales!$A$4:$I$107, 6, FALSE)=""), 0, IF(AND(VLOOKUP(C1183, Resultados_Reales!$A$4:$I$107, 5, FALSE)=G1183, VLOOKUP(C1183, Resultados_Reales!$A$4:$I$107, 6, FALSE)=H1183), Configuracion!$B$5, IF(SIGN(VLOOKUP(C1183, Resultados_Reales!$A$4:$I$107, 5, FALSE)-VLOOKUP(C1183, Resultados_Reales!$A$4:$I$107, 6, FALSE)) = SIGN(G1183-H1183), Configuracion!$B$4, 0)))</f>
        <v/>
      </c>
      <c r="L1183" s="11" t="n"/>
      <c r="M1183" s="11" t="n"/>
      <c r="N1183" s="11" t="n"/>
      <c r="O1183" s="11" t="n"/>
      <c r="P1183" s="11" t="n"/>
      <c r="Q1183" s="11" t="n"/>
    </row>
    <row r="1184">
      <c r="A1184" s="8">
        <f>B1184&amp;"_"&amp;C1184</f>
        <v/>
      </c>
      <c r="B1184" s="8" t="n"/>
      <c r="C1184" s="8" t="n"/>
      <c r="D1184" s="8" t="n"/>
      <c r="E1184" s="11" t="n"/>
      <c r="F1184" s="11" t="n"/>
      <c r="G1184" s="8" t="n"/>
      <c r="H1184" s="8" t="n"/>
      <c r="I1184" s="8" t="n"/>
      <c r="J1184" s="8" t="n"/>
      <c r="K1184" s="12">
        <f>IF(OR(ISERROR(VLOOKUP(C1184, Resultados_Reales!$A$4:$I$107, 5, FALSE)), ISERROR(VLOOKUP(C1184, Resultados_Reales!$A$4:$I$107, 6, FALSE)), VLOOKUP(C1184, Resultados_Reales!$A$4:$I$107, 5, FALSE)="", VLOOKUP(C1184, Resultados_Reales!$A$4:$I$107, 6, FALSE)=""), 0, IF(AND(VLOOKUP(C1184, Resultados_Reales!$A$4:$I$107, 5, FALSE)=G1184, VLOOKUP(C1184, Resultados_Reales!$A$4:$I$107, 6, FALSE)=H1184), Configuracion!$B$5, IF(SIGN(VLOOKUP(C1184, Resultados_Reales!$A$4:$I$107, 5, FALSE)-VLOOKUP(C1184, Resultados_Reales!$A$4:$I$107, 6, FALSE)) = SIGN(G1184-H1184), Configuracion!$B$4, 0)))</f>
        <v/>
      </c>
      <c r="L1184" s="11" t="n"/>
      <c r="M1184" s="11" t="n"/>
      <c r="N1184" s="11" t="n"/>
      <c r="O1184" s="11" t="n"/>
      <c r="P1184" s="11" t="n"/>
      <c r="Q1184" s="11" t="n"/>
    </row>
    <row r="1185">
      <c r="A1185" s="8">
        <f>B1185&amp;"_"&amp;C1185</f>
        <v/>
      </c>
      <c r="B1185" s="8" t="n"/>
      <c r="C1185" s="8" t="n"/>
      <c r="D1185" s="8" t="n"/>
      <c r="E1185" s="11" t="n"/>
      <c r="F1185" s="11" t="n"/>
      <c r="G1185" s="8" t="n"/>
      <c r="H1185" s="8" t="n"/>
      <c r="I1185" s="8" t="n"/>
      <c r="J1185" s="8" t="n"/>
      <c r="K1185" s="12">
        <f>IF(OR(ISERROR(VLOOKUP(C1185, Resultados_Reales!$A$4:$I$107, 5, FALSE)), ISERROR(VLOOKUP(C1185, Resultados_Reales!$A$4:$I$107, 6, FALSE)), VLOOKUP(C1185, Resultados_Reales!$A$4:$I$107, 5, FALSE)="", VLOOKUP(C1185, Resultados_Reales!$A$4:$I$107, 6, FALSE)=""), 0, IF(AND(VLOOKUP(C1185, Resultados_Reales!$A$4:$I$107, 5, FALSE)=G1185, VLOOKUP(C1185, Resultados_Reales!$A$4:$I$107, 6, FALSE)=H1185), Configuracion!$B$5, IF(SIGN(VLOOKUP(C1185, Resultados_Reales!$A$4:$I$107, 5, FALSE)-VLOOKUP(C1185, Resultados_Reales!$A$4:$I$107, 6, FALSE)) = SIGN(G1185-H1185), Configuracion!$B$4, 0)))</f>
        <v/>
      </c>
      <c r="L1185" s="11" t="n"/>
      <c r="M1185" s="11" t="n"/>
      <c r="N1185" s="11" t="n"/>
      <c r="O1185" s="11" t="n"/>
      <c r="P1185" s="11" t="n"/>
      <c r="Q1185" s="11" t="n"/>
    </row>
    <row r="1186">
      <c r="A1186" s="8">
        <f>B1186&amp;"_"&amp;C1186</f>
        <v/>
      </c>
      <c r="B1186" s="8" t="n"/>
      <c r="C1186" s="8" t="n"/>
      <c r="D1186" s="8" t="n"/>
      <c r="E1186" s="11" t="n"/>
      <c r="F1186" s="11" t="n"/>
      <c r="G1186" s="8" t="n"/>
      <c r="H1186" s="8" t="n"/>
      <c r="I1186" s="8" t="n"/>
      <c r="J1186" s="8" t="n"/>
      <c r="K1186" s="12">
        <f>IF(OR(ISERROR(VLOOKUP(C1186, Resultados_Reales!$A$4:$I$107, 5, FALSE)), ISERROR(VLOOKUP(C1186, Resultados_Reales!$A$4:$I$107, 6, FALSE)), VLOOKUP(C1186, Resultados_Reales!$A$4:$I$107, 5, FALSE)="", VLOOKUP(C1186, Resultados_Reales!$A$4:$I$107, 6, FALSE)=""), 0, IF(AND(VLOOKUP(C1186, Resultados_Reales!$A$4:$I$107, 5, FALSE)=G1186, VLOOKUP(C1186, Resultados_Reales!$A$4:$I$107, 6, FALSE)=H1186), Configuracion!$B$5, IF(SIGN(VLOOKUP(C1186, Resultados_Reales!$A$4:$I$107, 5, FALSE)-VLOOKUP(C1186, Resultados_Reales!$A$4:$I$107, 6, FALSE)) = SIGN(G1186-H1186), Configuracion!$B$4, 0)))</f>
        <v/>
      </c>
      <c r="L1186" s="11" t="n"/>
      <c r="M1186" s="11" t="n"/>
      <c r="N1186" s="11" t="n"/>
      <c r="O1186" s="11" t="n"/>
      <c r="P1186" s="11" t="n"/>
      <c r="Q1186" s="11" t="n"/>
    </row>
    <row r="1187">
      <c r="A1187" s="8">
        <f>B1187&amp;"_"&amp;C1187</f>
        <v/>
      </c>
      <c r="B1187" s="8" t="n"/>
      <c r="C1187" s="8" t="n"/>
      <c r="D1187" s="8" t="n"/>
      <c r="E1187" s="11" t="n"/>
      <c r="F1187" s="11" t="n"/>
      <c r="G1187" s="8" t="n"/>
      <c r="H1187" s="8" t="n"/>
      <c r="I1187" s="8" t="n"/>
      <c r="J1187" s="8" t="n"/>
      <c r="K1187" s="12">
        <f>IF(OR(ISERROR(VLOOKUP(C1187, Resultados_Reales!$A$4:$I$107, 5, FALSE)), ISERROR(VLOOKUP(C1187, Resultados_Reales!$A$4:$I$107, 6, FALSE)), VLOOKUP(C1187, Resultados_Reales!$A$4:$I$107, 5, FALSE)="", VLOOKUP(C1187, Resultados_Reales!$A$4:$I$107, 6, FALSE)=""), 0, IF(AND(VLOOKUP(C1187, Resultados_Reales!$A$4:$I$107, 5, FALSE)=G1187, VLOOKUP(C1187, Resultados_Reales!$A$4:$I$107, 6, FALSE)=H1187), Configuracion!$B$5, IF(SIGN(VLOOKUP(C1187, Resultados_Reales!$A$4:$I$107, 5, FALSE)-VLOOKUP(C1187, Resultados_Reales!$A$4:$I$107, 6, FALSE)) = SIGN(G1187-H1187), Configuracion!$B$4, 0)))</f>
        <v/>
      </c>
      <c r="L1187" s="11" t="n"/>
      <c r="M1187" s="11" t="n"/>
      <c r="N1187" s="11" t="n"/>
      <c r="O1187" s="11" t="n"/>
      <c r="P1187" s="11" t="n"/>
      <c r="Q1187" s="11" t="n"/>
    </row>
    <row r="1188">
      <c r="A1188" s="8">
        <f>B1188&amp;"_"&amp;C1188</f>
        <v/>
      </c>
      <c r="B1188" s="8" t="n"/>
      <c r="C1188" s="8" t="n"/>
      <c r="D1188" s="8" t="n"/>
      <c r="E1188" s="11" t="n"/>
      <c r="F1188" s="11" t="n"/>
      <c r="G1188" s="8" t="n"/>
      <c r="H1188" s="8" t="n"/>
      <c r="I1188" s="8" t="n"/>
      <c r="J1188" s="8" t="n"/>
      <c r="K1188" s="12">
        <f>IF(OR(ISERROR(VLOOKUP(C1188, Resultados_Reales!$A$4:$I$107, 5, FALSE)), ISERROR(VLOOKUP(C1188, Resultados_Reales!$A$4:$I$107, 6, FALSE)), VLOOKUP(C1188, Resultados_Reales!$A$4:$I$107, 5, FALSE)="", VLOOKUP(C1188, Resultados_Reales!$A$4:$I$107, 6, FALSE)=""), 0, IF(AND(VLOOKUP(C1188, Resultados_Reales!$A$4:$I$107, 5, FALSE)=G1188, VLOOKUP(C1188, Resultados_Reales!$A$4:$I$107, 6, FALSE)=H1188), Configuracion!$B$5, IF(SIGN(VLOOKUP(C1188, Resultados_Reales!$A$4:$I$107, 5, FALSE)-VLOOKUP(C1188, Resultados_Reales!$A$4:$I$107, 6, FALSE)) = SIGN(G1188-H1188), Configuracion!$B$4, 0)))</f>
        <v/>
      </c>
      <c r="L1188" s="11" t="n"/>
      <c r="M1188" s="11" t="n"/>
      <c r="N1188" s="11" t="n"/>
      <c r="O1188" s="11" t="n"/>
      <c r="P1188" s="11" t="n"/>
      <c r="Q1188" s="11" t="n"/>
    </row>
    <row r="1189">
      <c r="A1189" s="8">
        <f>B1189&amp;"_"&amp;C1189</f>
        <v/>
      </c>
      <c r="B1189" s="8" t="n"/>
      <c r="C1189" s="8" t="n"/>
      <c r="D1189" s="8" t="n"/>
      <c r="E1189" s="11" t="n"/>
      <c r="F1189" s="11" t="n"/>
      <c r="G1189" s="8" t="n"/>
      <c r="H1189" s="8" t="n"/>
      <c r="I1189" s="8" t="n"/>
      <c r="J1189" s="8" t="n"/>
      <c r="K1189" s="12">
        <f>IF(OR(ISERROR(VLOOKUP(C1189, Resultados_Reales!$A$4:$I$107, 5, FALSE)), ISERROR(VLOOKUP(C1189, Resultados_Reales!$A$4:$I$107, 6, FALSE)), VLOOKUP(C1189, Resultados_Reales!$A$4:$I$107, 5, FALSE)="", VLOOKUP(C1189, Resultados_Reales!$A$4:$I$107, 6, FALSE)=""), 0, IF(AND(VLOOKUP(C1189, Resultados_Reales!$A$4:$I$107, 5, FALSE)=G1189, VLOOKUP(C1189, Resultados_Reales!$A$4:$I$107, 6, FALSE)=H1189), Configuracion!$B$5, IF(SIGN(VLOOKUP(C1189, Resultados_Reales!$A$4:$I$107, 5, FALSE)-VLOOKUP(C1189, Resultados_Reales!$A$4:$I$107, 6, FALSE)) = SIGN(G1189-H1189), Configuracion!$B$4, 0)))</f>
        <v/>
      </c>
      <c r="L1189" s="11" t="n"/>
      <c r="M1189" s="11" t="n"/>
      <c r="N1189" s="11" t="n"/>
      <c r="O1189" s="11" t="n"/>
      <c r="P1189" s="11" t="n"/>
      <c r="Q1189" s="11" t="n"/>
    </row>
    <row r="1190">
      <c r="A1190" s="8">
        <f>B1190&amp;"_"&amp;C1190</f>
        <v/>
      </c>
      <c r="B1190" s="8" t="n"/>
      <c r="C1190" s="8" t="n"/>
      <c r="D1190" s="8" t="n"/>
      <c r="E1190" s="11" t="n"/>
      <c r="F1190" s="11" t="n"/>
      <c r="G1190" s="8" t="n"/>
      <c r="H1190" s="8" t="n"/>
      <c r="I1190" s="8" t="n"/>
      <c r="J1190" s="8" t="n"/>
      <c r="K1190" s="12">
        <f>IF(OR(ISERROR(VLOOKUP(C1190, Resultados_Reales!$A$4:$I$107, 5, FALSE)), ISERROR(VLOOKUP(C1190, Resultados_Reales!$A$4:$I$107, 6, FALSE)), VLOOKUP(C1190, Resultados_Reales!$A$4:$I$107, 5, FALSE)="", VLOOKUP(C1190, Resultados_Reales!$A$4:$I$107, 6, FALSE)=""), 0, IF(AND(VLOOKUP(C1190, Resultados_Reales!$A$4:$I$107, 5, FALSE)=G1190, VLOOKUP(C1190, Resultados_Reales!$A$4:$I$107, 6, FALSE)=H1190), Configuracion!$B$5, IF(SIGN(VLOOKUP(C1190, Resultados_Reales!$A$4:$I$107, 5, FALSE)-VLOOKUP(C1190, Resultados_Reales!$A$4:$I$107, 6, FALSE)) = SIGN(G1190-H1190), Configuracion!$B$4, 0)))</f>
        <v/>
      </c>
      <c r="L1190" s="11" t="n"/>
      <c r="M1190" s="11" t="n"/>
      <c r="N1190" s="11" t="n"/>
      <c r="O1190" s="11" t="n"/>
      <c r="P1190" s="11" t="n"/>
      <c r="Q1190" s="11" t="n"/>
    </row>
    <row r="1191">
      <c r="A1191" s="8">
        <f>B1191&amp;"_"&amp;C1191</f>
        <v/>
      </c>
      <c r="B1191" s="8" t="n"/>
      <c r="C1191" s="8" t="n"/>
      <c r="D1191" s="8" t="n"/>
      <c r="E1191" s="11" t="n"/>
      <c r="F1191" s="11" t="n"/>
      <c r="G1191" s="8" t="n"/>
      <c r="H1191" s="8" t="n"/>
      <c r="I1191" s="8" t="n"/>
      <c r="J1191" s="8" t="n"/>
      <c r="K1191" s="12">
        <f>IF(OR(ISERROR(VLOOKUP(C1191, Resultados_Reales!$A$4:$I$107, 5, FALSE)), ISERROR(VLOOKUP(C1191, Resultados_Reales!$A$4:$I$107, 6, FALSE)), VLOOKUP(C1191, Resultados_Reales!$A$4:$I$107, 5, FALSE)="", VLOOKUP(C1191, Resultados_Reales!$A$4:$I$107, 6, FALSE)=""), 0, IF(AND(VLOOKUP(C1191, Resultados_Reales!$A$4:$I$107, 5, FALSE)=G1191, VLOOKUP(C1191, Resultados_Reales!$A$4:$I$107, 6, FALSE)=H1191), Configuracion!$B$5, IF(SIGN(VLOOKUP(C1191, Resultados_Reales!$A$4:$I$107, 5, FALSE)-VLOOKUP(C1191, Resultados_Reales!$A$4:$I$107, 6, FALSE)) = SIGN(G1191-H1191), Configuracion!$B$4, 0)))</f>
        <v/>
      </c>
      <c r="L1191" s="11" t="n"/>
      <c r="M1191" s="11" t="n"/>
      <c r="N1191" s="11" t="n"/>
      <c r="O1191" s="11" t="n"/>
      <c r="P1191" s="11" t="n"/>
      <c r="Q1191" s="11" t="n"/>
    </row>
    <row r="1192">
      <c r="A1192" s="8">
        <f>B1192&amp;"_"&amp;C1192</f>
        <v/>
      </c>
      <c r="B1192" s="8" t="n"/>
      <c r="C1192" s="8" t="n"/>
      <c r="D1192" s="8" t="n"/>
      <c r="E1192" s="11" t="n"/>
      <c r="F1192" s="11" t="n"/>
      <c r="G1192" s="8" t="n"/>
      <c r="H1192" s="8" t="n"/>
      <c r="I1192" s="8" t="n"/>
      <c r="J1192" s="8" t="n"/>
      <c r="K1192" s="12">
        <f>IF(OR(ISERROR(VLOOKUP(C1192, Resultados_Reales!$A$4:$I$107, 5, FALSE)), ISERROR(VLOOKUP(C1192, Resultados_Reales!$A$4:$I$107, 6, FALSE)), VLOOKUP(C1192, Resultados_Reales!$A$4:$I$107, 5, FALSE)="", VLOOKUP(C1192, Resultados_Reales!$A$4:$I$107, 6, FALSE)=""), 0, IF(AND(VLOOKUP(C1192, Resultados_Reales!$A$4:$I$107, 5, FALSE)=G1192, VLOOKUP(C1192, Resultados_Reales!$A$4:$I$107, 6, FALSE)=H1192), Configuracion!$B$5, IF(SIGN(VLOOKUP(C1192, Resultados_Reales!$A$4:$I$107, 5, FALSE)-VLOOKUP(C1192, Resultados_Reales!$A$4:$I$107, 6, FALSE)) = SIGN(G1192-H1192), Configuracion!$B$4, 0)))</f>
        <v/>
      </c>
      <c r="L1192" s="11" t="n"/>
      <c r="M1192" s="11" t="n"/>
      <c r="N1192" s="11" t="n"/>
      <c r="O1192" s="11" t="n"/>
      <c r="P1192" s="11" t="n"/>
      <c r="Q1192" s="11" t="n"/>
    </row>
    <row r="1193">
      <c r="A1193" s="8">
        <f>B1193&amp;"_"&amp;C1193</f>
        <v/>
      </c>
      <c r="B1193" s="8" t="n"/>
      <c r="C1193" s="8" t="n"/>
      <c r="D1193" s="8" t="n"/>
      <c r="E1193" s="11" t="n"/>
      <c r="F1193" s="11" t="n"/>
      <c r="G1193" s="8" t="n"/>
      <c r="H1193" s="8" t="n"/>
      <c r="I1193" s="8" t="n"/>
      <c r="J1193" s="8" t="n"/>
      <c r="K1193" s="12">
        <f>IF(OR(ISERROR(VLOOKUP(C1193, Resultados_Reales!$A$4:$I$107, 5, FALSE)), ISERROR(VLOOKUP(C1193, Resultados_Reales!$A$4:$I$107, 6, FALSE)), VLOOKUP(C1193, Resultados_Reales!$A$4:$I$107, 5, FALSE)="", VLOOKUP(C1193, Resultados_Reales!$A$4:$I$107, 6, FALSE)=""), 0, IF(AND(VLOOKUP(C1193, Resultados_Reales!$A$4:$I$107, 5, FALSE)=G1193, VLOOKUP(C1193, Resultados_Reales!$A$4:$I$107, 6, FALSE)=H1193), Configuracion!$B$5, IF(SIGN(VLOOKUP(C1193, Resultados_Reales!$A$4:$I$107, 5, FALSE)-VLOOKUP(C1193, Resultados_Reales!$A$4:$I$107, 6, FALSE)) = SIGN(G1193-H1193), Configuracion!$B$4, 0)))</f>
        <v/>
      </c>
      <c r="L1193" s="11" t="n"/>
      <c r="M1193" s="11" t="n"/>
      <c r="N1193" s="11" t="n"/>
      <c r="O1193" s="11" t="n"/>
      <c r="P1193" s="11" t="n"/>
      <c r="Q1193" s="11" t="n"/>
    </row>
    <row r="1194">
      <c r="A1194" s="8">
        <f>B1194&amp;"_"&amp;C1194</f>
        <v/>
      </c>
      <c r="B1194" s="8" t="n"/>
      <c r="C1194" s="8" t="n"/>
      <c r="D1194" s="8" t="n"/>
      <c r="E1194" s="11" t="n"/>
      <c r="F1194" s="11" t="n"/>
      <c r="G1194" s="8" t="n"/>
      <c r="H1194" s="8" t="n"/>
      <c r="I1194" s="8" t="n"/>
      <c r="J1194" s="8" t="n"/>
      <c r="K1194" s="12">
        <f>IF(OR(ISERROR(VLOOKUP(C1194, Resultados_Reales!$A$4:$I$107, 5, FALSE)), ISERROR(VLOOKUP(C1194, Resultados_Reales!$A$4:$I$107, 6, FALSE)), VLOOKUP(C1194, Resultados_Reales!$A$4:$I$107, 5, FALSE)="", VLOOKUP(C1194, Resultados_Reales!$A$4:$I$107, 6, FALSE)=""), 0, IF(AND(VLOOKUP(C1194, Resultados_Reales!$A$4:$I$107, 5, FALSE)=G1194, VLOOKUP(C1194, Resultados_Reales!$A$4:$I$107, 6, FALSE)=H1194), Configuracion!$B$5, IF(SIGN(VLOOKUP(C1194, Resultados_Reales!$A$4:$I$107, 5, FALSE)-VLOOKUP(C1194, Resultados_Reales!$A$4:$I$107, 6, FALSE)) = SIGN(G1194-H1194), Configuracion!$B$4, 0)))</f>
        <v/>
      </c>
      <c r="L1194" s="11" t="n"/>
      <c r="M1194" s="11" t="n"/>
      <c r="N1194" s="11" t="n"/>
      <c r="O1194" s="11" t="n"/>
      <c r="P1194" s="11" t="n"/>
      <c r="Q1194" s="11" t="n"/>
    </row>
    <row r="1195">
      <c r="A1195" s="8">
        <f>B1195&amp;"_"&amp;C1195</f>
        <v/>
      </c>
      <c r="B1195" s="8" t="n"/>
      <c r="C1195" s="8" t="n"/>
      <c r="D1195" s="8" t="n"/>
      <c r="E1195" s="11" t="n"/>
      <c r="F1195" s="11" t="n"/>
      <c r="G1195" s="8" t="n"/>
      <c r="H1195" s="8" t="n"/>
      <c r="I1195" s="8" t="n"/>
      <c r="J1195" s="8" t="n"/>
      <c r="K1195" s="12">
        <f>IF(OR(ISERROR(VLOOKUP(C1195, Resultados_Reales!$A$4:$I$107, 5, FALSE)), ISERROR(VLOOKUP(C1195, Resultados_Reales!$A$4:$I$107, 6, FALSE)), VLOOKUP(C1195, Resultados_Reales!$A$4:$I$107, 5, FALSE)="", VLOOKUP(C1195, Resultados_Reales!$A$4:$I$107, 6, FALSE)=""), 0, IF(AND(VLOOKUP(C1195, Resultados_Reales!$A$4:$I$107, 5, FALSE)=G1195, VLOOKUP(C1195, Resultados_Reales!$A$4:$I$107, 6, FALSE)=H1195), Configuracion!$B$5, IF(SIGN(VLOOKUP(C1195, Resultados_Reales!$A$4:$I$107, 5, FALSE)-VLOOKUP(C1195, Resultados_Reales!$A$4:$I$107, 6, FALSE)) = SIGN(G1195-H1195), Configuracion!$B$4, 0)))</f>
        <v/>
      </c>
      <c r="L1195" s="11" t="n"/>
      <c r="M1195" s="11" t="n"/>
      <c r="N1195" s="11" t="n"/>
      <c r="O1195" s="11" t="n"/>
      <c r="P1195" s="11" t="n"/>
      <c r="Q1195" s="11" t="n"/>
    </row>
    <row r="1196">
      <c r="A1196" s="8">
        <f>B1196&amp;"_"&amp;C1196</f>
        <v/>
      </c>
      <c r="B1196" s="8" t="n"/>
      <c r="C1196" s="8" t="n"/>
      <c r="D1196" s="8" t="n"/>
      <c r="E1196" s="11" t="n"/>
      <c r="F1196" s="11" t="n"/>
      <c r="G1196" s="8" t="n"/>
      <c r="H1196" s="8" t="n"/>
      <c r="I1196" s="8" t="n"/>
      <c r="J1196" s="8" t="n"/>
      <c r="K1196" s="12">
        <f>IF(OR(ISERROR(VLOOKUP(C1196, Resultados_Reales!$A$4:$I$107, 5, FALSE)), ISERROR(VLOOKUP(C1196, Resultados_Reales!$A$4:$I$107, 6, FALSE)), VLOOKUP(C1196, Resultados_Reales!$A$4:$I$107, 5, FALSE)="", VLOOKUP(C1196, Resultados_Reales!$A$4:$I$107, 6, FALSE)=""), 0, IF(AND(VLOOKUP(C1196, Resultados_Reales!$A$4:$I$107, 5, FALSE)=G1196, VLOOKUP(C1196, Resultados_Reales!$A$4:$I$107, 6, FALSE)=H1196), Configuracion!$B$5, IF(SIGN(VLOOKUP(C1196, Resultados_Reales!$A$4:$I$107, 5, FALSE)-VLOOKUP(C1196, Resultados_Reales!$A$4:$I$107, 6, FALSE)) = SIGN(G1196-H1196), Configuracion!$B$4, 0)))</f>
        <v/>
      </c>
      <c r="L1196" s="11" t="n"/>
      <c r="M1196" s="11" t="n"/>
      <c r="N1196" s="11" t="n"/>
      <c r="O1196" s="11" t="n"/>
      <c r="P1196" s="11" t="n"/>
      <c r="Q1196" s="11" t="n"/>
    </row>
    <row r="1197">
      <c r="A1197" s="8">
        <f>B1197&amp;"_"&amp;C1197</f>
        <v/>
      </c>
      <c r="B1197" s="8" t="n"/>
      <c r="C1197" s="8" t="n"/>
      <c r="D1197" s="8" t="n"/>
      <c r="E1197" s="11" t="n"/>
      <c r="F1197" s="11" t="n"/>
      <c r="G1197" s="8" t="n"/>
      <c r="H1197" s="8" t="n"/>
      <c r="I1197" s="8" t="n"/>
      <c r="J1197" s="8" t="n"/>
      <c r="K1197" s="12">
        <f>IF(OR(ISERROR(VLOOKUP(C1197, Resultados_Reales!$A$4:$I$107, 5, FALSE)), ISERROR(VLOOKUP(C1197, Resultados_Reales!$A$4:$I$107, 6, FALSE)), VLOOKUP(C1197, Resultados_Reales!$A$4:$I$107, 5, FALSE)="", VLOOKUP(C1197, Resultados_Reales!$A$4:$I$107, 6, FALSE)=""), 0, IF(AND(VLOOKUP(C1197, Resultados_Reales!$A$4:$I$107, 5, FALSE)=G1197, VLOOKUP(C1197, Resultados_Reales!$A$4:$I$107, 6, FALSE)=H1197), Configuracion!$B$5, IF(SIGN(VLOOKUP(C1197, Resultados_Reales!$A$4:$I$107, 5, FALSE)-VLOOKUP(C1197, Resultados_Reales!$A$4:$I$107, 6, FALSE)) = SIGN(G1197-H1197), Configuracion!$B$4, 0)))</f>
        <v/>
      </c>
      <c r="L1197" s="11" t="n"/>
      <c r="M1197" s="11" t="n"/>
      <c r="N1197" s="11" t="n"/>
      <c r="O1197" s="11" t="n"/>
      <c r="P1197" s="11" t="n"/>
      <c r="Q1197" s="11" t="n"/>
    </row>
    <row r="1198">
      <c r="A1198" s="8">
        <f>B1198&amp;"_"&amp;C1198</f>
        <v/>
      </c>
      <c r="B1198" s="8" t="n"/>
      <c r="C1198" s="8" t="n"/>
      <c r="D1198" s="8" t="n"/>
      <c r="E1198" s="11" t="n"/>
      <c r="F1198" s="11" t="n"/>
      <c r="G1198" s="8" t="n"/>
      <c r="H1198" s="8" t="n"/>
      <c r="I1198" s="8" t="n"/>
      <c r="J1198" s="8" t="n"/>
      <c r="K1198" s="12">
        <f>IF(OR(ISERROR(VLOOKUP(C1198, Resultados_Reales!$A$4:$I$107, 5, FALSE)), ISERROR(VLOOKUP(C1198, Resultados_Reales!$A$4:$I$107, 6, FALSE)), VLOOKUP(C1198, Resultados_Reales!$A$4:$I$107, 5, FALSE)="", VLOOKUP(C1198, Resultados_Reales!$A$4:$I$107, 6, FALSE)=""), 0, IF(AND(VLOOKUP(C1198, Resultados_Reales!$A$4:$I$107, 5, FALSE)=G1198, VLOOKUP(C1198, Resultados_Reales!$A$4:$I$107, 6, FALSE)=H1198), Configuracion!$B$5, IF(SIGN(VLOOKUP(C1198, Resultados_Reales!$A$4:$I$107, 5, FALSE)-VLOOKUP(C1198, Resultados_Reales!$A$4:$I$107, 6, FALSE)) = SIGN(G1198-H1198), Configuracion!$B$4, 0)))</f>
        <v/>
      </c>
      <c r="L1198" s="11" t="n"/>
      <c r="M1198" s="11" t="n"/>
      <c r="N1198" s="11" t="n"/>
      <c r="O1198" s="11" t="n"/>
      <c r="P1198" s="11" t="n"/>
      <c r="Q1198" s="11" t="n"/>
    </row>
    <row r="1199">
      <c r="A1199" s="8">
        <f>B1199&amp;"_"&amp;C1199</f>
        <v/>
      </c>
      <c r="B1199" s="8" t="n"/>
      <c r="C1199" s="8" t="n"/>
      <c r="D1199" s="8" t="n"/>
      <c r="E1199" s="11" t="n"/>
      <c r="F1199" s="11" t="n"/>
      <c r="G1199" s="8" t="n"/>
      <c r="H1199" s="8" t="n"/>
      <c r="I1199" s="8" t="n"/>
      <c r="J1199" s="8" t="n"/>
      <c r="K1199" s="12">
        <f>IF(OR(ISERROR(VLOOKUP(C1199, Resultados_Reales!$A$4:$I$107, 5, FALSE)), ISERROR(VLOOKUP(C1199, Resultados_Reales!$A$4:$I$107, 6, FALSE)), VLOOKUP(C1199, Resultados_Reales!$A$4:$I$107, 5, FALSE)="", VLOOKUP(C1199, Resultados_Reales!$A$4:$I$107, 6, FALSE)=""), 0, IF(AND(VLOOKUP(C1199, Resultados_Reales!$A$4:$I$107, 5, FALSE)=G1199, VLOOKUP(C1199, Resultados_Reales!$A$4:$I$107, 6, FALSE)=H1199), Configuracion!$B$5, IF(SIGN(VLOOKUP(C1199, Resultados_Reales!$A$4:$I$107, 5, FALSE)-VLOOKUP(C1199, Resultados_Reales!$A$4:$I$107, 6, FALSE)) = SIGN(G1199-H1199), Configuracion!$B$4, 0)))</f>
        <v/>
      </c>
      <c r="L1199" s="11" t="n"/>
      <c r="M1199" s="11" t="n"/>
      <c r="N1199" s="11" t="n"/>
      <c r="O1199" s="11" t="n"/>
      <c r="P1199" s="11" t="n"/>
      <c r="Q1199" s="11" t="n"/>
    </row>
    <row r="1200">
      <c r="A1200" s="8">
        <f>B1200&amp;"_"&amp;C1200</f>
        <v/>
      </c>
      <c r="B1200" s="8" t="n"/>
      <c r="C1200" s="8" t="n"/>
      <c r="D1200" s="8" t="n"/>
      <c r="E1200" s="11" t="n"/>
      <c r="F1200" s="11" t="n"/>
      <c r="G1200" s="8" t="n"/>
      <c r="H1200" s="8" t="n"/>
      <c r="I1200" s="8" t="n"/>
      <c r="J1200" s="8" t="n"/>
      <c r="K1200" s="12">
        <f>IF(OR(ISERROR(VLOOKUP(C1200, Resultados_Reales!$A$4:$I$107, 5, FALSE)), ISERROR(VLOOKUP(C1200, Resultados_Reales!$A$4:$I$107, 6, FALSE)), VLOOKUP(C1200, Resultados_Reales!$A$4:$I$107, 5, FALSE)="", VLOOKUP(C1200, Resultados_Reales!$A$4:$I$107, 6, FALSE)=""), 0, IF(AND(VLOOKUP(C1200, Resultados_Reales!$A$4:$I$107, 5, FALSE)=G1200, VLOOKUP(C1200, Resultados_Reales!$A$4:$I$107, 6, FALSE)=H1200), Configuracion!$B$5, IF(SIGN(VLOOKUP(C1200, Resultados_Reales!$A$4:$I$107, 5, FALSE)-VLOOKUP(C1200, Resultados_Reales!$A$4:$I$107, 6, FALSE)) = SIGN(G1200-H1200), Configuracion!$B$4, 0)))</f>
        <v/>
      </c>
      <c r="L1200" s="11" t="n"/>
      <c r="M1200" s="11" t="n"/>
      <c r="N1200" s="11" t="n"/>
      <c r="O1200" s="11" t="n"/>
      <c r="P1200" s="11" t="n"/>
      <c r="Q1200" s="11" t="n"/>
    </row>
    <row r="1201">
      <c r="A1201" s="8">
        <f>B1201&amp;"_"&amp;C1201</f>
        <v/>
      </c>
      <c r="B1201" s="8" t="n"/>
      <c r="C1201" s="8" t="n"/>
      <c r="D1201" s="8" t="n"/>
      <c r="E1201" s="11" t="n"/>
      <c r="F1201" s="11" t="n"/>
      <c r="G1201" s="8" t="n"/>
      <c r="H1201" s="8" t="n"/>
      <c r="I1201" s="8" t="n"/>
      <c r="J1201" s="8" t="n"/>
      <c r="K1201" s="12">
        <f>IF(OR(ISERROR(VLOOKUP(C1201, Resultados_Reales!$A$4:$I$107, 5, FALSE)), ISERROR(VLOOKUP(C1201, Resultados_Reales!$A$4:$I$107, 6, FALSE)), VLOOKUP(C1201, Resultados_Reales!$A$4:$I$107, 5, FALSE)="", VLOOKUP(C1201, Resultados_Reales!$A$4:$I$107, 6, FALSE)=""), 0, IF(AND(VLOOKUP(C1201, Resultados_Reales!$A$4:$I$107, 5, FALSE)=G1201, VLOOKUP(C1201, Resultados_Reales!$A$4:$I$107, 6, FALSE)=H1201), Configuracion!$B$5, IF(SIGN(VLOOKUP(C1201, Resultados_Reales!$A$4:$I$107, 5, FALSE)-VLOOKUP(C1201, Resultados_Reales!$A$4:$I$107, 6, FALSE)) = SIGN(G1201-H1201), Configuracion!$B$4, 0)))</f>
        <v/>
      </c>
      <c r="L1201" s="11" t="n"/>
      <c r="M1201" s="11" t="n"/>
      <c r="N1201" s="11" t="n"/>
      <c r="O1201" s="11" t="n"/>
      <c r="P1201" s="11" t="n"/>
      <c r="Q1201" s="11" t="n"/>
    </row>
    <row r="1202">
      <c r="A1202" s="8">
        <f>B1202&amp;"_"&amp;C1202</f>
        <v/>
      </c>
      <c r="B1202" s="8" t="n"/>
      <c r="C1202" s="8" t="n"/>
      <c r="D1202" s="8" t="n"/>
      <c r="E1202" s="11" t="n"/>
      <c r="F1202" s="11" t="n"/>
      <c r="G1202" s="8" t="n"/>
      <c r="H1202" s="8" t="n"/>
      <c r="I1202" s="8" t="n"/>
      <c r="J1202" s="8" t="n"/>
      <c r="K1202" s="12">
        <f>IF(OR(ISERROR(VLOOKUP(C1202, Resultados_Reales!$A$4:$I$107, 5, FALSE)), ISERROR(VLOOKUP(C1202, Resultados_Reales!$A$4:$I$107, 6, FALSE)), VLOOKUP(C1202, Resultados_Reales!$A$4:$I$107, 5, FALSE)="", VLOOKUP(C1202, Resultados_Reales!$A$4:$I$107, 6, FALSE)=""), 0, IF(AND(VLOOKUP(C1202, Resultados_Reales!$A$4:$I$107, 5, FALSE)=G1202, VLOOKUP(C1202, Resultados_Reales!$A$4:$I$107, 6, FALSE)=H1202), Configuracion!$B$5, IF(SIGN(VLOOKUP(C1202, Resultados_Reales!$A$4:$I$107, 5, FALSE)-VLOOKUP(C1202, Resultados_Reales!$A$4:$I$107, 6, FALSE)) = SIGN(G1202-H1202), Configuracion!$B$4, 0)))</f>
        <v/>
      </c>
      <c r="L1202" s="11" t="n"/>
      <c r="M1202" s="11" t="n"/>
      <c r="N1202" s="11" t="n"/>
      <c r="O1202" s="11" t="n"/>
      <c r="P1202" s="11" t="n"/>
      <c r="Q1202" s="11" t="n"/>
    </row>
    <row r="1203">
      <c r="A1203" s="8">
        <f>B1203&amp;"_"&amp;C1203</f>
        <v/>
      </c>
      <c r="B1203" s="8" t="n"/>
      <c r="C1203" s="8" t="n"/>
      <c r="D1203" s="8" t="n"/>
      <c r="E1203" s="11" t="n"/>
      <c r="F1203" s="11" t="n"/>
      <c r="G1203" s="8" t="n"/>
      <c r="H1203" s="8" t="n"/>
      <c r="I1203" s="8" t="n"/>
      <c r="J1203" s="8" t="n"/>
      <c r="K1203" s="12">
        <f>IF(OR(ISERROR(VLOOKUP(C1203, Resultados_Reales!$A$4:$I$107, 5, FALSE)), ISERROR(VLOOKUP(C1203, Resultados_Reales!$A$4:$I$107, 6, FALSE)), VLOOKUP(C1203, Resultados_Reales!$A$4:$I$107, 5, FALSE)="", VLOOKUP(C1203, Resultados_Reales!$A$4:$I$107, 6, FALSE)=""), 0, IF(AND(VLOOKUP(C1203, Resultados_Reales!$A$4:$I$107, 5, FALSE)=G1203, VLOOKUP(C1203, Resultados_Reales!$A$4:$I$107, 6, FALSE)=H1203), Configuracion!$B$5, IF(SIGN(VLOOKUP(C1203, Resultados_Reales!$A$4:$I$107, 5, FALSE)-VLOOKUP(C1203, Resultados_Reales!$A$4:$I$107, 6, FALSE)) = SIGN(G1203-H1203), Configuracion!$B$4, 0)))</f>
        <v/>
      </c>
      <c r="L1203" s="11" t="n"/>
      <c r="M1203" s="11" t="n"/>
      <c r="N1203" s="11" t="n"/>
      <c r="O1203" s="11" t="n"/>
      <c r="P1203" s="11" t="n"/>
      <c r="Q1203" s="11" t="n"/>
    </row>
    <row r="1204">
      <c r="A1204" s="8">
        <f>B1204&amp;"_"&amp;C1204</f>
        <v/>
      </c>
      <c r="B1204" s="8" t="n"/>
      <c r="C1204" s="8" t="n"/>
      <c r="D1204" s="8" t="n"/>
      <c r="E1204" s="11" t="n"/>
      <c r="F1204" s="11" t="n"/>
      <c r="G1204" s="8" t="n"/>
      <c r="H1204" s="8" t="n"/>
      <c r="I1204" s="8" t="n"/>
      <c r="J1204" s="8" t="n"/>
      <c r="K1204" s="12">
        <f>IF(OR(ISERROR(VLOOKUP(C1204, Resultados_Reales!$A$4:$I$107, 5, FALSE)), ISERROR(VLOOKUP(C1204, Resultados_Reales!$A$4:$I$107, 6, FALSE)), VLOOKUP(C1204, Resultados_Reales!$A$4:$I$107, 5, FALSE)="", VLOOKUP(C1204, Resultados_Reales!$A$4:$I$107, 6, FALSE)=""), 0, IF(AND(VLOOKUP(C1204, Resultados_Reales!$A$4:$I$107, 5, FALSE)=G1204, VLOOKUP(C1204, Resultados_Reales!$A$4:$I$107, 6, FALSE)=H1204), Configuracion!$B$5, IF(SIGN(VLOOKUP(C1204, Resultados_Reales!$A$4:$I$107, 5, FALSE)-VLOOKUP(C1204, Resultados_Reales!$A$4:$I$107, 6, FALSE)) = SIGN(G1204-H1204), Configuracion!$B$4, 0)))</f>
        <v/>
      </c>
      <c r="L1204" s="11" t="n"/>
      <c r="M1204" s="11" t="n"/>
      <c r="N1204" s="11" t="n"/>
      <c r="O1204" s="11" t="n"/>
      <c r="P1204" s="11" t="n"/>
      <c r="Q1204" s="11" t="n"/>
    </row>
    <row r="1205">
      <c r="A1205" s="8">
        <f>B1205&amp;"_"&amp;C1205</f>
        <v/>
      </c>
      <c r="B1205" s="8" t="n"/>
      <c r="C1205" s="8" t="n"/>
      <c r="D1205" s="8" t="n"/>
      <c r="E1205" s="11" t="n"/>
      <c r="F1205" s="11" t="n"/>
      <c r="G1205" s="8" t="n"/>
      <c r="H1205" s="8" t="n"/>
      <c r="I1205" s="8" t="n"/>
      <c r="J1205" s="8" t="n"/>
      <c r="K1205" s="12">
        <f>IF(OR(ISERROR(VLOOKUP(C1205, Resultados_Reales!$A$4:$I$107, 5, FALSE)), ISERROR(VLOOKUP(C1205, Resultados_Reales!$A$4:$I$107, 6, FALSE)), VLOOKUP(C1205, Resultados_Reales!$A$4:$I$107, 5, FALSE)="", VLOOKUP(C1205, Resultados_Reales!$A$4:$I$107, 6, FALSE)=""), 0, IF(AND(VLOOKUP(C1205, Resultados_Reales!$A$4:$I$107, 5, FALSE)=G1205, VLOOKUP(C1205, Resultados_Reales!$A$4:$I$107, 6, FALSE)=H1205), Configuracion!$B$5, IF(SIGN(VLOOKUP(C1205, Resultados_Reales!$A$4:$I$107, 5, FALSE)-VLOOKUP(C1205, Resultados_Reales!$A$4:$I$107, 6, FALSE)) = SIGN(G1205-H1205), Configuracion!$B$4, 0)))</f>
        <v/>
      </c>
      <c r="L1205" s="11" t="n"/>
      <c r="M1205" s="11" t="n"/>
      <c r="N1205" s="11" t="n"/>
      <c r="O1205" s="11" t="n"/>
      <c r="P1205" s="11" t="n"/>
      <c r="Q1205" s="11" t="n"/>
    </row>
    <row r="1206">
      <c r="A1206" s="8">
        <f>B1206&amp;"_"&amp;C1206</f>
        <v/>
      </c>
      <c r="B1206" s="8" t="n"/>
      <c r="C1206" s="8" t="n"/>
      <c r="D1206" s="8" t="n"/>
      <c r="E1206" s="11" t="n"/>
      <c r="F1206" s="11" t="n"/>
      <c r="G1206" s="8" t="n"/>
      <c r="H1206" s="8" t="n"/>
      <c r="I1206" s="8" t="n"/>
      <c r="J1206" s="8" t="n"/>
      <c r="K1206" s="12">
        <f>IF(OR(ISERROR(VLOOKUP(C1206, Resultados_Reales!$A$4:$I$107, 5, FALSE)), ISERROR(VLOOKUP(C1206, Resultados_Reales!$A$4:$I$107, 6, FALSE)), VLOOKUP(C1206, Resultados_Reales!$A$4:$I$107, 5, FALSE)="", VLOOKUP(C1206, Resultados_Reales!$A$4:$I$107, 6, FALSE)=""), 0, IF(AND(VLOOKUP(C1206, Resultados_Reales!$A$4:$I$107, 5, FALSE)=G1206, VLOOKUP(C1206, Resultados_Reales!$A$4:$I$107, 6, FALSE)=H1206), Configuracion!$B$5, IF(SIGN(VLOOKUP(C1206, Resultados_Reales!$A$4:$I$107, 5, FALSE)-VLOOKUP(C1206, Resultados_Reales!$A$4:$I$107, 6, FALSE)) = SIGN(G1206-H1206), Configuracion!$B$4, 0)))</f>
        <v/>
      </c>
      <c r="L1206" s="11" t="n"/>
      <c r="M1206" s="11" t="n"/>
      <c r="N1206" s="11" t="n"/>
      <c r="O1206" s="11" t="n"/>
      <c r="P1206" s="11" t="n"/>
      <c r="Q1206" s="11" t="n"/>
    </row>
    <row r="1207">
      <c r="A1207" s="8">
        <f>B1207&amp;"_"&amp;C1207</f>
        <v/>
      </c>
      <c r="B1207" s="8" t="n"/>
      <c r="C1207" s="8" t="n"/>
      <c r="D1207" s="8" t="n"/>
      <c r="E1207" s="11" t="n"/>
      <c r="F1207" s="11" t="n"/>
      <c r="G1207" s="8" t="n"/>
      <c r="H1207" s="8" t="n"/>
      <c r="I1207" s="8" t="n"/>
      <c r="J1207" s="8" t="n"/>
      <c r="K1207" s="12">
        <f>IF(OR(ISERROR(VLOOKUP(C1207, Resultados_Reales!$A$4:$I$107, 5, FALSE)), ISERROR(VLOOKUP(C1207, Resultados_Reales!$A$4:$I$107, 6, FALSE)), VLOOKUP(C1207, Resultados_Reales!$A$4:$I$107, 5, FALSE)="", VLOOKUP(C1207, Resultados_Reales!$A$4:$I$107, 6, FALSE)=""), 0, IF(AND(VLOOKUP(C1207, Resultados_Reales!$A$4:$I$107, 5, FALSE)=G1207, VLOOKUP(C1207, Resultados_Reales!$A$4:$I$107, 6, FALSE)=H1207), Configuracion!$B$5, IF(SIGN(VLOOKUP(C1207, Resultados_Reales!$A$4:$I$107, 5, FALSE)-VLOOKUP(C1207, Resultados_Reales!$A$4:$I$107, 6, FALSE)) = SIGN(G1207-H1207), Configuracion!$B$4, 0)))</f>
        <v/>
      </c>
      <c r="L1207" s="11" t="n"/>
      <c r="M1207" s="11" t="n"/>
      <c r="N1207" s="11" t="n"/>
      <c r="O1207" s="11" t="n"/>
      <c r="P1207" s="11" t="n"/>
      <c r="Q1207" s="11" t="n"/>
    </row>
    <row r="1208">
      <c r="A1208" s="8">
        <f>B1208&amp;"_"&amp;C1208</f>
        <v/>
      </c>
      <c r="B1208" s="8" t="n"/>
      <c r="C1208" s="8" t="n"/>
      <c r="D1208" s="8" t="n"/>
      <c r="E1208" s="11" t="n"/>
      <c r="F1208" s="11" t="n"/>
      <c r="G1208" s="8" t="n"/>
      <c r="H1208" s="8" t="n"/>
      <c r="I1208" s="8" t="n"/>
      <c r="J1208" s="8" t="n"/>
      <c r="K1208" s="12">
        <f>IF(OR(ISERROR(VLOOKUP(C1208, Resultados_Reales!$A$4:$I$107, 5, FALSE)), ISERROR(VLOOKUP(C1208, Resultados_Reales!$A$4:$I$107, 6, FALSE)), VLOOKUP(C1208, Resultados_Reales!$A$4:$I$107, 5, FALSE)="", VLOOKUP(C1208, Resultados_Reales!$A$4:$I$107, 6, FALSE)=""), 0, IF(AND(VLOOKUP(C1208, Resultados_Reales!$A$4:$I$107, 5, FALSE)=G1208, VLOOKUP(C1208, Resultados_Reales!$A$4:$I$107, 6, FALSE)=H1208), Configuracion!$B$5, IF(SIGN(VLOOKUP(C1208, Resultados_Reales!$A$4:$I$107, 5, FALSE)-VLOOKUP(C1208, Resultados_Reales!$A$4:$I$107, 6, FALSE)) = SIGN(G1208-H1208), Configuracion!$B$4, 0)))</f>
        <v/>
      </c>
      <c r="L1208" s="11" t="n"/>
      <c r="M1208" s="11" t="n"/>
      <c r="N1208" s="11" t="n"/>
      <c r="O1208" s="11" t="n"/>
      <c r="P1208" s="11" t="n"/>
      <c r="Q1208" s="11" t="n"/>
    </row>
    <row r="1209">
      <c r="A1209" s="8">
        <f>B1209&amp;"_"&amp;C1209</f>
        <v/>
      </c>
      <c r="B1209" s="8" t="n"/>
      <c r="C1209" s="8" t="n"/>
      <c r="D1209" s="8" t="n"/>
      <c r="E1209" s="11" t="n"/>
      <c r="F1209" s="11" t="n"/>
      <c r="G1209" s="8" t="n"/>
      <c r="H1209" s="8" t="n"/>
      <c r="I1209" s="8" t="n"/>
      <c r="J1209" s="8" t="n"/>
      <c r="K1209" s="12">
        <f>IF(OR(ISERROR(VLOOKUP(C1209, Resultados_Reales!$A$4:$I$107, 5, FALSE)), ISERROR(VLOOKUP(C1209, Resultados_Reales!$A$4:$I$107, 6, FALSE)), VLOOKUP(C1209, Resultados_Reales!$A$4:$I$107, 5, FALSE)="", VLOOKUP(C1209, Resultados_Reales!$A$4:$I$107, 6, FALSE)=""), 0, IF(AND(VLOOKUP(C1209, Resultados_Reales!$A$4:$I$107, 5, FALSE)=G1209, VLOOKUP(C1209, Resultados_Reales!$A$4:$I$107, 6, FALSE)=H1209), Configuracion!$B$5, IF(SIGN(VLOOKUP(C1209, Resultados_Reales!$A$4:$I$107, 5, FALSE)-VLOOKUP(C1209, Resultados_Reales!$A$4:$I$107, 6, FALSE)) = SIGN(G1209-H1209), Configuracion!$B$4, 0)))</f>
        <v/>
      </c>
      <c r="L1209" s="11" t="n"/>
      <c r="M1209" s="11" t="n"/>
      <c r="N1209" s="11" t="n"/>
      <c r="O1209" s="11" t="n"/>
      <c r="P1209" s="11" t="n"/>
      <c r="Q1209" s="11" t="n"/>
    </row>
    <row r="1210">
      <c r="A1210" s="8">
        <f>B1210&amp;"_"&amp;C1210</f>
        <v/>
      </c>
      <c r="B1210" s="8" t="n"/>
      <c r="C1210" s="8" t="n"/>
      <c r="D1210" s="8" t="n"/>
      <c r="E1210" s="11" t="n"/>
      <c r="F1210" s="11" t="n"/>
      <c r="G1210" s="8" t="n"/>
      <c r="H1210" s="8" t="n"/>
      <c r="I1210" s="8" t="n"/>
      <c r="J1210" s="8" t="n"/>
      <c r="K1210" s="12">
        <f>IF(OR(ISERROR(VLOOKUP(C1210, Resultados_Reales!$A$4:$I$107, 5, FALSE)), ISERROR(VLOOKUP(C1210, Resultados_Reales!$A$4:$I$107, 6, FALSE)), VLOOKUP(C1210, Resultados_Reales!$A$4:$I$107, 5, FALSE)="", VLOOKUP(C1210, Resultados_Reales!$A$4:$I$107, 6, FALSE)=""), 0, IF(AND(VLOOKUP(C1210, Resultados_Reales!$A$4:$I$107, 5, FALSE)=G1210, VLOOKUP(C1210, Resultados_Reales!$A$4:$I$107, 6, FALSE)=H1210), Configuracion!$B$5, IF(SIGN(VLOOKUP(C1210, Resultados_Reales!$A$4:$I$107, 5, FALSE)-VLOOKUP(C1210, Resultados_Reales!$A$4:$I$107, 6, FALSE)) = SIGN(G1210-H1210), Configuracion!$B$4, 0)))</f>
        <v/>
      </c>
      <c r="L1210" s="11" t="n"/>
      <c r="M1210" s="11" t="n"/>
      <c r="N1210" s="11" t="n"/>
      <c r="O1210" s="11" t="n"/>
      <c r="P1210" s="11" t="n"/>
      <c r="Q1210" s="11" t="n"/>
    </row>
    <row r="1211">
      <c r="A1211" s="8">
        <f>B1211&amp;"_"&amp;C1211</f>
        <v/>
      </c>
      <c r="B1211" s="8" t="n"/>
      <c r="C1211" s="8" t="n"/>
      <c r="D1211" s="8" t="n"/>
      <c r="E1211" s="11" t="n"/>
      <c r="F1211" s="11" t="n"/>
      <c r="G1211" s="8" t="n"/>
      <c r="H1211" s="8" t="n"/>
      <c r="I1211" s="8" t="n"/>
      <c r="J1211" s="8" t="n"/>
      <c r="K1211" s="12">
        <f>IF(OR(ISERROR(VLOOKUP(C1211, Resultados_Reales!$A$4:$I$107, 5, FALSE)), ISERROR(VLOOKUP(C1211, Resultados_Reales!$A$4:$I$107, 6, FALSE)), VLOOKUP(C1211, Resultados_Reales!$A$4:$I$107, 5, FALSE)="", VLOOKUP(C1211, Resultados_Reales!$A$4:$I$107, 6, FALSE)=""), 0, IF(AND(VLOOKUP(C1211, Resultados_Reales!$A$4:$I$107, 5, FALSE)=G1211, VLOOKUP(C1211, Resultados_Reales!$A$4:$I$107, 6, FALSE)=H1211), Configuracion!$B$5, IF(SIGN(VLOOKUP(C1211, Resultados_Reales!$A$4:$I$107, 5, FALSE)-VLOOKUP(C1211, Resultados_Reales!$A$4:$I$107, 6, FALSE)) = SIGN(G1211-H1211), Configuracion!$B$4, 0)))</f>
        <v/>
      </c>
      <c r="L1211" s="11" t="n"/>
      <c r="M1211" s="11" t="n"/>
      <c r="N1211" s="11" t="n"/>
      <c r="O1211" s="11" t="n"/>
      <c r="P1211" s="11" t="n"/>
      <c r="Q1211" s="11" t="n"/>
    </row>
    <row r="1212">
      <c r="A1212" s="8">
        <f>B1212&amp;"_"&amp;C1212</f>
        <v/>
      </c>
      <c r="B1212" s="8" t="n"/>
      <c r="C1212" s="8" t="n"/>
      <c r="D1212" s="8" t="n"/>
      <c r="E1212" s="11" t="n"/>
      <c r="F1212" s="11" t="n"/>
      <c r="G1212" s="8" t="n"/>
      <c r="H1212" s="8" t="n"/>
      <c r="I1212" s="8" t="n"/>
      <c r="J1212" s="8" t="n"/>
      <c r="K1212" s="12">
        <f>IF(OR(ISERROR(VLOOKUP(C1212, Resultados_Reales!$A$4:$I$107, 5, FALSE)), ISERROR(VLOOKUP(C1212, Resultados_Reales!$A$4:$I$107, 6, FALSE)), VLOOKUP(C1212, Resultados_Reales!$A$4:$I$107, 5, FALSE)="", VLOOKUP(C1212, Resultados_Reales!$A$4:$I$107, 6, FALSE)=""), 0, IF(AND(VLOOKUP(C1212, Resultados_Reales!$A$4:$I$107, 5, FALSE)=G1212, VLOOKUP(C1212, Resultados_Reales!$A$4:$I$107, 6, FALSE)=H1212), Configuracion!$B$5, IF(SIGN(VLOOKUP(C1212, Resultados_Reales!$A$4:$I$107, 5, FALSE)-VLOOKUP(C1212, Resultados_Reales!$A$4:$I$107, 6, FALSE)) = SIGN(G1212-H1212), Configuracion!$B$4, 0)))</f>
        <v/>
      </c>
      <c r="L1212" s="11" t="n"/>
      <c r="M1212" s="11" t="n"/>
      <c r="N1212" s="11" t="n"/>
      <c r="O1212" s="11" t="n"/>
      <c r="P1212" s="11" t="n"/>
      <c r="Q1212" s="11" t="n"/>
    </row>
    <row r="1213">
      <c r="A1213" s="8">
        <f>B1213&amp;"_"&amp;C1213</f>
        <v/>
      </c>
      <c r="B1213" s="8" t="n"/>
      <c r="C1213" s="8" t="n"/>
      <c r="D1213" s="8" t="n"/>
      <c r="E1213" s="11" t="n"/>
      <c r="F1213" s="11" t="n"/>
      <c r="G1213" s="8" t="n"/>
      <c r="H1213" s="8" t="n"/>
      <c r="I1213" s="8" t="n"/>
      <c r="J1213" s="8" t="n"/>
      <c r="K1213" s="12">
        <f>IF(OR(ISERROR(VLOOKUP(C1213, Resultados_Reales!$A$4:$I$107, 5, FALSE)), ISERROR(VLOOKUP(C1213, Resultados_Reales!$A$4:$I$107, 6, FALSE)), VLOOKUP(C1213, Resultados_Reales!$A$4:$I$107, 5, FALSE)="", VLOOKUP(C1213, Resultados_Reales!$A$4:$I$107, 6, FALSE)=""), 0, IF(AND(VLOOKUP(C1213, Resultados_Reales!$A$4:$I$107, 5, FALSE)=G1213, VLOOKUP(C1213, Resultados_Reales!$A$4:$I$107, 6, FALSE)=H1213), Configuracion!$B$5, IF(SIGN(VLOOKUP(C1213, Resultados_Reales!$A$4:$I$107, 5, FALSE)-VLOOKUP(C1213, Resultados_Reales!$A$4:$I$107, 6, FALSE)) = SIGN(G1213-H1213), Configuracion!$B$4, 0)))</f>
        <v/>
      </c>
      <c r="L1213" s="11" t="n"/>
      <c r="M1213" s="11" t="n"/>
      <c r="N1213" s="11" t="n"/>
      <c r="O1213" s="11" t="n"/>
      <c r="P1213" s="11" t="n"/>
      <c r="Q1213" s="11" t="n"/>
    </row>
    <row r="1214">
      <c r="A1214" s="8">
        <f>B1214&amp;"_"&amp;C1214</f>
        <v/>
      </c>
      <c r="B1214" s="8" t="n"/>
      <c r="C1214" s="8" t="n"/>
      <c r="D1214" s="8" t="n"/>
      <c r="E1214" s="11" t="n"/>
      <c r="F1214" s="11" t="n"/>
      <c r="G1214" s="8" t="n"/>
      <c r="H1214" s="8" t="n"/>
      <c r="I1214" s="8" t="n"/>
      <c r="J1214" s="8" t="n"/>
      <c r="K1214" s="12">
        <f>IF(OR(ISERROR(VLOOKUP(C1214, Resultados_Reales!$A$4:$I$107, 5, FALSE)), ISERROR(VLOOKUP(C1214, Resultados_Reales!$A$4:$I$107, 6, FALSE)), VLOOKUP(C1214, Resultados_Reales!$A$4:$I$107, 5, FALSE)="", VLOOKUP(C1214, Resultados_Reales!$A$4:$I$107, 6, FALSE)=""), 0, IF(AND(VLOOKUP(C1214, Resultados_Reales!$A$4:$I$107, 5, FALSE)=G1214, VLOOKUP(C1214, Resultados_Reales!$A$4:$I$107, 6, FALSE)=H1214), Configuracion!$B$5, IF(SIGN(VLOOKUP(C1214, Resultados_Reales!$A$4:$I$107, 5, FALSE)-VLOOKUP(C1214, Resultados_Reales!$A$4:$I$107, 6, FALSE)) = SIGN(G1214-H1214), Configuracion!$B$4, 0)))</f>
        <v/>
      </c>
      <c r="L1214" s="11" t="n"/>
      <c r="M1214" s="11" t="n"/>
      <c r="N1214" s="11" t="n"/>
      <c r="O1214" s="11" t="n"/>
      <c r="P1214" s="11" t="n"/>
      <c r="Q1214" s="11" t="n"/>
    </row>
    <row r="1215">
      <c r="A1215" s="8">
        <f>B1215&amp;"_"&amp;C1215</f>
        <v/>
      </c>
      <c r="B1215" s="8" t="n"/>
      <c r="C1215" s="8" t="n"/>
      <c r="D1215" s="8" t="n"/>
      <c r="E1215" s="11" t="n"/>
      <c r="F1215" s="11" t="n"/>
      <c r="G1215" s="8" t="n"/>
      <c r="H1215" s="8" t="n"/>
      <c r="I1215" s="8" t="n"/>
      <c r="J1215" s="8" t="n"/>
      <c r="K1215" s="12">
        <f>IF(OR(ISERROR(VLOOKUP(C1215, Resultados_Reales!$A$4:$I$107, 5, FALSE)), ISERROR(VLOOKUP(C1215, Resultados_Reales!$A$4:$I$107, 6, FALSE)), VLOOKUP(C1215, Resultados_Reales!$A$4:$I$107, 5, FALSE)="", VLOOKUP(C1215, Resultados_Reales!$A$4:$I$107, 6, FALSE)=""), 0, IF(AND(VLOOKUP(C1215, Resultados_Reales!$A$4:$I$107, 5, FALSE)=G1215, VLOOKUP(C1215, Resultados_Reales!$A$4:$I$107, 6, FALSE)=H1215), Configuracion!$B$5, IF(SIGN(VLOOKUP(C1215, Resultados_Reales!$A$4:$I$107, 5, FALSE)-VLOOKUP(C1215, Resultados_Reales!$A$4:$I$107, 6, FALSE)) = SIGN(G1215-H1215), Configuracion!$B$4, 0)))</f>
        <v/>
      </c>
      <c r="L1215" s="11" t="n"/>
      <c r="M1215" s="11" t="n"/>
      <c r="N1215" s="11" t="n"/>
      <c r="O1215" s="11" t="n"/>
      <c r="P1215" s="11" t="n"/>
      <c r="Q1215" s="11" t="n"/>
    </row>
    <row r="1216">
      <c r="A1216" s="8">
        <f>B1216&amp;"_"&amp;C1216</f>
        <v/>
      </c>
      <c r="B1216" s="8" t="n"/>
      <c r="C1216" s="8" t="n"/>
      <c r="D1216" s="8" t="n"/>
      <c r="E1216" s="11" t="n"/>
      <c r="F1216" s="11" t="n"/>
      <c r="G1216" s="8" t="n"/>
      <c r="H1216" s="8" t="n"/>
      <c r="I1216" s="8" t="n"/>
      <c r="J1216" s="8" t="n"/>
      <c r="K1216" s="12">
        <f>IF(OR(ISERROR(VLOOKUP(C1216, Resultados_Reales!$A$4:$I$107, 5, FALSE)), ISERROR(VLOOKUP(C1216, Resultados_Reales!$A$4:$I$107, 6, FALSE)), VLOOKUP(C1216, Resultados_Reales!$A$4:$I$107, 5, FALSE)="", VLOOKUP(C1216, Resultados_Reales!$A$4:$I$107, 6, FALSE)=""), 0, IF(AND(VLOOKUP(C1216, Resultados_Reales!$A$4:$I$107, 5, FALSE)=G1216, VLOOKUP(C1216, Resultados_Reales!$A$4:$I$107, 6, FALSE)=H1216), Configuracion!$B$5, IF(SIGN(VLOOKUP(C1216, Resultados_Reales!$A$4:$I$107, 5, FALSE)-VLOOKUP(C1216, Resultados_Reales!$A$4:$I$107, 6, FALSE)) = SIGN(G1216-H1216), Configuracion!$B$4, 0)))</f>
        <v/>
      </c>
      <c r="L1216" s="11" t="n"/>
      <c r="M1216" s="11" t="n"/>
      <c r="N1216" s="11" t="n"/>
      <c r="O1216" s="11" t="n"/>
      <c r="P1216" s="11" t="n"/>
      <c r="Q1216" s="11" t="n"/>
    </row>
    <row r="1217">
      <c r="A1217" s="8">
        <f>B1217&amp;"_"&amp;C1217</f>
        <v/>
      </c>
      <c r="B1217" s="8" t="n"/>
      <c r="C1217" s="8" t="n"/>
      <c r="D1217" s="8" t="n"/>
      <c r="E1217" s="11" t="n"/>
      <c r="F1217" s="11" t="n"/>
      <c r="G1217" s="8" t="n"/>
      <c r="H1217" s="8" t="n"/>
      <c r="I1217" s="8" t="n"/>
      <c r="J1217" s="8" t="n"/>
      <c r="K1217" s="12">
        <f>IF(OR(ISERROR(VLOOKUP(C1217, Resultados_Reales!$A$4:$I$107, 5, FALSE)), ISERROR(VLOOKUP(C1217, Resultados_Reales!$A$4:$I$107, 6, FALSE)), VLOOKUP(C1217, Resultados_Reales!$A$4:$I$107, 5, FALSE)="", VLOOKUP(C1217, Resultados_Reales!$A$4:$I$107, 6, FALSE)=""), 0, IF(AND(VLOOKUP(C1217, Resultados_Reales!$A$4:$I$107, 5, FALSE)=G1217, VLOOKUP(C1217, Resultados_Reales!$A$4:$I$107, 6, FALSE)=H1217), Configuracion!$B$5, IF(SIGN(VLOOKUP(C1217, Resultados_Reales!$A$4:$I$107, 5, FALSE)-VLOOKUP(C1217, Resultados_Reales!$A$4:$I$107, 6, FALSE)) = SIGN(G1217-H1217), Configuracion!$B$4, 0)))</f>
        <v/>
      </c>
      <c r="L1217" s="11" t="n"/>
      <c r="M1217" s="11" t="n"/>
      <c r="N1217" s="11" t="n"/>
      <c r="O1217" s="11" t="n"/>
      <c r="P1217" s="11" t="n"/>
      <c r="Q1217" s="11" t="n"/>
    </row>
    <row r="1218">
      <c r="A1218" s="8">
        <f>B1218&amp;"_"&amp;C1218</f>
        <v/>
      </c>
      <c r="B1218" s="8" t="n"/>
      <c r="C1218" s="8" t="n"/>
      <c r="D1218" s="8" t="n"/>
      <c r="E1218" s="11" t="n"/>
      <c r="F1218" s="11" t="n"/>
      <c r="G1218" s="8" t="n"/>
      <c r="H1218" s="8" t="n"/>
      <c r="I1218" s="8" t="n"/>
      <c r="J1218" s="8" t="n"/>
      <c r="K1218" s="12">
        <f>IF(OR(ISERROR(VLOOKUP(C1218, Resultados_Reales!$A$4:$I$107, 5, FALSE)), ISERROR(VLOOKUP(C1218, Resultados_Reales!$A$4:$I$107, 6, FALSE)), VLOOKUP(C1218, Resultados_Reales!$A$4:$I$107, 5, FALSE)="", VLOOKUP(C1218, Resultados_Reales!$A$4:$I$107, 6, FALSE)=""), 0, IF(AND(VLOOKUP(C1218, Resultados_Reales!$A$4:$I$107, 5, FALSE)=G1218, VLOOKUP(C1218, Resultados_Reales!$A$4:$I$107, 6, FALSE)=H1218), Configuracion!$B$5, IF(SIGN(VLOOKUP(C1218, Resultados_Reales!$A$4:$I$107, 5, FALSE)-VLOOKUP(C1218, Resultados_Reales!$A$4:$I$107, 6, FALSE)) = SIGN(G1218-H1218), Configuracion!$B$4, 0)))</f>
        <v/>
      </c>
      <c r="L1218" s="11" t="n"/>
      <c r="M1218" s="11" t="n"/>
      <c r="N1218" s="11" t="n"/>
      <c r="O1218" s="11" t="n"/>
      <c r="P1218" s="11" t="n"/>
      <c r="Q1218" s="11" t="n"/>
    </row>
    <row r="1219">
      <c r="A1219" s="8">
        <f>B1219&amp;"_"&amp;C1219</f>
        <v/>
      </c>
      <c r="B1219" s="8" t="n"/>
      <c r="C1219" s="8" t="n"/>
      <c r="D1219" s="8" t="n"/>
      <c r="E1219" s="11" t="n"/>
      <c r="F1219" s="11" t="n"/>
      <c r="G1219" s="8" t="n"/>
      <c r="H1219" s="8" t="n"/>
      <c r="I1219" s="8" t="n"/>
      <c r="J1219" s="8" t="n"/>
      <c r="K1219" s="12">
        <f>IF(OR(ISERROR(VLOOKUP(C1219, Resultados_Reales!$A$4:$I$107, 5, FALSE)), ISERROR(VLOOKUP(C1219, Resultados_Reales!$A$4:$I$107, 6, FALSE)), VLOOKUP(C1219, Resultados_Reales!$A$4:$I$107, 5, FALSE)="", VLOOKUP(C1219, Resultados_Reales!$A$4:$I$107, 6, FALSE)=""), 0, IF(AND(VLOOKUP(C1219, Resultados_Reales!$A$4:$I$107, 5, FALSE)=G1219, VLOOKUP(C1219, Resultados_Reales!$A$4:$I$107, 6, FALSE)=H1219), Configuracion!$B$5, IF(SIGN(VLOOKUP(C1219, Resultados_Reales!$A$4:$I$107, 5, FALSE)-VLOOKUP(C1219, Resultados_Reales!$A$4:$I$107, 6, FALSE)) = SIGN(G1219-H1219), Configuracion!$B$4, 0)))</f>
        <v/>
      </c>
      <c r="L1219" s="11" t="n"/>
      <c r="M1219" s="11" t="n"/>
      <c r="N1219" s="11" t="n"/>
      <c r="O1219" s="11" t="n"/>
      <c r="P1219" s="11" t="n"/>
      <c r="Q1219" s="11" t="n"/>
    </row>
    <row r="1220">
      <c r="A1220" s="8">
        <f>B1220&amp;"_"&amp;C1220</f>
        <v/>
      </c>
      <c r="B1220" s="8" t="n"/>
      <c r="C1220" s="8" t="n"/>
      <c r="D1220" s="8" t="n"/>
      <c r="E1220" s="11" t="n"/>
      <c r="F1220" s="11" t="n"/>
      <c r="G1220" s="8" t="n"/>
      <c r="H1220" s="8" t="n"/>
      <c r="I1220" s="8" t="n"/>
      <c r="J1220" s="8" t="n"/>
      <c r="K1220" s="12">
        <f>IF(OR(ISERROR(VLOOKUP(C1220, Resultados_Reales!$A$4:$I$107, 5, FALSE)), ISERROR(VLOOKUP(C1220, Resultados_Reales!$A$4:$I$107, 6, FALSE)), VLOOKUP(C1220, Resultados_Reales!$A$4:$I$107, 5, FALSE)="", VLOOKUP(C1220, Resultados_Reales!$A$4:$I$107, 6, FALSE)=""), 0, IF(AND(VLOOKUP(C1220, Resultados_Reales!$A$4:$I$107, 5, FALSE)=G1220, VLOOKUP(C1220, Resultados_Reales!$A$4:$I$107, 6, FALSE)=H1220), Configuracion!$B$5, IF(SIGN(VLOOKUP(C1220, Resultados_Reales!$A$4:$I$107, 5, FALSE)-VLOOKUP(C1220, Resultados_Reales!$A$4:$I$107, 6, FALSE)) = SIGN(G1220-H1220), Configuracion!$B$4, 0)))</f>
        <v/>
      </c>
      <c r="L1220" s="11" t="n"/>
      <c r="M1220" s="11" t="n"/>
      <c r="N1220" s="11" t="n"/>
      <c r="O1220" s="11" t="n"/>
      <c r="P1220" s="11" t="n"/>
      <c r="Q1220" s="11" t="n"/>
    </row>
    <row r="1221">
      <c r="A1221" s="8">
        <f>B1221&amp;"_"&amp;C1221</f>
        <v/>
      </c>
      <c r="B1221" s="8" t="n"/>
      <c r="C1221" s="8" t="n"/>
      <c r="D1221" s="8" t="n"/>
      <c r="E1221" s="11" t="n"/>
      <c r="F1221" s="11" t="n"/>
      <c r="G1221" s="8" t="n"/>
      <c r="H1221" s="8" t="n"/>
      <c r="I1221" s="8" t="n"/>
      <c r="J1221" s="8" t="n"/>
      <c r="K1221" s="12">
        <f>IF(OR(ISERROR(VLOOKUP(C1221, Resultados_Reales!$A$4:$I$107, 5, FALSE)), ISERROR(VLOOKUP(C1221, Resultados_Reales!$A$4:$I$107, 6, FALSE)), VLOOKUP(C1221, Resultados_Reales!$A$4:$I$107, 5, FALSE)="", VLOOKUP(C1221, Resultados_Reales!$A$4:$I$107, 6, FALSE)=""), 0, IF(AND(VLOOKUP(C1221, Resultados_Reales!$A$4:$I$107, 5, FALSE)=G1221, VLOOKUP(C1221, Resultados_Reales!$A$4:$I$107, 6, FALSE)=H1221), Configuracion!$B$5, IF(SIGN(VLOOKUP(C1221, Resultados_Reales!$A$4:$I$107, 5, FALSE)-VLOOKUP(C1221, Resultados_Reales!$A$4:$I$107, 6, FALSE)) = SIGN(G1221-H1221), Configuracion!$B$4, 0)))</f>
        <v/>
      </c>
      <c r="L1221" s="11" t="n"/>
      <c r="M1221" s="11" t="n"/>
      <c r="N1221" s="11" t="n"/>
      <c r="O1221" s="11" t="n"/>
      <c r="P1221" s="11" t="n"/>
      <c r="Q1221" s="11" t="n"/>
    </row>
    <row r="1222">
      <c r="A1222" s="8">
        <f>B1222&amp;"_"&amp;C1222</f>
        <v/>
      </c>
      <c r="B1222" s="8" t="n"/>
      <c r="C1222" s="8" t="n"/>
      <c r="D1222" s="8" t="n"/>
      <c r="E1222" s="11" t="n"/>
      <c r="F1222" s="11" t="n"/>
      <c r="G1222" s="8" t="n"/>
      <c r="H1222" s="8" t="n"/>
      <c r="I1222" s="8" t="n"/>
      <c r="J1222" s="8" t="n"/>
      <c r="K1222" s="12">
        <f>IF(OR(ISERROR(VLOOKUP(C1222, Resultados_Reales!$A$4:$I$107, 5, FALSE)), ISERROR(VLOOKUP(C1222, Resultados_Reales!$A$4:$I$107, 6, FALSE)), VLOOKUP(C1222, Resultados_Reales!$A$4:$I$107, 5, FALSE)="", VLOOKUP(C1222, Resultados_Reales!$A$4:$I$107, 6, FALSE)=""), 0, IF(AND(VLOOKUP(C1222, Resultados_Reales!$A$4:$I$107, 5, FALSE)=G1222, VLOOKUP(C1222, Resultados_Reales!$A$4:$I$107, 6, FALSE)=H1222), Configuracion!$B$5, IF(SIGN(VLOOKUP(C1222, Resultados_Reales!$A$4:$I$107, 5, FALSE)-VLOOKUP(C1222, Resultados_Reales!$A$4:$I$107, 6, FALSE)) = SIGN(G1222-H1222), Configuracion!$B$4, 0)))</f>
        <v/>
      </c>
      <c r="L1222" s="11" t="n"/>
      <c r="M1222" s="11" t="n"/>
      <c r="N1222" s="11" t="n"/>
      <c r="O1222" s="11" t="n"/>
      <c r="P1222" s="11" t="n"/>
      <c r="Q1222" s="11" t="n"/>
    </row>
    <row r="1223">
      <c r="A1223" s="8">
        <f>B1223&amp;"_"&amp;C1223</f>
        <v/>
      </c>
      <c r="B1223" s="8" t="n"/>
      <c r="C1223" s="8" t="n"/>
      <c r="D1223" s="8" t="n"/>
      <c r="E1223" s="11" t="n"/>
      <c r="F1223" s="11" t="n"/>
      <c r="G1223" s="8" t="n"/>
      <c r="H1223" s="8" t="n"/>
      <c r="I1223" s="8" t="n"/>
      <c r="J1223" s="8" t="n"/>
      <c r="K1223" s="12">
        <f>IF(OR(ISERROR(VLOOKUP(C1223, Resultados_Reales!$A$4:$I$107, 5, FALSE)), ISERROR(VLOOKUP(C1223, Resultados_Reales!$A$4:$I$107, 6, FALSE)), VLOOKUP(C1223, Resultados_Reales!$A$4:$I$107, 5, FALSE)="", VLOOKUP(C1223, Resultados_Reales!$A$4:$I$107, 6, FALSE)=""), 0, IF(AND(VLOOKUP(C1223, Resultados_Reales!$A$4:$I$107, 5, FALSE)=G1223, VLOOKUP(C1223, Resultados_Reales!$A$4:$I$107, 6, FALSE)=H1223), Configuracion!$B$5, IF(SIGN(VLOOKUP(C1223, Resultados_Reales!$A$4:$I$107, 5, FALSE)-VLOOKUP(C1223, Resultados_Reales!$A$4:$I$107, 6, FALSE)) = SIGN(G1223-H1223), Configuracion!$B$4, 0)))</f>
        <v/>
      </c>
      <c r="L1223" s="11" t="n"/>
      <c r="M1223" s="11" t="n"/>
      <c r="N1223" s="11" t="n"/>
      <c r="O1223" s="11" t="n"/>
      <c r="P1223" s="11" t="n"/>
      <c r="Q1223" s="11" t="n"/>
    </row>
    <row r="1224">
      <c r="A1224" s="8">
        <f>B1224&amp;"_"&amp;C1224</f>
        <v/>
      </c>
      <c r="B1224" s="8" t="n"/>
      <c r="C1224" s="8" t="n"/>
      <c r="D1224" s="8" t="n"/>
      <c r="E1224" s="11" t="n"/>
      <c r="F1224" s="11" t="n"/>
      <c r="G1224" s="8" t="n"/>
      <c r="H1224" s="8" t="n"/>
      <c r="I1224" s="8" t="n"/>
      <c r="J1224" s="8" t="n"/>
      <c r="K1224" s="12">
        <f>IF(OR(ISERROR(VLOOKUP(C1224, Resultados_Reales!$A$4:$I$107, 5, FALSE)), ISERROR(VLOOKUP(C1224, Resultados_Reales!$A$4:$I$107, 6, FALSE)), VLOOKUP(C1224, Resultados_Reales!$A$4:$I$107, 5, FALSE)="", VLOOKUP(C1224, Resultados_Reales!$A$4:$I$107, 6, FALSE)=""), 0, IF(AND(VLOOKUP(C1224, Resultados_Reales!$A$4:$I$107, 5, FALSE)=G1224, VLOOKUP(C1224, Resultados_Reales!$A$4:$I$107, 6, FALSE)=H1224), Configuracion!$B$5, IF(SIGN(VLOOKUP(C1224, Resultados_Reales!$A$4:$I$107, 5, FALSE)-VLOOKUP(C1224, Resultados_Reales!$A$4:$I$107, 6, FALSE)) = SIGN(G1224-H1224), Configuracion!$B$4, 0)))</f>
        <v/>
      </c>
      <c r="L1224" s="11" t="n"/>
      <c r="M1224" s="11" t="n"/>
      <c r="N1224" s="11" t="n"/>
      <c r="O1224" s="11" t="n"/>
      <c r="P1224" s="11" t="n"/>
      <c r="Q1224" s="11" t="n"/>
    </row>
    <row r="1225">
      <c r="A1225" s="8">
        <f>B1225&amp;"_"&amp;C1225</f>
        <v/>
      </c>
      <c r="B1225" s="8" t="n"/>
      <c r="C1225" s="8" t="n"/>
      <c r="D1225" s="8" t="n"/>
      <c r="E1225" s="11" t="n"/>
      <c r="F1225" s="11" t="n"/>
      <c r="G1225" s="8" t="n"/>
      <c r="H1225" s="8" t="n"/>
      <c r="I1225" s="8" t="n"/>
      <c r="J1225" s="8" t="n"/>
      <c r="K1225" s="12">
        <f>IF(OR(ISERROR(VLOOKUP(C1225, Resultados_Reales!$A$4:$I$107, 5, FALSE)), ISERROR(VLOOKUP(C1225, Resultados_Reales!$A$4:$I$107, 6, FALSE)), VLOOKUP(C1225, Resultados_Reales!$A$4:$I$107, 5, FALSE)="", VLOOKUP(C1225, Resultados_Reales!$A$4:$I$107, 6, FALSE)=""), 0, IF(AND(VLOOKUP(C1225, Resultados_Reales!$A$4:$I$107, 5, FALSE)=G1225, VLOOKUP(C1225, Resultados_Reales!$A$4:$I$107, 6, FALSE)=H1225), Configuracion!$B$5, IF(SIGN(VLOOKUP(C1225, Resultados_Reales!$A$4:$I$107, 5, FALSE)-VLOOKUP(C1225, Resultados_Reales!$A$4:$I$107, 6, FALSE)) = SIGN(G1225-H1225), Configuracion!$B$4, 0)))</f>
        <v/>
      </c>
      <c r="L1225" s="11" t="n"/>
      <c r="M1225" s="11" t="n"/>
      <c r="N1225" s="11" t="n"/>
      <c r="O1225" s="11" t="n"/>
      <c r="P1225" s="11" t="n"/>
      <c r="Q1225" s="11" t="n"/>
    </row>
    <row r="1226">
      <c r="A1226" s="8">
        <f>B1226&amp;"_"&amp;C1226</f>
        <v/>
      </c>
      <c r="B1226" s="8" t="n"/>
      <c r="C1226" s="8" t="n"/>
      <c r="D1226" s="8" t="n"/>
      <c r="E1226" s="11" t="n"/>
      <c r="F1226" s="11" t="n"/>
      <c r="G1226" s="8" t="n"/>
      <c r="H1226" s="8" t="n"/>
      <c r="I1226" s="8" t="n"/>
      <c r="J1226" s="8" t="n"/>
      <c r="K1226" s="12">
        <f>IF(OR(ISERROR(VLOOKUP(C1226, Resultados_Reales!$A$4:$I$107, 5, FALSE)), ISERROR(VLOOKUP(C1226, Resultados_Reales!$A$4:$I$107, 6, FALSE)), VLOOKUP(C1226, Resultados_Reales!$A$4:$I$107, 5, FALSE)="", VLOOKUP(C1226, Resultados_Reales!$A$4:$I$107, 6, FALSE)=""), 0, IF(AND(VLOOKUP(C1226, Resultados_Reales!$A$4:$I$107, 5, FALSE)=G1226, VLOOKUP(C1226, Resultados_Reales!$A$4:$I$107, 6, FALSE)=H1226), Configuracion!$B$5, IF(SIGN(VLOOKUP(C1226, Resultados_Reales!$A$4:$I$107, 5, FALSE)-VLOOKUP(C1226, Resultados_Reales!$A$4:$I$107, 6, FALSE)) = SIGN(G1226-H1226), Configuracion!$B$4, 0)))</f>
        <v/>
      </c>
      <c r="L1226" s="11" t="n"/>
      <c r="M1226" s="11" t="n"/>
      <c r="N1226" s="11" t="n"/>
      <c r="O1226" s="11" t="n"/>
      <c r="P1226" s="11" t="n"/>
      <c r="Q1226" s="11" t="n"/>
    </row>
    <row r="1227">
      <c r="A1227" s="8">
        <f>B1227&amp;"_"&amp;C1227</f>
        <v/>
      </c>
      <c r="B1227" s="8" t="n"/>
      <c r="C1227" s="8" t="n"/>
      <c r="D1227" s="8" t="n"/>
      <c r="E1227" s="11" t="n"/>
      <c r="F1227" s="11" t="n"/>
      <c r="G1227" s="8" t="n"/>
      <c r="H1227" s="8" t="n"/>
      <c r="I1227" s="8" t="n"/>
      <c r="J1227" s="8" t="n"/>
      <c r="K1227" s="12">
        <f>IF(OR(ISERROR(VLOOKUP(C1227, Resultados_Reales!$A$4:$I$107, 5, FALSE)), ISERROR(VLOOKUP(C1227, Resultados_Reales!$A$4:$I$107, 6, FALSE)), VLOOKUP(C1227, Resultados_Reales!$A$4:$I$107, 5, FALSE)="", VLOOKUP(C1227, Resultados_Reales!$A$4:$I$107, 6, FALSE)=""), 0, IF(AND(VLOOKUP(C1227, Resultados_Reales!$A$4:$I$107, 5, FALSE)=G1227, VLOOKUP(C1227, Resultados_Reales!$A$4:$I$107, 6, FALSE)=H1227), Configuracion!$B$5, IF(SIGN(VLOOKUP(C1227, Resultados_Reales!$A$4:$I$107, 5, FALSE)-VLOOKUP(C1227, Resultados_Reales!$A$4:$I$107, 6, FALSE)) = SIGN(G1227-H1227), Configuracion!$B$4, 0)))</f>
        <v/>
      </c>
      <c r="L1227" s="11" t="n"/>
      <c r="M1227" s="11" t="n"/>
      <c r="N1227" s="11" t="n"/>
      <c r="O1227" s="11" t="n"/>
      <c r="P1227" s="11" t="n"/>
      <c r="Q1227" s="11" t="n"/>
    </row>
    <row r="1228">
      <c r="A1228" s="8">
        <f>B1228&amp;"_"&amp;C1228</f>
        <v/>
      </c>
      <c r="B1228" s="8" t="n"/>
      <c r="C1228" s="8" t="n"/>
      <c r="D1228" s="8" t="n"/>
      <c r="E1228" s="11" t="n"/>
      <c r="F1228" s="11" t="n"/>
      <c r="G1228" s="8" t="n"/>
      <c r="H1228" s="8" t="n"/>
      <c r="I1228" s="8" t="n"/>
      <c r="J1228" s="8" t="n"/>
      <c r="K1228" s="12">
        <f>IF(OR(ISERROR(VLOOKUP(C1228, Resultados_Reales!$A$4:$I$107, 5, FALSE)), ISERROR(VLOOKUP(C1228, Resultados_Reales!$A$4:$I$107, 6, FALSE)), VLOOKUP(C1228, Resultados_Reales!$A$4:$I$107, 5, FALSE)="", VLOOKUP(C1228, Resultados_Reales!$A$4:$I$107, 6, FALSE)=""), 0, IF(AND(VLOOKUP(C1228, Resultados_Reales!$A$4:$I$107, 5, FALSE)=G1228, VLOOKUP(C1228, Resultados_Reales!$A$4:$I$107, 6, FALSE)=H1228), Configuracion!$B$5, IF(SIGN(VLOOKUP(C1228, Resultados_Reales!$A$4:$I$107, 5, FALSE)-VLOOKUP(C1228, Resultados_Reales!$A$4:$I$107, 6, FALSE)) = SIGN(G1228-H1228), Configuracion!$B$4, 0)))</f>
        <v/>
      </c>
      <c r="L1228" s="11" t="n"/>
      <c r="M1228" s="11" t="n"/>
      <c r="N1228" s="11" t="n"/>
      <c r="O1228" s="11" t="n"/>
      <c r="P1228" s="11" t="n"/>
      <c r="Q1228" s="11" t="n"/>
    </row>
    <row r="1229">
      <c r="A1229" s="8">
        <f>B1229&amp;"_"&amp;C1229</f>
        <v/>
      </c>
      <c r="B1229" s="8" t="n"/>
      <c r="C1229" s="8" t="n"/>
      <c r="D1229" s="8" t="n"/>
      <c r="E1229" s="11" t="n"/>
      <c r="F1229" s="11" t="n"/>
      <c r="G1229" s="8" t="n"/>
      <c r="H1229" s="8" t="n"/>
      <c r="I1229" s="8" t="n"/>
      <c r="J1229" s="8" t="n"/>
      <c r="K1229" s="12">
        <f>IF(OR(ISERROR(VLOOKUP(C1229, Resultados_Reales!$A$4:$I$107, 5, FALSE)), ISERROR(VLOOKUP(C1229, Resultados_Reales!$A$4:$I$107, 6, FALSE)), VLOOKUP(C1229, Resultados_Reales!$A$4:$I$107, 5, FALSE)="", VLOOKUP(C1229, Resultados_Reales!$A$4:$I$107, 6, FALSE)=""), 0, IF(AND(VLOOKUP(C1229, Resultados_Reales!$A$4:$I$107, 5, FALSE)=G1229, VLOOKUP(C1229, Resultados_Reales!$A$4:$I$107, 6, FALSE)=H1229), Configuracion!$B$5, IF(SIGN(VLOOKUP(C1229, Resultados_Reales!$A$4:$I$107, 5, FALSE)-VLOOKUP(C1229, Resultados_Reales!$A$4:$I$107, 6, FALSE)) = SIGN(G1229-H1229), Configuracion!$B$4, 0)))</f>
        <v/>
      </c>
      <c r="L1229" s="11" t="n"/>
      <c r="M1229" s="11" t="n"/>
      <c r="N1229" s="11" t="n"/>
      <c r="O1229" s="11" t="n"/>
      <c r="P1229" s="11" t="n"/>
      <c r="Q1229" s="11" t="n"/>
    </row>
    <row r="1230">
      <c r="A1230" s="8">
        <f>B1230&amp;"_"&amp;C1230</f>
        <v/>
      </c>
      <c r="B1230" s="8" t="n"/>
      <c r="C1230" s="8" t="n"/>
      <c r="D1230" s="8" t="n"/>
      <c r="E1230" s="11" t="n"/>
      <c r="F1230" s="11" t="n"/>
      <c r="G1230" s="8" t="n"/>
      <c r="H1230" s="8" t="n"/>
      <c r="I1230" s="8" t="n"/>
      <c r="J1230" s="8" t="n"/>
      <c r="K1230" s="12">
        <f>IF(OR(ISERROR(VLOOKUP(C1230, Resultados_Reales!$A$4:$I$107, 5, FALSE)), ISERROR(VLOOKUP(C1230, Resultados_Reales!$A$4:$I$107, 6, FALSE)), VLOOKUP(C1230, Resultados_Reales!$A$4:$I$107, 5, FALSE)="", VLOOKUP(C1230, Resultados_Reales!$A$4:$I$107, 6, FALSE)=""), 0, IF(AND(VLOOKUP(C1230, Resultados_Reales!$A$4:$I$107, 5, FALSE)=G1230, VLOOKUP(C1230, Resultados_Reales!$A$4:$I$107, 6, FALSE)=H1230), Configuracion!$B$5, IF(SIGN(VLOOKUP(C1230, Resultados_Reales!$A$4:$I$107, 5, FALSE)-VLOOKUP(C1230, Resultados_Reales!$A$4:$I$107, 6, FALSE)) = SIGN(G1230-H1230), Configuracion!$B$4, 0)))</f>
        <v/>
      </c>
      <c r="L1230" s="11" t="n"/>
      <c r="M1230" s="11" t="n"/>
      <c r="N1230" s="11" t="n"/>
      <c r="O1230" s="11" t="n"/>
      <c r="P1230" s="11" t="n"/>
      <c r="Q1230" s="11" t="n"/>
    </row>
    <row r="1231">
      <c r="A1231" s="8">
        <f>B1231&amp;"_"&amp;C1231</f>
        <v/>
      </c>
      <c r="B1231" s="8" t="n"/>
      <c r="C1231" s="8" t="n"/>
      <c r="D1231" s="8" t="n"/>
      <c r="E1231" s="11" t="n"/>
      <c r="F1231" s="11" t="n"/>
      <c r="G1231" s="8" t="n"/>
      <c r="H1231" s="8" t="n"/>
      <c r="I1231" s="8" t="n"/>
      <c r="J1231" s="8" t="n"/>
      <c r="K1231" s="12">
        <f>IF(OR(ISERROR(VLOOKUP(C1231, Resultados_Reales!$A$4:$I$107, 5, FALSE)), ISERROR(VLOOKUP(C1231, Resultados_Reales!$A$4:$I$107, 6, FALSE)), VLOOKUP(C1231, Resultados_Reales!$A$4:$I$107, 5, FALSE)="", VLOOKUP(C1231, Resultados_Reales!$A$4:$I$107, 6, FALSE)=""), 0, IF(AND(VLOOKUP(C1231, Resultados_Reales!$A$4:$I$107, 5, FALSE)=G1231, VLOOKUP(C1231, Resultados_Reales!$A$4:$I$107, 6, FALSE)=H1231), Configuracion!$B$5, IF(SIGN(VLOOKUP(C1231, Resultados_Reales!$A$4:$I$107, 5, FALSE)-VLOOKUP(C1231, Resultados_Reales!$A$4:$I$107, 6, FALSE)) = SIGN(G1231-H1231), Configuracion!$B$4, 0)))</f>
        <v/>
      </c>
      <c r="L1231" s="11" t="n"/>
      <c r="M1231" s="11" t="n"/>
      <c r="N1231" s="11" t="n"/>
      <c r="O1231" s="11" t="n"/>
      <c r="P1231" s="11" t="n"/>
      <c r="Q1231" s="11" t="n"/>
    </row>
    <row r="1232">
      <c r="A1232" s="8">
        <f>B1232&amp;"_"&amp;C1232</f>
        <v/>
      </c>
      <c r="B1232" s="8" t="n"/>
      <c r="C1232" s="8" t="n"/>
      <c r="D1232" s="8" t="n"/>
      <c r="E1232" s="11" t="n"/>
      <c r="F1232" s="11" t="n"/>
      <c r="G1232" s="8" t="n"/>
      <c r="H1232" s="8" t="n"/>
      <c r="I1232" s="8" t="n"/>
      <c r="J1232" s="8" t="n"/>
      <c r="K1232" s="12">
        <f>IF(OR(ISERROR(VLOOKUP(C1232, Resultados_Reales!$A$4:$I$107, 5, FALSE)), ISERROR(VLOOKUP(C1232, Resultados_Reales!$A$4:$I$107, 6, FALSE)), VLOOKUP(C1232, Resultados_Reales!$A$4:$I$107, 5, FALSE)="", VLOOKUP(C1232, Resultados_Reales!$A$4:$I$107, 6, FALSE)=""), 0, IF(AND(VLOOKUP(C1232, Resultados_Reales!$A$4:$I$107, 5, FALSE)=G1232, VLOOKUP(C1232, Resultados_Reales!$A$4:$I$107, 6, FALSE)=H1232), Configuracion!$B$5, IF(SIGN(VLOOKUP(C1232, Resultados_Reales!$A$4:$I$107, 5, FALSE)-VLOOKUP(C1232, Resultados_Reales!$A$4:$I$107, 6, FALSE)) = SIGN(G1232-H1232), Configuracion!$B$4, 0)))</f>
        <v/>
      </c>
      <c r="L1232" s="11" t="n"/>
      <c r="M1232" s="11" t="n"/>
      <c r="N1232" s="11" t="n"/>
      <c r="O1232" s="11" t="n"/>
      <c r="P1232" s="11" t="n"/>
      <c r="Q1232" s="11" t="n"/>
    </row>
    <row r="1233">
      <c r="A1233" s="8">
        <f>B1233&amp;"_"&amp;C1233</f>
        <v/>
      </c>
      <c r="B1233" s="8" t="n"/>
      <c r="C1233" s="8" t="n"/>
      <c r="D1233" s="8" t="n"/>
      <c r="E1233" s="11" t="n"/>
      <c r="F1233" s="11" t="n"/>
      <c r="G1233" s="8" t="n"/>
      <c r="H1233" s="8" t="n"/>
      <c r="I1233" s="8" t="n"/>
      <c r="J1233" s="8" t="n"/>
      <c r="K1233" s="12">
        <f>IF(OR(ISERROR(VLOOKUP(C1233, Resultados_Reales!$A$4:$I$107, 5, FALSE)), ISERROR(VLOOKUP(C1233, Resultados_Reales!$A$4:$I$107, 6, FALSE)), VLOOKUP(C1233, Resultados_Reales!$A$4:$I$107, 5, FALSE)="", VLOOKUP(C1233, Resultados_Reales!$A$4:$I$107, 6, FALSE)=""), 0, IF(AND(VLOOKUP(C1233, Resultados_Reales!$A$4:$I$107, 5, FALSE)=G1233, VLOOKUP(C1233, Resultados_Reales!$A$4:$I$107, 6, FALSE)=H1233), Configuracion!$B$5, IF(SIGN(VLOOKUP(C1233, Resultados_Reales!$A$4:$I$107, 5, FALSE)-VLOOKUP(C1233, Resultados_Reales!$A$4:$I$107, 6, FALSE)) = SIGN(G1233-H1233), Configuracion!$B$4, 0)))</f>
        <v/>
      </c>
      <c r="L1233" s="11" t="n"/>
      <c r="M1233" s="11" t="n"/>
      <c r="N1233" s="11" t="n"/>
      <c r="O1233" s="11" t="n"/>
      <c r="P1233" s="11" t="n"/>
      <c r="Q1233" s="11" t="n"/>
    </row>
    <row r="1234">
      <c r="A1234" s="8">
        <f>B1234&amp;"_"&amp;C1234</f>
        <v/>
      </c>
      <c r="B1234" s="8" t="n"/>
      <c r="C1234" s="8" t="n"/>
      <c r="D1234" s="8" t="n"/>
      <c r="E1234" s="11" t="n"/>
      <c r="F1234" s="11" t="n"/>
      <c r="G1234" s="8" t="n"/>
      <c r="H1234" s="8" t="n"/>
      <c r="I1234" s="8" t="n"/>
      <c r="J1234" s="8" t="n"/>
      <c r="K1234" s="12">
        <f>IF(OR(ISERROR(VLOOKUP(C1234, Resultados_Reales!$A$4:$I$107, 5, FALSE)), ISERROR(VLOOKUP(C1234, Resultados_Reales!$A$4:$I$107, 6, FALSE)), VLOOKUP(C1234, Resultados_Reales!$A$4:$I$107, 5, FALSE)="", VLOOKUP(C1234, Resultados_Reales!$A$4:$I$107, 6, FALSE)=""), 0, IF(AND(VLOOKUP(C1234, Resultados_Reales!$A$4:$I$107, 5, FALSE)=G1234, VLOOKUP(C1234, Resultados_Reales!$A$4:$I$107, 6, FALSE)=H1234), Configuracion!$B$5, IF(SIGN(VLOOKUP(C1234, Resultados_Reales!$A$4:$I$107, 5, FALSE)-VLOOKUP(C1234, Resultados_Reales!$A$4:$I$107, 6, FALSE)) = SIGN(G1234-H1234), Configuracion!$B$4, 0)))</f>
        <v/>
      </c>
      <c r="L1234" s="11" t="n"/>
      <c r="M1234" s="11" t="n"/>
      <c r="N1234" s="11" t="n"/>
      <c r="O1234" s="11" t="n"/>
      <c r="P1234" s="11" t="n"/>
      <c r="Q1234" s="11" t="n"/>
    </row>
    <row r="1235">
      <c r="A1235" s="8">
        <f>B1235&amp;"_"&amp;C1235</f>
        <v/>
      </c>
      <c r="B1235" s="8" t="n"/>
      <c r="C1235" s="8" t="n"/>
      <c r="D1235" s="8" t="n"/>
      <c r="E1235" s="11" t="n"/>
      <c r="F1235" s="11" t="n"/>
      <c r="G1235" s="8" t="n"/>
      <c r="H1235" s="8" t="n"/>
      <c r="I1235" s="8" t="n"/>
      <c r="J1235" s="8" t="n"/>
      <c r="K1235" s="12">
        <f>IF(OR(ISERROR(VLOOKUP(C1235, Resultados_Reales!$A$4:$I$107, 5, FALSE)), ISERROR(VLOOKUP(C1235, Resultados_Reales!$A$4:$I$107, 6, FALSE)), VLOOKUP(C1235, Resultados_Reales!$A$4:$I$107, 5, FALSE)="", VLOOKUP(C1235, Resultados_Reales!$A$4:$I$107, 6, FALSE)=""), 0, IF(AND(VLOOKUP(C1235, Resultados_Reales!$A$4:$I$107, 5, FALSE)=G1235, VLOOKUP(C1235, Resultados_Reales!$A$4:$I$107, 6, FALSE)=H1235), Configuracion!$B$5, IF(SIGN(VLOOKUP(C1235, Resultados_Reales!$A$4:$I$107, 5, FALSE)-VLOOKUP(C1235, Resultados_Reales!$A$4:$I$107, 6, FALSE)) = SIGN(G1235-H1235), Configuracion!$B$4, 0)))</f>
        <v/>
      </c>
      <c r="L1235" s="11" t="n"/>
      <c r="M1235" s="11" t="n"/>
      <c r="N1235" s="11" t="n"/>
      <c r="O1235" s="11" t="n"/>
      <c r="P1235" s="11" t="n"/>
      <c r="Q1235" s="11" t="n"/>
    </row>
    <row r="1236">
      <c r="A1236" s="8">
        <f>B1236&amp;"_"&amp;C1236</f>
        <v/>
      </c>
      <c r="B1236" s="8" t="n"/>
      <c r="C1236" s="8" t="n"/>
      <c r="D1236" s="8" t="n"/>
      <c r="E1236" s="11" t="n"/>
      <c r="F1236" s="11" t="n"/>
      <c r="G1236" s="8" t="n"/>
      <c r="H1236" s="8" t="n"/>
      <c r="I1236" s="8" t="n"/>
      <c r="J1236" s="8" t="n"/>
      <c r="K1236" s="12">
        <f>IF(OR(ISERROR(VLOOKUP(C1236, Resultados_Reales!$A$4:$I$107, 5, FALSE)), ISERROR(VLOOKUP(C1236, Resultados_Reales!$A$4:$I$107, 6, FALSE)), VLOOKUP(C1236, Resultados_Reales!$A$4:$I$107, 5, FALSE)="", VLOOKUP(C1236, Resultados_Reales!$A$4:$I$107, 6, FALSE)=""), 0, IF(AND(VLOOKUP(C1236, Resultados_Reales!$A$4:$I$107, 5, FALSE)=G1236, VLOOKUP(C1236, Resultados_Reales!$A$4:$I$107, 6, FALSE)=H1236), Configuracion!$B$5, IF(SIGN(VLOOKUP(C1236, Resultados_Reales!$A$4:$I$107, 5, FALSE)-VLOOKUP(C1236, Resultados_Reales!$A$4:$I$107, 6, FALSE)) = SIGN(G1236-H1236), Configuracion!$B$4, 0)))</f>
        <v/>
      </c>
      <c r="L1236" s="11" t="n"/>
      <c r="M1236" s="11" t="n"/>
      <c r="N1236" s="11" t="n"/>
      <c r="O1236" s="11" t="n"/>
      <c r="P1236" s="11" t="n"/>
      <c r="Q1236" s="11" t="n"/>
    </row>
    <row r="1237">
      <c r="A1237" s="8">
        <f>B1237&amp;"_"&amp;C1237</f>
        <v/>
      </c>
      <c r="B1237" s="8" t="n"/>
      <c r="C1237" s="8" t="n"/>
      <c r="D1237" s="8" t="n"/>
      <c r="E1237" s="11" t="n"/>
      <c r="F1237" s="11" t="n"/>
      <c r="G1237" s="8" t="n"/>
      <c r="H1237" s="8" t="n"/>
      <c r="I1237" s="8" t="n"/>
      <c r="J1237" s="8" t="n"/>
      <c r="K1237" s="12">
        <f>IF(OR(ISERROR(VLOOKUP(C1237, Resultados_Reales!$A$4:$I$107, 5, FALSE)), ISERROR(VLOOKUP(C1237, Resultados_Reales!$A$4:$I$107, 6, FALSE)), VLOOKUP(C1237, Resultados_Reales!$A$4:$I$107, 5, FALSE)="", VLOOKUP(C1237, Resultados_Reales!$A$4:$I$107, 6, FALSE)=""), 0, IF(AND(VLOOKUP(C1237, Resultados_Reales!$A$4:$I$107, 5, FALSE)=G1237, VLOOKUP(C1237, Resultados_Reales!$A$4:$I$107, 6, FALSE)=H1237), Configuracion!$B$5, IF(SIGN(VLOOKUP(C1237, Resultados_Reales!$A$4:$I$107, 5, FALSE)-VLOOKUP(C1237, Resultados_Reales!$A$4:$I$107, 6, FALSE)) = SIGN(G1237-H1237), Configuracion!$B$4, 0)))</f>
        <v/>
      </c>
      <c r="L1237" s="11" t="n"/>
      <c r="M1237" s="11" t="n"/>
      <c r="N1237" s="11" t="n"/>
      <c r="O1237" s="11" t="n"/>
      <c r="P1237" s="11" t="n"/>
      <c r="Q1237" s="11" t="n"/>
    </row>
    <row r="1238">
      <c r="A1238" s="8">
        <f>B1238&amp;"_"&amp;C1238</f>
        <v/>
      </c>
      <c r="B1238" s="8" t="n"/>
      <c r="C1238" s="8" t="n"/>
      <c r="D1238" s="8" t="n"/>
      <c r="E1238" s="11" t="n"/>
      <c r="F1238" s="11" t="n"/>
      <c r="G1238" s="8" t="n"/>
      <c r="H1238" s="8" t="n"/>
      <c r="I1238" s="8" t="n"/>
      <c r="J1238" s="8" t="n"/>
      <c r="K1238" s="12">
        <f>IF(OR(ISERROR(VLOOKUP(C1238, Resultados_Reales!$A$4:$I$107, 5, FALSE)), ISERROR(VLOOKUP(C1238, Resultados_Reales!$A$4:$I$107, 6, FALSE)), VLOOKUP(C1238, Resultados_Reales!$A$4:$I$107, 5, FALSE)="", VLOOKUP(C1238, Resultados_Reales!$A$4:$I$107, 6, FALSE)=""), 0, IF(AND(VLOOKUP(C1238, Resultados_Reales!$A$4:$I$107, 5, FALSE)=G1238, VLOOKUP(C1238, Resultados_Reales!$A$4:$I$107, 6, FALSE)=H1238), Configuracion!$B$5, IF(SIGN(VLOOKUP(C1238, Resultados_Reales!$A$4:$I$107, 5, FALSE)-VLOOKUP(C1238, Resultados_Reales!$A$4:$I$107, 6, FALSE)) = SIGN(G1238-H1238), Configuracion!$B$4, 0)))</f>
        <v/>
      </c>
      <c r="L1238" s="11" t="n"/>
      <c r="M1238" s="11" t="n"/>
      <c r="N1238" s="11" t="n"/>
      <c r="O1238" s="11" t="n"/>
      <c r="P1238" s="11" t="n"/>
      <c r="Q1238" s="11" t="n"/>
    </row>
    <row r="1239">
      <c r="A1239" s="8">
        <f>B1239&amp;"_"&amp;C1239</f>
        <v/>
      </c>
      <c r="B1239" s="8" t="n"/>
      <c r="C1239" s="8" t="n"/>
      <c r="D1239" s="8" t="n"/>
      <c r="E1239" s="11" t="n"/>
      <c r="F1239" s="11" t="n"/>
      <c r="G1239" s="8" t="n"/>
      <c r="H1239" s="8" t="n"/>
      <c r="I1239" s="8" t="n"/>
      <c r="J1239" s="8" t="n"/>
      <c r="K1239" s="12">
        <f>IF(OR(ISERROR(VLOOKUP(C1239, Resultados_Reales!$A$4:$I$107, 5, FALSE)), ISERROR(VLOOKUP(C1239, Resultados_Reales!$A$4:$I$107, 6, FALSE)), VLOOKUP(C1239, Resultados_Reales!$A$4:$I$107, 5, FALSE)="", VLOOKUP(C1239, Resultados_Reales!$A$4:$I$107, 6, FALSE)=""), 0, IF(AND(VLOOKUP(C1239, Resultados_Reales!$A$4:$I$107, 5, FALSE)=G1239, VLOOKUP(C1239, Resultados_Reales!$A$4:$I$107, 6, FALSE)=H1239), Configuracion!$B$5, IF(SIGN(VLOOKUP(C1239, Resultados_Reales!$A$4:$I$107, 5, FALSE)-VLOOKUP(C1239, Resultados_Reales!$A$4:$I$107, 6, FALSE)) = SIGN(G1239-H1239), Configuracion!$B$4, 0)))</f>
        <v/>
      </c>
      <c r="L1239" s="11" t="n"/>
      <c r="M1239" s="11" t="n"/>
      <c r="N1239" s="11" t="n"/>
      <c r="O1239" s="11" t="n"/>
      <c r="P1239" s="11" t="n"/>
      <c r="Q1239" s="11" t="n"/>
    </row>
    <row r="1240">
      <c r="A1240" s="8">
        <f>B1240&amp;"_"&amp;C1240</f>
        <v/>
      </c>
      <c r="B1240" s="8" t="n"/>
      <c r="C1240" s="8" t="n"/>
      <c r="D1240" s="8" t="n"/>
      <c r="E1240" s="11" t="n"/>
      <c r="F1240" s="11" t="n"/>
      <c r="G1240" s="8" t="n"/>
      <c r="H1240" s="8" t="n"/>
      <c r="I1240" s="8" t="n"/>
      <c r="J1240" s="8" t="n"/>
      <c r="K1240" s="12">
        <f>IF(OR(ISERROR(VLOOKUP(C1240, Resultados_Reales!$A$4:$I$107, 5, FALSE)), ISERROR(VLOOKUP(C1240, Resultados_Reales!$A$4:$I$107, 6, FALSE)), VLOOKUP(C1240, Resultados_Reales!$A$4:$I$107, 5, FALSE)="", VLOOKUP(C1240, Resultados_Reales!$A$4:$I$107, 6, FALSE)=""), 0, IF(AND(VLOOKUP(C1240, Resultados_Reales!$A$4:$I$107, 5, FALSE)=G1240, VLOOKUP(C1240, Resultados_Reales!$A$4:$I$107, 6, FALSE)=H1240), Configuracion!$B$5, IF(SIGN(VLOOKUP(C1240, Resultados_Reales!$A$4:$I$107, 5, FALSE)-VLOOKUP(C1240, Resultados_Reales!$A$4:$I$107, 6, FALSE)) = SIGN(G1240-H1240), Configuracion!$B$4, 0)))</f>
        <v/>
      </c>
      <c r="L1240" s="11" t="n"/>
      <c r="M1240" s="11" t="n"/>
      <c r="N1240" s="11" t="n"/>
      <c r="O1240" s="11" t="n"/>
      <c r="P1240" s="11" t="n"/>
      <c r="Q1240" s="11" t="n"/>
    </row>
    <row r="1241">
      <c r="A1241" s="8">
        <f>B1241&amp;"_"&amp;C1241</f>
        <v/>
      </c>
      <c r="B1241" s="8" t="n"/>
      <c r="C1241" s="8" t="n"/>
      <c r="D1241" s="8" t="n"/>
      <c r="E1241" s="11" t="n"/>
      <c r="F1241" s="11" t="n"/>
      <c r="G1241" s="8" t="n"/>
      <c r="H1241" s="8" t="n"/>
      <c r="I1241" s="8" t="n"/>
      <c r="J1241" s="8" t="n"/>
      <c r="K1241" s="12">
        <f>IF(OR(ISERROR(VLOOKUP(C1241, Resultados_Reales!$A$4:$I$107, 5, FALSE)), ISERROR(VLOOKUP(C1241, Resultados_Reales!$A$4:$I$107, 6, FALSE)), VLOOKUP(C1241, Resultados_Reales!$A$4:$I$107, 5, FALSE)="", VLOOKUP(C1241, Resultados_Reales!$A$4:$I$107, 6, FALSE)=""), 0, IF(AND(VLOOKUP(C1241, Resultados_Reales!$A$4:$I$107, 5, FALSE)=G1241, VLOOKUP(C1241, Resultados_Reales!$A$4:$I$107, 6, FALSE)=H1241), Configuracion!$B$5, IF(SIGN(VLOOKUP(C1241, Resultados_Reales!$A$4:$I$107, 5, FALSE)-VLOOKUP(C1241, Resultados_Reales!$A$4:$I$107, 6, FALSE)) = SIGN(G1241-H1241), Configuracion!$B$4, 0)))</f>
        <v/>
      </c>
      <c r="L1241" s="11" t="n"/>
      <c r="M1241" s="11" t="n"/>
      <c r="N1241" s="11" t="n"/>
      <c r="O1241" s="11" t="n"/>
      <c r="P1241" s="11" t="n"/>
      <c r="Q1241" s="11" t="n"/>
    </row>
    <row r="1242">
      <c r="A1242" s="8">
        <f>B1242&amp;"_"&amp;C1242</f>
        <v/>
      </c>
      <c r="B1242" s="8" t="n"/>
      <c r="C1242" s="8" t="n"/>
      <c r="D1242" s="8" t="n"/>
      <c r="E1242" s="11" t="n"/>
      <c r="F1242" s="11" t="n"/>
      <c r="G1242" s="8" t="n"/>
      <c r="H1242" s="8" t="n"/>
      <c r="I1242" s="8" t="n"/>
      <c r="J1242" s="8" t="n"/>
      <c r="K1242" s="12">
        <f>IF(OR(ISERROR(VLOOKUP(C1242, Resultados_Reales!$A$4:$I$107, 5, FALSE)), ISERROR(VLOOKUP(C1242, Resultados_Reales!$A$4:$I$107, 6, FALSE)), VLOOKUP(C1242, Resultados_Reales!$A$4:$I$107, 5, FALSE)="", VLOOKUP(C1242, Resultados_Reales!$A$4:$I$107, 6, FALSE)=""), 0, IF(AND(VLOOKUP(C1242, Resultados_Reales!$A$4:$I$107, 5, FALSE)=G1242, VLOOKUP(C1242, Resultados_Reales!$A$4:$I$107, 6, FALSE)=H1242), Configuracion!$B$5, IF(SIGN(VLOOKUP(C1242, Resultados_Reales!$A$4:$I$107, 5, FALSE)-VLOOKUP(C1242, Resultados_Reales!$A$4:$I$107, 6, FALSE)) = SIGN(G1242-H1242), Configuracion!$B$4, 0)))</f>
        <v/>
      </c>
      <c r="L1242" s="11" t="n"/>
      <c r="M1242" s="11" t="n"/>
      <c r="N1242" s="11" t="n"/>
      <c r="O1242" s="11" t="n"/>
      <c r="P1242" s="11" t="n"/>
      <c r="Q1242" s="11" t="n"/>
    </row>
    <row r="1243">
      <c r="A1243" s="8">
        <f>B1243&amp;"_"&amp;C1243</f>
        <v/>
      </c>
      <c r="B1243" s="8" t="n"/>
      <c r="C1243" s="8" t="n"/>
      <c r="D1243" s="8" t="n"/>
      <c r="E1243" s="11" t="n"/>
      <c r="F1243" s="11" t="n"/>
      <c r="G1243" s="8" t="n"/>
      <c r="H1243" s="8" t="n"/>
      <c r="I1243" s="8" t="n"/>
      <c r="J1243" s="8" t="n"/>
      <c r="K1243" s="12">
        <f>IF(OR(ISERROR(VLOOKUP(C1243, Resultados_Reales!$A$4:$I$107, 5, FALSE)), ISERROR(VLOOKUP(C1243, Resultados_Reales!$A$4:$I$107, 6, FALSE)), VLOOKUP(C1243, Resultados_Reales!$A$4:$I$107, 5, FALSE)="", VLOOKUP(C1243, Resultados_Reales!$A$4:$I$107, 6, FALSE)=""), 0, IF(AND(VLOOKUP(C1243, Resultados_Reales!$A$4:$I$107, 5, FALSE)=G1243, VLOOKUP(C1243, Resultados_Reales!$A$4:$I$107, 6, FALSE)=H1243), Configuracion!$B$5, IF(SIGN(VLOOKUP(C1243, Resultados_Reales!$A$4:$I$107, 5, FALSE)-VLOOKUP(C1243, Resultados_Reales!$A$4:$I$107, 6, FALSE)) = SIGN(G1243-H1243), Configuracion!$B$4, 0)))</f>
        <v/>
      </c>
      <c r="L1243" s="11" t="n"/>
      <c r="M1243" s="11" t="n"/>
      <c r="N1243" s="11" t="n"/>
      <c r="O1243" s="11" t="n"/>
      <c r="P1243" s="11" t="n"/>
      <c r="Q1243" s="11" t="n"/>
    </row>
    <row r="1244">
      <c r="A1244" s="8">
        <f>B1244&amp;"_"&amp;C1244</f>
        <v/>
      </c>
      <c r="B1244" s="8" t="n"/>
      <c r="C1244" s="8" t="n"/>
      <c r="D1244" s="8" t="n"/>
      <c r="E1244" s="11" t="n"/>
      <c r="F1244" s="11" t="n"/>
      <c r="G1244" s="8" t="n"/>
      <c r="H1244" s="8" t="n"/>
      <c r="I1244" s="8" t="n"/>
      <c r="J1244" s="8" t="n"/>
      <c r="K1244" s="12">
        <f>IF(OR(ISERROR(VLOOKUP(C1244, Resultados_Reales!$A$4:$I$107, 5, FALSE)), ISERROR(VLOOKUP(C1244, Resultados_Reales!$A$4:$I$107, 6, FALSE)), VLOOKUP(C1244, Resultados_Reales!$A$4:$I$107, 5, FALSE)="", VLOOKUP(C1244, Resultados_Reales!$A$4:$I$107, 6, FALSE)=""), 0, IF(AND(VLOOKUP(C1244, Resultados_Reales!$A$4:$I$107, 5, FALSE)=G1244, VLOOKUP(C1244, Resultados_Reales!$A$4:$I$107, 6, FALSE)=H1244), Configuracion!$B$5, IF(SIGN(VLOOKUP(C1244, Resultados_Reales!$A$4:$I$107, 5, FALSE)-VLOOKUP(C1244, Resultados_Reales!$A$4:$I$107, 6, FALSE)) = SIGN(G1244-H1244), Configuracion!$B$4, 0)))</f>
        <v/>
      </c>
      <c r="L1244" s="11" t="n"/>
      <c r="M1244" s="11" t="n"/>
      <c r="N1244" s="11" t="n"/>
      <c r="O1244" s="11" t="n"/>
      <c r="P1244" s="11" t="n"/>
      <c r="Q1244" s="11" t="n"/>
    </row>
    <row r="1245">
      <c r="A1245" s="8">
        <f>B1245&amp;"_"&amp;C1245</f>
        <v/>
      </c>
      <c r="B1245" s="8" t="n"/>
      <c r="C1245" s="8" t="n"/>
      <c r="D1245" s="8" t="n"/>
      <c r="E1245" s="11" t="n"/>
      <c r="F1245" s="11" t="n"/>
      <c r="G1245" s="8" t="n"/>
      <c r="H1245" s="8" t="n"/>
      <c r="I1245" s="8" t="n"/>
      <c r="J1245" s="8" t="n"/>
      <c r="K1245" s="12">
        <f>IF(OR(ISERROR(VLOOKUP(C1245, Resultados_Reales!$A$4:$I$107, 5, FALSE)), ISERROR(VLOOKUP(C1245, Resultados_Reales!$A$4:$I$107, 6, FALSE)), VLOOKUP(C1245, Resultados_Reales!$A$4:$I$107, 5, FALSE)="", VLOOKUP(C1245, Resultados_Reales!$A$4:$I$107, 6, FALSE)=""), 0, IF(AND(VLOOKUP(C1245, Resultados_Reales!$A$4:$I$107, 5, FALSE)=G1245, VLOOKUP(C1245, Resultados_Reales!$A$4:$I$107, 6, FALSE)=H1245), Configuracion!$B$5, IF(SIGN(VLOOKUP(C1245, Resultados_Reales!$A$4:$I$107, 5, FALSE)-VLOOKUP(C1245, Resultados_Reales!$A$4:$I$107, 6, FALSE)) = SIGN(G1245-H1245), Configuracion!$B$4, 0)))</f>
        <v/>
      </c>
      <c r="L1245" s="11" t="n"/>
      <c r="M1245" s="11" t="n"/>
      <c r="N1245" s="11" t="n"/>
      <c r="O1245" s="11" t="n"/>
      <c r="P1245" s="11" t="n"/>
      <c r="Q1245" s="11" t="n"/>
    </row>
    <row r="1246">
      <c r="A1246" s="8">
        <f>B1246&amp;"_"&amp;C1246</f>
        <v/>
      </c>
      <c r="B1246" s="8" t="n"/>
      <c r="C1246" s="8" t="n"/>
      <c r="D1246" s="8" t="n"/>
      <c r="E1246" s="11" t="n"/>
      <c r="F1246" s="11" t="n"/>
      <c r="G1246" s="8" t="n"/>
      <c r="H1246" s="8" t="n"/>
      <c r="I1246" s="8" t="n"/>
      <c r="J1246" s="8" t="n"/>
      <c r="K1246" s="12">
        <f>IF(OR(ISERROR(VLOOKUP(C1246, Resultados_Reales!$A$4:$I$107, 5, FALSE)), ISERROR(VLOOKUP(C1246, Resultados_Reales!$A$4:$I$107, 6, FALSE)), VLOOKUP(C1246, Resultados_Reales!$A$4:$I$107, 5, FALSE)="", VLOOKUP(C1246, Resultados_Reales!$A$4:$I$107, 6, FALSE)=""), 0, IF(AND(VLOOKUP(C1246, Resultados_Reales!$A$4:$I$107, 5, FALSE)=G1246, VLOOKUP(C1246, Resultados_Reales!$A$4:$I$107, 6, FALSE)=H1246), Configuracion!$B$5, IF(SIGN(VLOOKUP(C1246, Resultados_Reales!$A$4:$I$107, 5, FALSE)-VLOOKUP(C1246, Resultados_Reales!$A$4:$I$107, 6, FALSE)) = SIGN(G1246-H1246), Configuracion!$B$4, 0)))</f>
        <v/>
      </c>
      <c r="L1246" s="11" t="n"/>
      <c r="M1246" s="11" t="n"/>
      <c r="N1246" s="11" t="n"/>
      <c r="O1246" s="11" t="n"/>
      <c r="P1246" s="11" t="n"/>
      <c r="Q1246" s="11" t="n"/>
    </row>
    <row r="1247">
      <c r="A1247" s="8">
        <f>B1247&amp;"_"&amp;C1247</f>
        <v/>
      </c>
      <c r="B1247" s="8" t="n"/>
      <c r="C1247" s="8" t="n"/>
      <c r="D1247" s="8" t="n"/>
      <c r="E1247" s="11" t="n"/>
      <c r="F1247" s="11" t="n"/>
      <c r="G1247" s="8" t="n"/>
      <c r="H1247" s="8" t="n"/>
      <c r="I1247" s="8" t="n"/>
      <c r="J1247" s="8" t="n"/>
      <c r="K1247" s="12">
        <f>IF(OR(ISERROR(VLOOKUP(C1247, Resultados_Reales!$A$4:$I$107, 5, FALSE)), ISERROR(VLOOKUP(C1247, Resultados_Reales!$A$4:$I$107, 6, FALSE)), VLOOKUP(C1247, Resultados_Reales!$A$4:$I$107, 5, FALSE)="", VLOOKUP(C1247, Resultados_Reales!$A$4:$I$107, 6, FALSE)=""), 0, IF(AND(VLOOKUP(C1247, Resultados_Reales!$A$4:$I$107, 5, FALSE)=G1247, VLOOKUP(C1247, Resultados_Reales!$A$4:$I$107, 6, FALSE)=H1247), Configuracion!$B$5, IF(SIGN(VLOOKUP(C1247, Resultados_Reales!$A$4:$I$107, 5, FALSE)-VLOOKUP(C1247, Resultados_Reales!$A$4:$I$107, 6, FALSE)) = SIGN(G1247-H1247), Configuracion!$B$4, 0)))</f>
        <v/>
      </c>
      <c r="L1247" s="11" t="n"/>
      <c r="M1247" s="11" t="n"/>
      <c r="N1247" s="11" t="n"/>
      <c r="O1247" s="11" t="n"/>
      <c r="P1247" s="11" t="n"/>
      <c r="Q1247" s="11" t="n"/>
    </row>
    <row r="1248">
      <c r="A1248" s="8">
        <f>B1248&amp;"_"&amp;C1248</f>
        <v/>
      </c>
      <c r="B1248" s="8" t="n"/>
      <c r="C1248" s="8" t="n"/>
      <c r="D1248" s="8" t="n"/>
      <c r="E1248" s="11" t="n"/>
      <c r="F1248" s="11" t="n"/>
      <c r="G1248" s="8" t="n"/>
      <c r="H1248" s="8" t="n"/>
      <c r="I1248" s="8" t="n"/>
      <c r="J1248" s="8" t="n"/>
      <c r="K1248" s="12">
        <f>IF(OR(ISERROR(VLOOKUP(C1248, Resultados_Reales!$A$4:$I$107, 5, FALSE)), ISERROR(VLOOKUP(C1248, Resultados_Reales!$A$4:$I$107, 6, FALSE)), VLOOKUP(C1248, Resultados_Reales!$A$4:$I$107, 5, FALSE)="", VLOOKUP(C1248, Resultados_Reales!$A$4:$I$107, 6, FALSE)=""), 0, IF(AND(VLOOKUP(C1248, Resultados_Reales!$A$4:$I$107, 5, FALSE)=G1248, VLOOKUP(C1248, Resultados_Reales!$A$4:$I$107, 6, FALSE)=H1248), Configuracion!$B$5, IF(SIGN(VLOOKUP(C1248, Resultados_Reales!$A$4:$I$107, 5, FALSE)-VLOOKUP(C1248, Resultados_Reales!$A$4:$I$107, 6, FALSE)) = SIGN(G1248-H1248), Configuracion!$B$4, 0)))</f>
        <v/>
      </c>
      <c r="L1248" s="11" t="n"/>
      <c r="M1248" s="11" t="n"/>
      <c r="N1248" s="11" t="n"/>
      <c r="O1248" s="11" t="n"/>
      <c r="P1248" s="11" t="n"/>
      <c r="Q1248" s="11" t="n"/>
    </row>
    <row r="1249">
      <c r="A1249" s="8">
        <f>B1249&amp;"_"&amp;C1249</f>
        <v/>
      </c>
      <c r="B1249" s="8" t="n"/>
      <c r="C1249" s="8" t="n"/>
      <c r="D1249" s="8" t="n"/>
      <c r="E1249" s="11" t="n"/>
      <c r="F1249" s="11" t="n"/>
      <c r="G1249" s="8" t="n"/>
      <c r="H1249" s="8" t="n"/>
      <c r="I1249" s="8" t="n"/>
      <c r="J1249" s="8" t="n"/>
      <c r="K1249" s="12">
        <f>IF(OR(ISERROR(VLOOKUP(C1249, Resultados_Reales!$A$4:$I$107, 5, FALSE)), ISERROR(VLOOKUP(C1249, Resultados_Reales!$A$4:$I$107, 6, FALSE)), VLOOKUP(C1249, Resultados_Reales!$A$4:$I$107, 5, FALSE)="", VLOOKUP(C1249, Resultados_Reales!$A$4:$I$107, 6, FALSE)=""), 0, IF(AND(VLOOKUP(C1249, Resultados_Reales!$A$4:$I$107, 5, FALSE)=G1249, VLOOKUP(C1249, Resultados_Reales!$A$4:$I$107, 6, FALSE)=H1249), Configuracion!$B$5, IF(SIGN(VLOOKUP(C1249, Resultados_Reales!$A$4:$I$107, 5, FALSE)-VLOOKUP(C1249, Resultados_Reales!$A$4:$I$107, 6, FALSE)) = SIGN(G1249-H1249), Configuracion!$B$4, 0)))</f>
        <v/>
      </c>
      <c r="L1249" s="11" t="n"/>
      <c r="M1249" s="11" t="n"/>
      <c r="N1249" s="11" t="n"/>
      <c r="O1249" s="11" t="n"/>
      <c r="P1249" s="11" t="n"/>
      <c r="Q1249" s="11" t="n"/>
    </row>
    <row r="1250">
      <c r="A1250" s="8">
        <f>B1250&amp;"_"&amp;C1250</f>
        <v/>
      </c>
      <c r="B1250" s="8" t="n"/>
      <c r="C1250" s="8" t="n"/>
      <c r="D1250" s="8" t="n"/>
      <c r="E1250" s="11" t="n"/>
      <c r="F1250" s="11" t="n"/>
      <c r="G1250" s="8" t="n"/>
      <c r="H1250" s="8" t="n"/>
      <c r="I1250" s="8" t="n"/>
      <c r="J1250" s="8" t="n"/>
      <c r="K1250" s="12">
        <f>IF(OR(ISERROR(VLOOKUP(C1250, Resultados_Reales!$A$4:$I$107, 5, FALSE)), ISERROR(VLOOKUP(C1250, Resultados_Reales!$A$4:$I$107, 6, FALSE)), VLOOKUP(C1250, Resultados_Reales!$A$4:$I$107, 5, FALSE)="", VLOOKUP(C1250, Resultados_Reales!$A$4:$I$107, 6, FALSE)=""), 0, IF(AND(VLOOKUP(C1250, Resultados_Reales!$A$4:$I$107, 5, FALSE)=G1250, VLOOKUP(C1250, Resultados_Reales!$A$4:$I$107, 6, FALSE)=H1250), Configuracion!$B$5, IF(SIGN(VLOOKUP(C1250, Resultados_Reales!$A$4:$I$107, 5, FALSE)-VLOOKUP(C1250, Resultados_Reales!$A$4:$I$107, 6, FALSE)) = SIGN(G1250-H1250), Configuracion!$B$4, 0)))</f>
        <v/>
      </c>
      <c r="L1250" s="11" t="n"/>
      <c r="M1250" s="11" t="n"/>
      <c r="N1250" s="11" t="n"/>
      <c r="O1250" s="11" t="n"/>
      <c r="P1250" s="11" t="n"/>
      <c r="Q1250" s="11" t="n"/>
    </row>
    <row r="1251">
      <c r="A1251" s="8">
        <f>B1251&amp;"_"&amp;C1251</f>
        <v/>
      </c>
      <c r="B1251" s="8" t="n"/>
      <c r="C1251" s="8" t="n"/>
      <c r="D1251" s="8" t="n"/>
      <c r="E1251" s="11" t="n"/>
      <c r="F1251" s="11" t="n"/>
      <c r="G1251" s="8" t="n"/>
      <c r="H1251" s="8" t="n"/>
      <c r="I1251" s="8" t="n"/>
      <c r="J1251" s="8" t="n"/>
      <c r="K1251" s="12">
        <f>IF(OR(ISERROR(VLOOKUP(C1251, Resultados_Reales!$A$4:$I$107, 5, FALSE)), ISERROR(VLOOKUP(C1251, Resultados_Reales!$A$4:$I$107, 6, FALSE)), VLOOKUP(C1251, Resultados_Reales!$A$4:$I$107, 5, FALSE)="", VLOOKUP(C1251, Resultados_Reales!$A$4:$I$107, 6, FALSE)=""), 0, IF(AND(VLOOKUP(C1251, Resultados_Reales!$A$4:$I$107, 5, FALSE)=G1251, VLOOKUP(C1251, Resultados_Reales!$A$4:$I$107, 6, FALSE)=H1251), Configuracion!$B$5, IF(SIGN(VLOOKUP(C1251, Resultados_Reales!$A$4:$I$107, 5, FALSE)-VLOOKUP(C1251, Resultados_Reales!$A$4:$I$107, 6, FALSE)) = SIGN(G1251-H1251), Configuracion!$B$4, 0)))</f>
        <v/>
      </c>
      <c r="L1251" s="11" t="n"/>
      <c r="M1251" s="11" t="n"/>
      <c r="N1251" s="11" t="n"/>
      <c r="O1251" s="11" t="n"/>
      <c r="P1251" s="11" t="n"/>
      <c r="Q1251" s="11" t="n"/>
    </row>
    <row r="1252">
      <c r="A1252" s="8">
        <f>B1252&amp;"_"&amp;C1252</f>
        <v/>
      </c>
      <c r="B1252" s="8" t="n"/>
      <c r="C1252" s="8" t="n"/>
      <c r="D1252" s="8" t="n"/>
      <c r="E1252" s="11" t="n"/>
      <c r="F1252" s="11" t="n"/>
      <c r="G1252" s="8" t="n"/>
      <c r="H1252" s="8" t="n"/>
      <c r="I1252" s="8" t="n"/>
      <c r="J1252" s="8" t="n"/>
      <c r="K1252" s="12">
        <f>IF(OR(ISERROR(VLOOKUP(C1252, Resultados_Reales!$A$4:$I$107, 5, FALSE)), ISERROR(VLOOKUP(C1252, Resultados_Reales!$A$4:$I$107, 6, FALSE)), VLOOKUP(C1252, Resultados_Reales!$A$4:$I$107, 5, FALSE)="", VLOOKUP(C1252, Resultados_Reales!$A$4:$I$107, 6, FALSE)=""), 0, IF(AND(VLOOKUP(C1252, Resultados_Reales!$A$4:$I$107, 5, FALSE)=G1252, VLOOKUP(C1252, Resultados_Reales!$A$4:$I$107, 6, FALSE)=H1252), Configuracion!$B$5, IF(SIGN(VLOOKUP(C1252, Resultados_Reales!$A$4:$I$107, 5, FALSE)-VLOOKUP(C1252, Resultados_Reales!$A$4:$I$107, 6, FALSE)) = SIGN(G1252-H1252), Configuracion!$B$4, 0)))</f>
        <v/>
      </c>
      <c r="L1252" s="11" t="n"/>
      <c r="M1252" s="11" t="n"/>
      <c r="N1252" s="11" t="n"/>
      <c r="O1252" s="11" t="n"/>
      <c r="P1252" s="11" t="n"/>
      <c r="Q1252" s="11" t="n"/>
    </row>
    <row r="1253">
      <c r="A1253" s="8">
        <f>B1253&amp;"_"&amp;C1253</f>
        <v/>
      </c>
      <c r="B1253" s="8" t="n"/>
      <c r="C1253" s="8" t="n"/>
      <c r="D1253" s="8" t="n"/>
      <c r="E1253" s="11" t="n"/>
      <c r="F1253" s="11" t="n"/>
      <c r="G1253" s="8" t="n"/>
      <c r="H1253" s="8" t="n"/>
      <c r="I1253" s="8" t="n"/>
      <c r="J1253" s="8" t="n"/>
      <c r="K1253" s="12">
        <f>IF(OR(ISERROR(VLOOKUP(C1253, Resultados_Reales!$A$4:$I$107, 5, FALSE)), ISERROR(VLOOKUP(C1253, Resultados_Reales!$A$4:$I$107, 6, FALSE)), VLOOKUP(C1253, Resultados_Reales!$A$4:$I$107, 5, FALSE)="", VLOOKUP(C1253, Resultados_Reales!$A$4:$I$107, 6, FALSE)=""), 0, IF(AND(VLOOKUP(C1253, Resultados_Reales!$A$4:$I$107, 5, FALSE)=G1253, VLOOKUP(C1253, Resultados_Reales!$A$4:$I$107, 6, FALSE)=H1253), Configuracion!$B$5, IF(SIGN(VLOOKUP(C1253, Resultados_Reales!$A$4:$I$107, 5, FALSE)-VLOOKUP(C1253, Resultados_Reales!$A$4:$I$107, 6, FALSE)) = SIGN(G1253-H1253), Configuracion!$B$4, 0)))</f>
        <v/>
      </c>
      <c r="L1253" s="11" t="n"/>
      <c r="M1253" s="11" t="n"/>
      <c r="N1253" s="11" t="n"/>
      <c r="O1253" s="11" t="n"/>
      <c r="P1253" s="11" t="n"/>
      <c r="Q1253" s="11" t="n"/>
    </row>
    <row r="1254">
      <c r="A1254" s="8">
        <f>B1254&amp;"_"&amp;C1254</f>
        <v/>
      </c>
      <c r="B1254" s="8" t="n"/>
      <c r="C1254" s="8" t="n"/>
      <c r="D1254" s="8" t="n"/>
      <c r="E1254" s="11" t="n"/>
      <c r="F1254" s="11" t="n"/>
      <c r="G1254" s="8" t="n"/>
      <c r="H1254" s="8" t="n"/>
      <c r="I1254" s="8" t="n"/>
      <c r="J1254" s="8" t="n"/>
      <c r="K1254" s="12">
        <f>IF(OR(ISERROR(VLOOKUP(C1254, Resultados_Reales!$A$4:$I$107, 5, FALSE)), ISERROR(VLOOKUP(C1254, Resultados_Reales!$A$4:$I$107, 6, FALSE)), VLOOKUP(C1254, Resultados_Reales!$A$4:$I$107, 5, FALSE)="", VLOOKUP(C1254, Resultados_Reales!$A$4:$I$107, 6, FALSE)=""), 0, IF(AND(VLOOKUP(C1254, Resultados_Reales!$A$4:$I$107, 5, FALSE)=G1254, VLOOKUP(C1254, Resultados_Reales!$A$4:$I$107, 6, FALSE)=H1254), Configuracion!$B$5, IF(SIGN(VLOOKUP(C1254, Resultados_Reales!$A$4:$I$107, 5, FALSE)-VLOOKUP(C1254, Resultados_Reales!$A$4:$I$107, 6, FALSE)) = SIGN(G1254-H1254), Configuracion!$B$4, 0)))</f>
        <v/>
      </c>
      <c r="L1254" s="11" t="n"/>
      <c r="M1254" s="11" t="n"/>
      <c r="N1254" s="11" t="n"/>
      <c r="O1254" s="11" t="n"/>
      <c r="P1254" s="11" t="n"/>
      <c r="Q1254" s="11" t="n"/>
    </row>
    <row r="1255">
      <c r="A1255" s="8">
        <f>B1255&amp;"_"&amp;C1255</f>
        <v/>
      </c>
      <c r="B1255" s="8" t="n"/>
      <c r="C1255" s="8" t="n"/>
      <c r="D1255" s="8" t="n"/>
      <c r="E1255" s="11" t="n"/>
      <c r="F1255" s="11" t="n"/>
      <c r="G1255" s="8" t="n"/>
      <c r="H1255" s="8" t="n"/>
      <c r="I1255" s="8" t="n"/>
      <c r="J1255" s="8" t="n"/>
      <c r="K1255" s="12">
        <f>IF(OR(ISERROR(VLOOKUP(C1255, Resultados_Reales!$A$4:$I$107, 5, FALSE)), ISERROR(VLOOKUP(C1255, Resultados_Reales!$A$4:$I$107, 6, FALSE)), VLOOKUP(C1255, Resultados_Reales!$A$4:$I$107, 5, FALSE)="", VLOOKUP(C1255, Resultados_Reales!$A$4:$I$107, 6, FALSE)=""), 0, IF(AND(VLOOKUP(C1255, Resultados_Reales!$A$4:$I$107, 5, FALSE)=G1255, VLOOKUP(C1255, Resultados_Reales!$A$4:$I$107, 6, FALSE)=H1255), Configuracion!$B$5, IF(SIGN(VLOOKUP(C1255, Resultados_Reales!$A$4:$I$107, 5, FALSE)-VLOOKUP(C1255, Resultados_Reales!$A$4:$I$107, 6, FALSE)) = SIGN(G1255-H1255), Configuracion!$B$4, 0)))</f>
        <v/>
      </c>
      <c r="L1255" s="11" t="n"/>
      <c r="M1255" s="11" t="n"/>
      <c r="N1255" s="11" t="n"/>
      <c r="O1255" s="11" t="n"/>
      <c r="P1255" s="11" t="n"/>
      <c r="Q1255" s="11" t="n"/>
    </row>
    <row r="1256">
      <c r="A1256" s="8">
        <f>B1256&amp;"_"&amp;C1256</f>
        <v/>
      </c>
      <c r="B1256" s="8" t="n"/>
      <c r="C1256" s="8" t="n"/>
      <c r="D1256" s="8" t="n"/>
      <c r="E1256" s="11" t="n"/>
      <c r="F1256" s="11" t="n"/>
      <c r="G1256" s="8" t="n"/>
      <c r="H1256" s="8" t="n"/>
      <c r="I1256" s="8" t="n"/>
      <c r="J1256" s="8" t="n"/>
      <c r="K1256" s="12">
        <f>IF(OR(ISERROR(VLOOKUP(C1256, Resultados_Reales!$A$4:$I$107, 5, FALSE)), ISERROR(VLOOKUP(C1256, Resultados_Reales!$A$4:$I$107, 6, FALSE)), VLOOKUP(C1256, Resultados_Reales!$A$4:$I$107, 5, FALSE)="", VLOOKUP(C1256, Resultados_Reales!$A$4:$I$107, 6, FALSE)=""), 0, IF(AND(VLOOKUP(C1256, Resultados_Reales!$A$4:$I$107, 5, FALSE)=G1256, VLOOKUP(C1256, Resultados_Reales!$A$4:$I$107, 6, FALSE)=H1256), Configuracion!$B$5, IF(SIGN(VLOOKUP(C1256, Resultados_Reales!$A$4:$I$107, 5, FALSE)-VLOOKUP(C1256, Resultados_Reales!$A$4:$I$107, 6, FALSE)) = SIGN(G1256-H1256), Configuracion!$B$4, 0)))</f>
        <v/>
      </c>
      <c r="L1256" s="11" t="n"/>
      <c r="M1256" s="11" t="n"/>
      <c r="N1256" s="11" t="n"/>
      <c r="O1256" s="11" t="n"/>
      <c r="P1256" s="11" t="n"/>
      <c r="Q1256" s="11" t="n"/>
    </row>
    <row r="1257">
      <c r="A1257" s="8">
        <f>B1257&amp;"_"&amp;C1257</f>
        <v/>
      </c>
      <c r="B1257" s="8" t="n"/>
      <c r="C1257" s="8" t="n"/>
      <c r="D1257" s="8" t="n"/>
      <c r="E1257" s="11" t="n"/>
      <c r="F1257" s="11" t="n"/>
      <c r="G1257" s="8" t="n"/>
      <c r="H1257" s="8" t="n"/>
      <c r="I1257" s="8" t="n"/>
      <c r="J1257" s="8" t="n"/>
      <c r="K1257" s="12">
        <f>IF(OR(ISERROR(VLOOKUP(C1257, Resultados_Reales!$A$4:$I$107, 5, FALSE)), ISERROR(VLOOKUP(C1257, Resultados_Reales!$A$4:$I$107, 6, FALSE)), VLOOKUP(C1257, Resultados_Reales!$A$4:$I$107, 5, FALSE)="", VLOOKUP(C1257, Resultados_Reales!$A$4:$I$107, 6, FALSE)=""), 0, IF(AND(VLOOKUP(C1257, Resultados_Reales!$A$4:$I$107, 5, FALSE)=G1257, VLOOKUP(C1257, Resultados_Reales!$A$4:$I$107, 6, FALSE)=H1257), Configuracion!$B$5, IF(SIGN(VLOOKUP(C1257, Resultados_Reales!$A$4:$I$107, 5, FALSE)-VLOOKUP(C1257, Resultados_Reales!$A$4:$I$107, 6, FALSE)) = SIGN(G1257-H1257), Configuracion!$B$4, 0)))</f>
        <v/>
      </c>
      <c r="L1257" s="11" t="n"/>
      <c r="M1257" s="11" t="n"/>
      <c r="N1257" s="11" t="n"/>
      <c r="O1257" s="11" t="n"/>
      <c r="P1257" s="11" t="n"/>
      <c r="Q1257" s="11" t="n"/>
    </row>
    <row r="1258">
      <c r="A1258" s="8">
        <f>B1258&amp;"_"&amp;C1258</f>
        <v/>
      </c>
      <c r="B1258" s="8" t="n"/>
      <c r="C1258" s="8" t="n"/>
      <c r="D1258" s="8" t="n"/>
      <c r="E1258" s="11" t="n"/>
      <c r="F1258" s="11" t="n"/>
      <c r="G1258" s="8" t="n"/>
      <c r="H1258" s="8" t="n"/>
      <c r="I1258" s="8" t="n"/>
      <c r="J1258" s="8" t="n"/>
      <c r="K1258" s="12">
        <f>IF(OR(ISERROR(VLOOKUP(C1258, Resultados_Reales!$A$4:$I$107, 5, FALSE)), ISERROR(VLOOKUP(C1258, Resultados_Reales!$A$4:$I$107, 6, FALSE)), VLOOKUP(C1258, Resultados_Reales!$A$4:$I$107, 5, FALSE)="", VLOOKUP(C1258, Resultados_Reales!$A$4:$I$107, 6, FALSE)=""), 0, IF(AND(VLOOKUP(C1258, Resultados_Reales!$A$4:$I$107, 5, FALSE)=G1258, VLOOKUP(C1258, Resultados_Reales!$A$4:$I$107, 6, FALSE)=H1258), Configuracion!$B$5, IF(SIGN(VLOOKUP(C1258, Resultados_Reales!$A$4:$I$107, 5, FALSE)-VLOOKUP(C1258, Resultados_Reales!$A$4:$I$107, 6, FALSE)) = SIGN(G1258-H1258), Configuracion!$B$4, 0)))</f>
        <v/>
      </c>
      <c r="L1258" s="11" t="n"/>
      <c r="M1258" s="11" t="n"/>
      <c r="N1258" s="11" t="n"/>
      <c r="O1258" s="11" t="n"/>
      <c r="P1258" s="11" t="n"/>
      <c r="Q1258" s="11" t="n"/>
    </row>
    <row r="1259">
      <c r="A1259" s="8">
        <f>B1259&amp;"_"&amp;C1259</f>
        <v/>
      </c>
      <c r="B1259" s="8" t="n"/>
      <c r="C1259" s="8" t="n"/>
      <c r="D1259" s="8" t="n"/>
      <c r="E1259" s="11" t="n"/>
      <c r="F1259" s="11" t="n"/>
      <c r="G1259" s="8" t="n"/>
      <c r="H1259" s="8" t="n"/>
      <c r="I1259" s="8" t="n"/>
      <c r="J1259" s="8" t="n"/>
      <c r="K1259" s="12">
        <f>IF(OR(ISERROR(VLOOKUP(C1259, Resultados_Reales!$A$4:$I$107, 5, FALSE)), ISERROR(VLOOKUP(C1259, Resultados_Reales!$A$4:$I$107, 6, FALSE)), VLOOKUP(C1259, Resultados_Reales!$A$4:$I$107, 5, FALSE)="", VLOOKUP(C1259, Resultados_Reales!$A$4:$I$107, 6, FALSE)=""), 0, IF(AND(VLOOKUP(C1259, Resultados_Reales!$A$4:$I$107, 5, FALSE)=G1259, VLOOKUP(C1259, Resultados_Reales!$A$4:$I$107, 6, FALSE)=H1259), Configuracion!$B$5, IF(SIGN(VLOOKUP(C1259, Resultados_Reales!$A$4:$I$107, 5, FALSE)-VLOOKUP(C1259, Resultados_Reales!$A$4:$I$107, 6, FALSE)) = SIGN(G1259-H1259), Configuracion!$B$4, 0)))</f>
        <v/>
      </c>
      <c r="L1259" s="11" t="n"/>
      <c r="M1259" s="11" t="n"/>
      <c r="N1259" s="11" t="n"/>
      <c r="O1259" s="11" t="n"/>
      <c r="P1259" s="11" t="n"/>
      <c r="Q1259" s="11" t="n"/>
    </row>
    <row r="1260">
      <c r="A1260" s="8">
        <f>B1260&amp;"_"&amp;C1260</f>
        <v/>
      </c>
      <c r="B1260" s="8" t="n"/>
      <c r="C1260" s="8" t="n"/>
      <c r="D1260" s="8" t="n"/>
      <c r="E1260" s="11" t="n"/>
      <c r="F1260" s="11" t="n"/>
      <c r="G1260" s="8" t="n"/>
      <c r="H1260" s="8" t="n"/>
      <c r="I1260" s="8" t="n"/>
      <c r="J1260" s="8" t="n"/>
      <c r="K1260" s="12">
        <f>IF(OR(ISERROR(VLOOKUP(C1260, Resultados_Reales!$A$4:$I$107, 5, FALSE)), ISERROR(VLOOKUP(C1260, Resultados_Reales!$A$4:$I$107, 6, FALSE)), VLOOKUP(C1260, Resultados_Reales!$A$4:$I$107, 5, FALSE)="", VLOOKUP(C1260, Resultados_Reales!$A$4:$I$107, 6, FALSE)=""), 0, IF(AND(VLOOKUP(C1260, Resultados_Reales!$A$4:$I$107, 5, FALSE)=G1260, VLOOKUP(C1260, Resultados_Reales!$A$4:$I$107, 6, FALSE)=H1260), Configuracion!$B$5, IF(SIGN(VLOOKUP(C1260, Resultados_Reales!$A$4:$I$107, 5, FALSE)-VLOOKUP(C1260, Resultados_Reales!$A$4:$I$107, 6, FALSE)) = SIGN(G1260-H1260), Configuracion!$B$4, 0)))</f>
        <v/>
      </c>
      <c r="L1260" s="11" t="n"/>
      <c r="M1260" s="11" t="n"/>
      <c r="N1260" s="11" t="n"/>
      <c r="O1260" s="11" t="n"/>
      <c r="P1260" s="11" t="n"/>
      <c r="Q1260" s="11" t="n"/>
    </row>
    <row r="1261">
      <c r="A1261" s="8">
        <f>B1261&amp;"_"&amp;C1261</f>
        <v/>
      </c>
      <c r="B1261" s="8" t="n"/>
      <c r="C1261" s="8" t="n"/>
      <c r="D1261" s="8" t="n"/>
      <c r="E1261" s="11" t="n"/>
      <c r="F1261" s="11" t="n"/>
      <c r="G1261" s="8" t="n"/>
      <c r="H1261" s="8" t="n"/>
      <c r="I1261" s="8" t="n"/>
      <c r="J1261" s="8" t="n"/>
      <c r="K1261" s="12">
        <f>IF(OR(ISERROR(VLOOKUP(C1261, Resultados_Reales!$A$4:$I$107, 5, FALSE)), ISERROR(VLOOKUP(C1261, Resultados_Reales!$A$4:$I$107, 6, FALSE)), VLOOKUP(C1261, Resultados_Reales!$A$4:$I$107, 5, FALSE)="", VLOOKUP(C1261, Resultados_Reales!$A$4:$I$107, 6, FALSE)=""), 0, IF(AND(VLOOKUP(C1261, Resultados_Reales!$A$4:$I$107, 5, FALSE)=G1261, VLOOKUP(C1261, Resultados_Reales!$A$4:$I$107, 6, FALSE)=H1261), Configuracion!$B$5, IF(SIGN(VLOOKUP(C1261, Resultados_Reales!$A$4:$I$107, 5, FALSE)-VLOOKUP(C1261, Resultados_Reales!$A$4:$I$107, 6, FALSE)) = SIGN(G1261-H1261), Configuracion!$B$4, 0)))</f>
        <v/>
      </c>
      <c r="L1261" s="11" t="n"/>
      <c r="M1261" s="11" t="n"/>
      <c r="N1261" s="11" t="n"/>
      <c r="O1261" s="11" t="n"/>
      <c r="P1261" s="11" t="n"/>
      <c r="Q1261" s="11" t="n"/>
    </row>
    <row r="1262">
      <c r="A1262" s="8">
        <f>B1262&amp;"_"&amp;C1262</f>
        <v/>
      </c>
      <c r="B1262" s="8" t="n"/>
      <c r="C1262" s="8" t="n"/>
      <c r="D1262" s="8" t="n"/>
      <c r="E1262" s="11" t="n"/>
      <c r="F1262" s="11" t="n"/>
      <c r="G1262" s="8" t="n"/>
      <c r="H1262" s="8" t="n"/>
      <c r="I1262" s="8" t="n"/>
      <c r="J1262" s="8" t="n"/>
      <c r="K1262" s="12">
        <f>IF(OR(ISERROR(VLOOKUP(C1262, Resultados_Reales!$A$4:$I$107, 5, FALSE)), ISERROR(VLOOKUP(C1262, Resultados_Reales!$A$4:$I$107, 6, FALSE)), VLOOKUP(C1262, Resultados_Reales!$A$4:$I$107, 5, FALSE)="", VLOOKUP(C1262, Resultados_Reales!$A$4:$I$107, 6, FALSE)=""), 0, IF(AND(VLOOKUP(C1262, Resultados_Reales!$A$4:$I$107, 5, FALSE)=G1262, VLOOKUP(C1262, Resultados_Reales!$A$4:$I$107, 6, FALSE)=H1262), Configuracion!$B$5, IF(SIGN(VLOOKUP(C1262, Resultados_Reales!$A$4:$I$107, 5, FALSE)-VLOOKUP(C1262, Resultados_Reales!$A$4:$I$107, 6, FALSE)) = SIGN(G1262-H1262), Configuracion!$B$4, 0)))</f>
        <v/>
      </c>
      <c r="L1262" s="11" t="n"/>
      <c r="M1262" s="11" t="n"/>
      <c r="N1262" s="11" t="n"/>
      <c r="O1262" s="11" t="n"/>
      <c r="P1262" s="11" t="n"/>
      <c r="Q1262" s="11" t="n"/>
    </row>
    <row r="1263">
      <c r="A1263" s="8">
        <f>B1263&amp;"_"&amp;C1263</f>
        <v/>
      </c>
      <c r="B1263" s="8" t="n"/>
      <c r="C1263" s="8" t="n"/>
      <c r="D1263" s="8" t="n"/>
      <c r="E1263" s="11" t="n"/>
      <c r="F1263" s="11" t="n"/>
      <c r="G1263" s="8" t="n"/>
      <c r="H1263" s="8" t="n"/>
      <c r="I1263" s="8" t="n"/>
      <c r="J1263" s="8" t="n"/>
      <c r="K1263" s="12">
        <f>IF(OR(ISERROR(VLOOKUP(C1263, Resultados_Reales!$A$4:$I$107, 5, FALSE)), ISERROR(VLOOKUP(C1263, Resultados_Reales!$A$4:$I$107, 6, FALSE)), VLOOKUP(C1263, Resultados_Reales!$A$4:$I$107, 5, FALSE)="", VLOOKUP(C1263, Resultados_Reales!$A$4:$I$107, 6, FALSE)=""), 0, IF(AND(VLOOKUP(C1263, Resultados_Reales!$A$4:$I$107, 5, FALSE)=G1263, VLOOKUP(C1263, Resultados_Reales!$A$4:$I$107, 6, FALSE)=H1263), Configuracion!$B$5, IF(SIGN(VLOOKUP(C1263, Resultados_Reales!$A$4:$I$107, 5, FALSE)-VLOOKUP(C1263, Resultados_Reales!$A$4:$I$107, 6, FALSE)) = SIGN(G1263-H1263), Configuracion!$B$4, 0)))</f>
        <v/>
      </c>
      <c r="L1263" s="11" t="n"/>
      <c r="M1263" s="11" t="n"/>
      <c r="N1263" s="11" t="n"/>
      <c r="O1263" s="11" t="n"/>
      <c r="P1263" s="11" t="n"/>
      <c r="Q1263" s="11" t="n"/>
    </row>
    <row r="1264">
      <c r="A1264" s="8">
        <f>B1264&amp;"_"&amp;C1264</f>
        <v/>
      </c>
      <c r="B1264" s="8" t="n"/>
      <c r="C1264" s="8" t="n"/>
      <c r="D1264" s="8" t="n"/>
      <c r="E1264" s="11" t="n"/>
      <c r="F1264" s="11" t="n"/>
      <c r="G1264" s="8" t="n"/>
      <c r="H1264" s="8" t="n"/>
      <c r="I1264" s="8" t="n"/>
      <c r="J1264" s="8" t="n"/>
      <c r="K1264" s="12">
        <f>IF(OR(ISERROR(VLOOKUP(C1264, Resultados_Reales!$A$4:$I$107, 5, FALSE)), ISERROR(VLOOKUP(C1264, Resultados_Reales!$A$4:$I$107, 6, FALSE)), VLOOKUP(C1264, Resultados_Reales!$A$4:$I$107, 5, FALSE)="", VLOOKUP(C1264, Resultados_Reales!$A$4:$I$107, 6, FALSE)=""), 0, IF(AND(VLOOKUP(C1264, Resultados_Reales!$A$4:$I$107, 5, FALSE)=G1264, VLOOKUP(C1264, Resultados_Reales!$A$4:$I$107, 6, FALSE)=H1264), Configuracion!$B$5, IF(SIGN(VLOOKUP(C1264, Resultados_Reales!$A$4:$I$107, 5, FALSE)-VLOOKUP(C1264, Resultados_Reales!$A$4:$I$107, 6, FALSE)) = SIGN(G1264-H1264), Configuracion!$B$4, 0)))</f>
        <v/>
      </c>
      <c r="L1264" s="11" t="n"/>
      <c r="M1264" s="11" t="n"/>
      <c r="N1264" s="11" t="n"/>
      <c r="O1264" s="11" t="n"/>
      <c r="P1264" s="11" t="n"/>
      <c r="Q1264" s="11" t="n"/>
    </row>
    <row r="1265">
      <c r="A1265" s="8">
        <f>B1265&amp;"_"&amp;C1265</f>
        <v/>
      </c>
      <c r="B1265" s="8" t="n"/>
      <c r="C1265" s="8" t="n"/>
      <c r="D1265" s="8" t="n"/>
      <c r="E1265" s="11" t="n"/>
      <c r="F1265" s="11" t="n"/>
      <c r="G1265" s="8" t="n"/>
      <c r="H1265" s="8" t="n"/>
      <c r="I1265" s="8" t="n"/>
      <c r="J1265" s="8" t="n"/>
      <c r="K1265" s="12">
        <f>IF(OR(ISERROR(VLOOKUP(C1265, Resultados_Reales!$A$4:$I$107, 5, FALSE)), ISERROR(VLOOKUP(C1265, Resultados_Reales!$A$4:$I$107, 6, FALSE)), VLOOKUP(C1265, Resultados_Reales!$A$4:$I$107, 5, FALSE)="", VLOOKUP(C1265, Resultados_Reales!$A$4:$I$107, 6, FALSE)=""), 0, IF(AND(VLOOKUP(C1265, Resultados_Reales!$A$4:$I$107, 5, FALSE)=G1265, VLOOKUP(C1265, Resultados_Reales!$A$4:$I$107, 6, FALSE)=H1265), Configuracion!$B$5, IF(SIGN(VLOOKUP(C1265, Resultados_Reales!$A$4:$I$107, 5, FALSE)-VLOOKUP(C1265, Resultados_Reales!$A$4:$I$107, 6, FALSE)) = SIGN(G1265-H1265), Configuracion!$B$4, 0)))</f>
        <v/>
      </c>
      <c r="L1265" s="11" t="n"/>
      <c r="M1265" s="11" t="n"/>
      <c r="N1265" s="11" t="n"/>
      <c r="O1265" s="11" t="n"/>
      <c r="P1265" s="11" t="n"/>
      <c r="Q1265" s="11" t="n"/>
    </row>
    <row r="1266">
      <c r="A1266" s="8">
        <f>B1266&amp;"_"&amp;C1266</f>
        <v/>
      </c>
      <c r="B1266" s="8" t="n"/>
      <c r="C1266" s="8" t="n"/>
      <c r="D1266" s="8" t="n"/>
      <c r="E1266" s="11" t="n"/>
      <c r="F1266" s="11" t="n"/>
      <c r="G1266" s="8" t="n"/>
      <c r="H1266" s="8" t="n"/>
      <c r="I1266" s="8" t="n"/>
      <c r="J1266" s="8" t="n"/>
      <c r="K1266" s="12">
        <f>IF(OR(ISERROR(VLOOKUP(C1266, Resultados_Reales!$A$4:$I$107, 5, FALSE)), ISERROR(VLOOKUP(C1266, Resultados_Reales!$A$4:$I$107, 6, FALSE)), VLOOKUP(C1266, Resultados_Reales!$A$4:$I$107, 5, FALSE)="", VLOOKUP(C1266, Resultados_Reales!$A$4:$I$107, 6, FALSE)=""), 0, IF(AND(VLOOKUP(C1266, Resultados_Reales!$A$4:$I$107, 5, FALSE)=G1266, VLOOKUP(C1266, Resultados_Reales!$A$4:$I$107, 6, FALSE)=H1266), Configuracion!$B$5, IF(SIGN(VLOOKUP(C1266, Resultados_Reales!$A$4:$I$107, 5, FALSE)-VLOOKUP(C1266, Resultados_Reales!$A$4:$I$107, 6, FALSE)) = SIGN(G1266-H1266), Configuracion!$B$4, 0)))</f>
        <v/>
      </c>
      <c r="L1266" s="11" t="n"/>
      <c r="M1266" s="11" t="n"/>
      <c r="N1266" s="11" t="n"/>
      <c r="O1266" s="11" t="n"/>
      <c r="P1266" s="11" t="n"/>
      <c r="Q1266" s="11" t="n"/>
    </row>
    <row r="1267">
      <c r="A1267" s="8">
        <f>B1267&amp;"_"&amp;C1267</f>
        <v/>
      </c>
      <c r="B1267" s="8" t="n"/>
      <c r="C1267" s="8" t="n"/>
      <c r="D1267" s="8" t="n"/>
      <c r="E1267" s="11" t="n"/>
      <c r="F1267" s="11" t="n"/>
      <c r="G1267" s="8" t="n"/>
      <c r="H1267" s="8" t="n"/>
      <c r="I1267" s="8" t="n"/>
      <c r="J1267" s="8" t="n"/>
      <c r="K1267" s="12">
        <f>IF(OR(ISERROR(VLOOKUP(C1267, Resultados_Reales!$A$4:$I$107, 5, FALSE)), ISERROR(VLOOKUP(C1267, Resultados_Reales!$A$4:$I$107, 6, FALSE)), VLOOKUP(C1267, Resultados_Reales!$A$4:$I$107, 5, FALSE)="", VLOOKUP(C1267, Resultados_Reales!$A$4:$I$107, 6, FALSE)=""), 0, IF(AND(VLOOKUP(C1267, Resultados_Reales!$A$4:$I$107, 5, FALSE)=G1267, VLOOKUP(C1267, Resultados_Reales!$A$4:$I$107, 6, FALSE)=H1267), Configuracion!$B$5, IF(SIGN(VLOOKUP(C1267, Resultados_Reales!$A$4:$I$107, 5, FALSE)-VLOOKUP(C1267, Resultados_Reales!$A$4:$I$107, 6, FALSE)) = SIGN(G1267-H1267), Configuracion!$B$4, 0)))</f>
        <v/>
      </c>
      <c r="L1267" s="11" t="n"/>
      <c r="M1267" s="11" t="n"/>
      <c r="N1267" s="11" t="n"/>
      <c r="O1267" s="11" t="n"/>
      <c r="P1267" s="11" t="n"/>
      <c r="Q1267" s="11" t="n"/>
    </row>
    <row r="1268">
      <c r="A1268" s="8">
        <f>B1268&amp;"_"&amp;C1268</f>
        <v/>
      </c>
      <c r="B1268" s="8" t="n"/>
      <c r="C1268" s="8" t="n"/>
      <c r="D1268" s="8" t="n"/>
      <c r="E1268" s="11" t="n"/>
      <c r="F1268" s="11" t="n"/>
      <c r="G1268" s="8" t="n"/>
      <c r="H1268" s="8" t="n"/>
      <c r="I1268" s="8" t="n"/>
      <c r="J1268" s="8" t="n"/>
      <c r="K1268" s="12">
        <f>IF(OR(ISERROR(VLOOKUP(C1268, Resultados_Reales!$A$4:$I$107, 5, FALSE)), ISERROR(VLOOKUP(C1268, Resultados_Reales!$A$4:$I$107, 6, FALSE)), VLOOKUP(C1268, Resultados_Reales!$A$4:$I$107, 5, FALSE)="", VLOOKUP(C1268, Resultados_Reales!$A$4:$I$107, 6, FALSE)=""), 0, IF(AND(VLOOKUP(C1268, Resultados_Reales!$A$4:$I$107, 5, FALSE)=G1268, VLOOKUP(C1268, Resultados_Reales!$A$4:$I$107, 6, FALSE)=H1268), Configuracion!$B$5, IF(SIGN(VLOOKUP(C1268, Resultados_Reales!$A$4:$I$107, 5, FALSE)-VLOOKUP(C1268, Resultados_Reales!$A$4:$I$107, 6, FALSE)) = SIGN(G1268-H1268), Configuracion!$B$4, 0)))</f>
        <v/>
      </c>
      <c r="L1268" s="11" t="n"/>
      <c r="M1268" s="11" t="n"/>
      <c r="N1268" s="11" t="n"/>
      <c r="O1268" s="11" t="n"/>
      <c r="P1268" s="11" t="n"/>
      <c r="Q1268" s="11" t="n"/>
    </row>
    <row r="1269">
      <c r="A1269" s="8">
        <f>B1269&amp;"_"&amp;C1269</f>
        <v/>
      </c>
      <c r="B1269" s="8" t="n"/>
      <c r="C1269" s="8" t="n"/>
      <c r="D1269" s="8" t="n"/>
      <c r="E1269" s="11" t="n"/>
      <c r="F1269" s="11" t="n"/>
      <c r="G1269" s="8" t="n"/>
      <c r="H1269" s="8" t="n"/>
      <c r="I1269" s="8" t="n"/>
      <c r="J1269" s="8" t="n"/>
      <c r="K1269" s="12">
        <f>IF(OR(ISERROR(VLOOKUP(C1269, Resultados_Reales!$A$4:$I$107, 5, FALSE)), ISERROR(VLOOKUP(C1269, Resultados_Reales!$A$4:$I$107, 6, FALSE)), VLOOKUP(C1269, Resultados_Reales!$A$4:$I$107, 5, FALSE)="", VLOOKUP(C1269, Resultados_Reales!$A$4:$I$107, 6, FALSE)=""), 0, IF(AND(VLOOKUP(C1269, Resultados_Reales!$A$4:$I$107, 5, FALSE)=G1269, VLOOKUP(C1269, Resultados_Reales!$A$4:$I$107, 6, FALSE)=H1269), Configuracion!$B$5, IF(SIGN(VLOOKUP(C1269, Resultados_Reales!$A$4:$I$107, 5, FALSE)-VLOOKUP(C1269, Resultados_Reales!$A$4:$I$107, 6, FALSE)) = SIGN(G1269-H1269), Configuracion!$B$4, 0)))</f>
        <v/>
      </c>
      <c r="L1269" s="11" t="n"/>
      <c r="M1269" s="11" t="n"/>
      <c r="N1269" s="11" t="n"/>
      <c r="O1269" s="11" t="n"/>
      <c r="P1269" s="11" t="n"/>
      <c r="Q1269" s="11" t="n"/>
    </row>
    <row r="1270">
      <c r="A1270" s="8">
        <f>B1270&amp;"_"&amp;C1270</f>
        <v/>
      </c>
      <c r="B1270" s="8" t="n"/>
      <c r="C1270" s="8" t="n"/>
      <c r="D1270" s="8" t="n"/>
      <c r="E1270" s="11" t="n"/>
      <c r="F1270" s="11" t="n"/>
      <c r="G1270" s="8" t="n"/>
      <c r="H1270" s="8" t="n"/>
      <c r="I1270" s="8" t="n"/>
      <c r="J1270" s="8" t="n"/>
      <c r="K1270" s="12">
        <f>IF(OR(ISERROR(VLOOKUP(C1270, Resultados_Reales!$A$4:$I$107, 5, FALSE)), ISERROR(VLOOKUP(C1270, Resultados_Reales!$A$4:$I$107, 6, FALSE)), VLOOKUP(C1270, Resultados_Reales!$A$4:$I$107, 5, FALSE)="", VLOOKUP(C1270, Resultados_Reales!$A$4:$I$107, 6, FALSE)=""), 0, IF(AND(VLOOKUP(C1270, Resultados_Reales!$A$4:$I$107, 5, FALSE)=G1270, VLOOKUP(C1270, Resultados_Reales!$A$4:$I$107, 6, FALSE)=H1270), Configuracion!$B$5, IF(SIGN(VLOOKUP(C1270, Resultados_Reales!$A$4:$I$107, 5, FALSE)-VLOOKUP(C1270, Resultados_Reales!$A$4:$I$107, 6, FALSE)) = SIGN(G1270-H1270), Configuracion!$B$4, 0)))</f>
        <v/>
      </c>
      <c r="L1270" s="11" t="n"/>
      <c r="M1270" s="11" t="n"/>
      <c r="N1270" s="11" t="n"/>
      <c r="O1270" s="11" t="n"/>
      <c r="P1270" s="11" t="n"/>
      <c r="Q1270" s="11" t="n"/>
    </row>
    <row r="1271">
      <c r="A1271" s="8">
        <f>B1271&amp;"_"&amp;C1271</f>
        <v/>
      </c>
      <c r="B1271" s="8" t="n"/>
      <c r="C1271" s="8" t="n"/>
      <c r="D1271" s="8" t="n"/>
      <c r="E1271" s="11" t="n"/>
      <c r="F1271" s="11" t="n"/>
      <c r="G1271" s="8" t="n"/>
      <c r="H1271" s="8" t="n"/>
      <c r="I1271" s="8" t="n"/>
      <c r="J1271" s="8" t="n"/>
      <c r="K1271" s="12">
        <f>IF(OR(ISERROR(VLOOKUP(C1271, Resultados_Reales!$A$4:$I$107, 5, FALSE)), ISERROR(VLOOKUP(C1271, Resultados_Reales!$A$4:$I$107, 6, FALSE)), VLOOKUP(C1271, Resultados_Reales!$A$4:$I$107, 5, FALSE)="", VLOOKUP(C1271, Resultados_Reales!$A$4:$I$107, 6, FALSE)=""), 0, IF(AND(VLOOKUP(C1271, Resultados_Reales!$A$4:$I$107, 5, FALSE)=G1271, VLOOKUP(C1271, Resultados_Reales!$A$4:$I$107, 6, FALSE)=H1271), Configuracion!$B$5, IF(SIGN(VLOOKUP(C1271, Resultados_Reales!$A$4:$I$107, 5, FALSE)-VLOOKUP(C1271, Resultados_Reales!$A$4:$I$107, 6, FALSE)) = SIGN(G1271-H1271), Configuracion!$B$4, 0)))</f>
        <v/>
      </c>
      <c r="L1271" s="11" t="n"/>
      <c r="M1271" s="11" t="n"/>
      <c r="N1271" s="11" t="n"/>
      <c r="O1271" s="11" t="n"/>
      <c r="P1271" s="11" t="n"/>
      <c r="Q1271" s="11" t="n"/>
    </row>
    <row r="1272">
      <c r="A1272" s="8">
        <f>B1272&amp;"_"&amp;C1272</f>
        <v/>
      </c>
      <c r="B1272" s="8" t="n"/>
      <c r="C1272" s="8" t="n"/>
      <c r="D1272" s="8" t="n"/>
      <c r="E1272" s="11" t="n"/>
      <c r="F1272" s="11" t="n"/>
      <c r="G1272" s="8" t="n"/>
      <c r="H1272" s="8" t="n"/>
      <c r="I1272" s="8" t="n"/>
      <c r="J1272" s="8" t="n"/>
      <c r="K1272" s="12">
        <f>IF(OR(ISERROR(VLOOKUP(C1272, Resultados_Reales!$A$4:$I$107, 5, FALSE)), ISERROR(VLOOKUP(C1272, Resultados_Reales!$A$4:$I$107, 6, FALSE)), VLOOKUP(C1272, Resultados_Reales!$A$4:$I$107, 5, FALSE)="", VLOOKUP(C1272, Resultados_Reales!$A$4:$I$107, 6, FALSE)=""), 0, IF(AND(VLOOKUP(C1272, Resultados_Reales!$A$4:$I$107, 5, FALSE)=G1272, VLOOKUP(C1272, Resultados_Reales!$A$4:$I$107, 6, FALSE)=H1272), Configuracion!$B$5, IF(SIGN(VLOOKUP(C1272, Resultados_Reales!$A$4:$I$107, 5, FALSE)-VLOOKUP(C1272, Resultados_Reales!$A$4:$I$107, 6, FALSE)) = SIGN(G1272-H1272), Configuracion!$B$4, 0)))</f>
        <v/>
      </c>
      <c r="L1272" s="11" t="n"/>
      <c r="M1272" s="11" t="n"/>
      <c r="N1272" s="11" t="n"/>
      <c r="O1272" s="11" t="n"/>
      <c r="P1272" s="11" t="n"/>
      <c r="Q1272" s="11" t="n"/>
    </row>
    <row r="1273">
      <c r="A1273" s="8">
        <f>B1273&amp;"_"&amp;C1273</f>
        <v/>
      </c>
      <c r="B1273" s="8" t="n"/>
      <c r="C1273" s="8" t="n"/>
      <c r="D1273" s="8" t="n"/>
      <c r="E1273" s="11" t="n"/>
      <c r="F1273" s="11" t="n"/>
      <c r="G1273" s="8" t="n"/>
      <c r="H1273" s="8" t="n"/>
      <c r="I1273" s="8" t="n"/>
      <c r="J1273" s="8" t="n"/>
      <c r="K1273" s="12">
        <f>IF(OR(ISERROR(VLOOKUP(C1273, Resultados_Reales!$A$4:$I$107, 5, FALSE)), ISERROR(VLOOKUP(C1273, Resultados_Reales!$A$4:$I$107, 6, FALSE)), VLOOKUP(C1273, Resultados_Reales!$A$4:$I$107, 5, FALSE)="", VLOOKUP(C1273, Resultados_Reales!$A$4:$I$107, 6, FALSE)=""), 0, IF(AND(VLOOKUP(C1273, Resultados_Reales!$A$4:$I$107, 5, FALSE)=G1273, VLOOKUP(C1273, Resultados_Reales!$A$4:$I$107, 6, FALSE)=H1273), Configuracion!$B$5, IF(SIGN(VLOOKUP(C1273, Resultados_Reales!$A$4:$I$107, 5, FALSE)-VLOOKUP(C1273, Resultados_Reales!$A$4:$I$107, 6, FALSE)) = SIGN(G1273-H1273), Configuracion!$B$4, 0)))</f>
        <v/>
      </c>
      <c r="L1273" s="11" t="n"/>
      <c r="M1273" s="11" t="n"/>
      <c r="N1273" s="11" t="n"/>
      <c r="O1273" s="11" t="n"/>
      <c r="P1273" s="11" t="n"/>
      <c r="Q1273" s="11" t="n"/>
    </row>
    <row r="1274">
      <c r="A1274" s="8">
        <f>B1274&amp;"_"&amp;C1274</f>
        <v/>
      </c>
      <c r="B1274" s="8" t="n"/>
      <c r="C1274" s="8" t="n"/>
      <c r="D1274" s="8" t="n"/>
      <c r="E1274" s="11" t="n"/>
      <c r="F1274" s="11" t="n"/>
      <c r="G1274" s="8" t="n"/>
      <c r="H1274" s="8" t="n"/>
      <c r="I1274" s="8" t="n"/>
      <c r="J1274" s="8" t="n"/>
      <c r="K1274" s="12">
        <f>IF(OR(ISERROR(VLOOKUP(C1274, Resultados_Reales!$A$4:$I$107, 5, FALSE)), ISERROR(VLOOKUP(C1274, Resultados_Reales!$A$4:$I$107, 6, FALSE)), VLOOKUP(C1274, Resultados_Reales!$A$4:$I$107, 5, FALSE)="", VLOOKUP(C1274, Resultados_Reales!$A$4:$I$107, 6, FALSE)=""), 0, IF(AND(VLOOKUP(C1274, Resultados_Reales!$A$4:$I$107, 5, FALSE)=G1274, VLOOKUP(C1274, Resultados_Reales!$A$4:$I$107, 6, FALSE)=H1274), Configuracion!$B$5, IF(SIGN(VLOOKUP(C1274, Resultados_Reales!$A$4:$I$107, 5, FALSE)-VLOOKUP(C1274, Resultados_Reales!$A$4:$I$107, 6, FALSE)) = SIGN(G1274-H1274), Configuracion!$B$4, 0)))</f>
        <v/>
      </c>
      <c r="L1274" s="11" t="n"/>
      <c r="M1274" s="11" t="n"/>
      <c r="N1274" s="11" t="n"/>
      <c r="O1274" s="11" t="n"/>
      <c r="P1274" s="11" t="n"/>
      <c r="Q1274" s="11" t="n"/>
    </row>
    <row r="1275">
      <c r="A1275" s="8">
        <f>B1275&amp;"_"&amp;C1275</f>
        <v/>
      </c>
      <c r="B1275" s="8" t="n"/>
      <c r="C1275" s="8" t="n"/>
      <c r="D1275" s="8" t="n"/>
      <c r="E1275" s="11" t="n"/>
      <c r="F1275" s="11" t="n"/>
      <c r="G1275" s="8" t="n"/>
      <c r="H1275" s="8" t="n"/>
      <c r="I1275" s="8" t="n"/>
      <c r="J1275" s="8" t="n"/>
      <c r="K1275" s="12">
        <f>IF(OR(ISERROR(VLOOKUP(C1275, Resultados_Reales!$A$4:$I$107, 5, FALSE)), ISERROR(VLOOKUP(C1275, Resultados_Reales!$A$4:$I$107, 6, FALSE)), VLOOKUP(C1275, Resultados_Reales!$A$4:$I$107, 5, FALSE)="", VLOOKUP(C1275, Resultados_Reales!$A$4:$I$107, 6, FALSE)=""), 0, IF(AND(VLOOKUP(C1275, Resultados_Reales!$A$4:$I$107, 5, FALSE)=G1275, VLOOKUP(C1275, Resultados_Reales!$A$4:$I$107, 6, FALSE)=H1275), Configuracion!$B$5, IF(SIGN(VLOOKUP(C1275, Resultados_Reales!$A$4:$I$107, 5, FALSE)-VLOOKUP(C1275, Resultados_Reales!$A$4:$I$107, 6, FALSE)) = SIGN(G1275-H1275), Configuracion!$B$4, 0)))</f>
        <v/>
      </c>
      <c r="L1275" s="11" t="n"/>
      <c r="M1275" s="11" t="n"/>
      <c r="N1275" s="11" t="n"/>
      <c r="O1275" s="11" t="n"/>
      <c r="P1275" s="11" t="n"/>
      <c r="Q1275" s="11" t="n"/>
    </row>
    <row r="1276">
      <c r="A1276" s="8">
        <f>B1276&amp;"_"&amp;C1276</f>
        <v/>
      </c>
      <c r="B1276" s="8" t="n"/>
      <c r="C1276" s="8" t="n"/>
      <c r="D1276" s="8" t="n"/>
      <c r="E1276" s="11" t="n"/>
      <c r="F1276" s="11" t="n"/>
      <c r="G1276" s="8" t="n"/>
      <c r="H1276" s="8" t="n"/>
      <c r="I1276" s="8" t="n"/>
      <c r="J1276" s="8" t="n"/>
      <c r="K1276" s="12">
        <f>IF(OR(ISERROR(VLOOKUP(C1276, Resultados_Reales!$A$4:$I$107, 5, FALSE)), ISERROR(VLOOKUP(C1276, Resultados_Reales!$A$4:$I$107, 6, FALSE)), VLOOKUP(C1276, Resultados_Reales!$A$4:$I$107, 5, FALSE)="", VLOOKUP(C1276, Resultados_Reales!$A$4:$I$107, 6, FALSE)=""), 0, IF(AND(VLOOKUP(C1276, Resultados_Reales!$A$4:$I$107, 5, FALSE)=G1276, VLOOKUP(C1276, Resultados_Reales!$A$4:$I$107, 6, FALSE)=H1276), Configuracion!$B$5, IF(SIGN(VLOOKUP(C1276, Resultados_Reales!$A$4:$I$107, 5, FALSE)-VLOOKUP(C1276, Resultados_Reales!$A$4:$I$107, 6, FALSE)) = SIGN(G1276-H1276), Configuracion!$B$4, 0)))</f>
        <v/>
      </c>
      <c r="L1276" s="11" t="n"/>
      <c r="M1276" s="11" t="n"/>
      <c r="N1276" s="11" t="n"/>
      <c r="O1276" s="11" t="n"/>
      <c r="P1276" s="11" t="n"/>
      <c r="Q1276" s="11" t="n"/>
    </row>
    <row r="1277">
      <c r="A1277" s="8">
        <f>B1277&amp;"_"&amp;C1277</f>
        <v/>
      </c>
      <c r="B1277" s="8" t="n"/>
      <c r="C1277" s="8" t="n"/>
      <c r="D1277" s="8" t="n"/>
      <c r="E1277" s="11" t="n"/>
      <c r="F1277" s="11" t="n"/>
      <c r="G1277" s="8" t="n"/>
      <c r="H1277" s="8" t="n"/>
      <c r="I1277" s="8" t="n"/>
      <c r="J1277" s="8" t="n"/>
      <c r="K1277" s="12">
        <f>IF(OR(ISERROR(VLOOKUP(C1277, Resultados_Reales!$A$4:$I$107, 5, FALSE)), ISERROR(VLOOKUP(C1277, Resultados_Reales!$A$4:$I$107, 6, FALSE)), VLOOKUP(C1277, Resultados_Reales!$A$4:$I$107, 5, FALSE)="", VLOOKUP(C1277, Resultados_Reales!$A$4:$I$107, 6, FALSE)=""), 0, IF(AND(VLOOKUP(C1277, Resultados_Reales!$A$4:$I$107, 5, FALSE)=G1277, VLOOKUP(C1277, Resultados_Reales!$A$4:$I$107, 6, FALSE)=H1277), Configuracion!$B$5, IF(SIGN(VLOOKUP(C1277, Resultados_Reales!$A$4:$I$107, 5, FALSE)-VLOOKUP(C1277, Resultados_Reales!$A$4:$I$107, 6, FALSE)) = SIGN(G1277-H1277), Configuracion!$B$4, 0)))</f>
        <v/>
      </c>
      <c r="L1277" s="11" t="n"/>
      <c r="M1277" s="11" t="n"/>
      <c r="N1277" s="11" t="n"/>
      <c r="O1277" s="11" t="n"/>
      <c r="P1277" s="11" t="n"/>
      <c r="Q1277" s="11" t="n"/>
    </row>
    <row r="1278">
      <c r="A1278" s="8">
        <f>B1278&amp;"_"&amp;C1278</f>
        <v/>
      </c>
      <c r="B1278" s="8" t="n"/>
      <c r="C1278" s="8" t="n"/>
      <c r="D1278" s="8" t="n"/>
      <c r="E1278" s="11" t="n"/>
      <c r="F1278" s="11" t="n"/>
      <c r="G1278" s="8" t="n"/>
      <c r="H1278" s="8" t="n"/>
      <c r="I1278" s="8" t="n"/>
      <c r="J1278" s="8" t="n"/>
      <c r="K1278" s="12">
        <f>IF(OR(ISERROR(VLOOKUP(C1278, Resultados_Reales!$A$4:$I$107, 5, FALSE)), ISERROR(VLOOKUP(C1278, Resultados_Reales!$A$4:$I$107, 6, FALSE)), VLOOKUP(C1278, Resultados_Reales!$A$4:$I$107, 5, FALSE)="", VLOOKUP(C1278, Resultados_Reales!$A$4:$I$107, 6, FALSE)=""), 0, IF(AND(VLOOKUP(C1278, Resultados_Reales!$A$4:$I$107, 5, FALSE)=G1278, VLOOKUP(C1278, Resultados_Reales!$A$4:$I$107, 6, FALSE)=H1278), Configuracion!$B$5, IF(SIGN(VLOOKUP(C1278, Resultados_Reales!$A$4:$I$107, 5, FALSE)-VLOOKUP(C1278, Resultados_Reales!$A$4:$I$107, 6, FALSE)) = SIGN(G1278-H1278), Configuracion!$B$4, 0)))</f>
        <v/>
      </c>
      <c r="L1278" s="11" t="n"/>
      <c r="M1278" s="11" t="n"/>
      <c r="N1278" s="11" t="n"/>
      <c r="O1278" s="11" t="n"/>
      <c r="P1278" s="11" t="n"/>
      <c r="Q1278" s="11" t="n"/>
    </row>
    <row r="1279">
      <c r="A1279" s="8">
        <f>B1279&amp;"_"&amp;C1279</f>
        <v/>
      </c>
      <c r="B1279" s="8" t="n"/>
      <c r="C1279" s="8" t="n"/>
      <c r="D1279" s="8" t="n"/>
      <c r="E1279" s="11" t="n"/>
      <c r="F1279" s="11" t="n"/>
      <c r="G1279" s="8" t="n"/>
      <c r="H1279" s="8" t="n"/>
      <c r="I1279" s="8" t="n"/>
      <c r="J1279" s="8" t="n"/>
      <c r="K1279" s="12">
        <f>IF(OR(ISERROR(VLOOKUP(C1279, Resultados_Reales!$A$4:$I$107, 5, FALSE)), ISERROR(VLOOKUP(C1279, Resultados_Reales!$A$4:$I$107, 6, FALSE)), VLOOKUP(C1279, Resultados_Reales!$A$4:$I$107, 5, FALSE)="", VLOOKUP(C1279, Resultados_Reales!$A$4:$I$107, 6, FALSE)=""), 0, IF(AND(VLOOKUP(C1279, Resultados_Reales!$A$4:$I$107, 5, FALSE)=G1279, VLOOKUP(C1279, Resultados_Reales!$A$4:$I$107, 6, FALSE)=H1279), Configuracion!$B$5, IF(SIGN(VLOOKUP(C1279, Resultados_Reales!$A$4:$I$107, 5, FALSE)-VLOOKUP(C1279, Resultados_Reales!$A$4:$I$107, 6, FALSE)) = SIGN(G1279-H1279), Configuracion!$B$4, 0)))</f>
        <v/>
      </c>
      <c r="L1279" s="11" t="n"/>
      <c r="M1279" s="11" t="n"/>
      <c r="N1279" s="11" t="n"/>
      <c r="O1279" s="11" t="n"/>
      <c r="P1279" s="11" t="n"/>
      <c r="Q1279" s="11" t="n"/>
    </row>
    <row r="1280">
      <c r="A1280" s="8">
        <f>B1280&amp;"_"&amp;C1280</f>
        <v/>
      </c>
      <c r="B1280" s="8" t="n"/>
      <c r="C1280" s="8" t="n"/>
      <c r="D1280" s="8" t="n"/>
      <c r="E1280" s="11" t="n"/>
      <c r="F1280" s="11" t="n"/>
      <c r="G1280" s="8" t="n"/>
      <c r="H1280" s="8" t="n"/>
      <c r="I1280" s="8" t="n"/>
      <c r="J1280" s="8" t="n"/>
      <c r="K1280" s="12">
        <f>IF(OR(ISERROR(VLOOKUP(C1280, Resultados_Reales!$A$4:$I$107, 5, FALSE)), ISERROR(VLOOKUP(C1280, Resultados_Reales!$A$4:$I$107, 6, FALSE)), VLOOKUP(C1280, Resultados_Reales!$A$4:$I$107, 5, FALSE)="", VLOOKUP(C1280, Resultados_Reales!$A$4:$I$107, 6, FALSE)=""), 0, IF(AND(VLOOKUP(C1280, Resultados_Reales!$A$4:$I$107, 5, FALSE)=G1280, VLOOKUP(C1280, Resultados_Reales!$A$4:$I$107, 6, FALSE)=H1280), Configuracion!$B$5, IF(SIGN(VLOOKUP(C1280, Resultados_Reales!$A$4:$I$107, 5, FALSE)-VLOOKUP(C1280, Resultados_Reales!$A$4:$I$107, 6, FALSE)) = SIGN(G1280-H1280), Configuracion!$B$4, 0)))</f>
        <v/>
      </c>
      <c r="L1280" s="11" t="n"/>
      <c r="M1280" s="11" t="n"/>
      <c r="N1280" s="11" t="n"/>
      <c r="O1280" s="11" t="n"/>
      <c r="P1280" s="11" t="n"/>
      <c r="Q1280" s="11" t="n"/>
    </row>
    <row r="1281">
      <c r="A1281" s="8">
        <f>B1281&amp;"_"&amp;C1281</f>
        <v/>
      </c>
      <c r="B1281" s="8" t="n"/>
      <c r="C1281" s="8" t="n"/>
      <c r="D1281" s="8" t="n"/>
      <c r="E1281" s="11" t="n"/>
      <c r="F1281" s="11" t="n"/>
      <c r="G1281" s="8" t="n"/>
      <c r="H1281" s="8" t="n"/>
      <c r="I1281" s="8" t="n"/>
      <c r="J1281" s="8" t="n"/>
      <c r="K1281" s="12">
        <f>IF(OR(ISERROR(VLOOKUP(C1281, Resultados_Reales!$A$4:$I$107, 5, FALSE)), ISERROR(VLOOKUP(C1281, Resultados_Reales!$A$4:$I$107, 6, FALSE)), VLOOKUP(C1281, Resultados_Reales!$A$4:$I$107, 5, FALSE)="", VLOOKUP(C1281, Resultados_Reales!$A$4:$I$107, 6, FALSE)=""), 0, IF(AND(VLOOKUP(C1281, Resultados_Reales!$A$4:$I$107, 5, FALSE)=G1281, VLOOKUP(C1281, Resultados_Reales!$A$4:$I$107, 6, FALSE)=H1281), Configuracion!$B$5, IF(SIGN(VLOOKUP(C1281, Resultados_Reales!$A$4:$I$107, 5, FALSE)-VLOOKUP(C1281, Resultados_Reales!$A$4:$I$107, 6, FALSE)) = SIGN(G1281-H1281), Configuracion!$B$4, 0)))</f>
        <v/>
      </c>
      <c r="L1281" s="11" t="n"/>
      <c r="M1281" s="11" t="n"/>
      <c r="N1281" s="11" t="n"/>
      <c r="O1281" s="11" t="n"/>
      <c r="P1281" s="11" t="n"/>
      <c r="Q1281" s="11" t="n"/>
    </row>
    <row r="1282">
      <c r="A1282" s="8">
        <f>B1282&amp;"_"&amp;C1282</f>
        <v/>
      </c>
      <c r="B1282" s="8" t="n"/>
      <c r="C1282" s="8" t="n"/>
      <c r="D1282" s="8" t="n"/>
      <c r="E1282" s="11" t="n"/>
      <c r="F1282" s="11" t="n"/>
      <c r="G1282" s="8" t="n"/>
      <c r="H1282" s="8" t="n"/>
      <c r="I1282" s="8" t="n"/>
      <c r="J1282" s="8" t="n"/>
      <c r="K1282" s="12">
        <f>IF(OR(ISERROR(VLOOKUP(C1282, Resultados_Reales!$A$4:$I$107, 5, FALSE)), ISERROR(VLOOKUP(C1282, Resultados_Reales!$A$4:$I$107, 6, FALSE)), VLOOKUP(C1282, Resultados_Reales!$A$4:$I$107, 5, FALSE)="", VLOOKUP(C1282, Resultados_Reales!$A$4:$I$107, 6, FALSE)=""), 0, IF(AND(VLOOKUP(C1282, Resultados_Reales!$A$4:$I$107, 5, FALSE)=G1282, VLOOKUP(C1282, Resultados_Reales!$A$4:$I$107, 6, FALSE)=H1282), Configuracion!$B$5, IF(SIGN(VLOOKUP(C1282, Resultados_Reales!$A$4:$I$107, 5, FALSE)-VLOOKUP(C1282, Resultados_Reales!$A$4:$I$107, 6, FALSE)) = SIGN(G1282-H1282), Configuracion!$B$4, 0)))</f>
        <v/>
      </c>
      <c r="L1282" s="11" t="n"/>
      <c r="M1282" s="11" t="n"/>
      <c r="N1282" s="11" t="n"/>
      <c r="O1282" s="11" t="n"/>
      <c r="P1282" s="11" t="n"/>
      <c r="Q1282" s="11" t="n"/>
    </row>
    <row r="1283">
      <c r="A1283" s="8">
        <f>B1283&amp;"_"&amp;C1283</f>
        <v/>
      </c>
      <c r="B1283" s="8" t="n"/>
      <c r="C1283" s="8" t="n"/>
      <c r="D1283" s="8" t="n"/>
      <c r="E1283" s="11" t="n"/>
      <c r="F1283" s="11" t="n"/>
      <c r="G1283" s="8" t="n"/>
      <c r="H1283" s="8" t="n"/>
      <c r="I1283" s="8" t="n"/>
      <c r="J1283" s="8" t="n"/>
      <c r="K1283" s="12">
        <f>IF(OR(ISERROR(VLOOKUP(C1283, Resultados_Reales!$A$4:$I$107, 5, FALSE)), ISERROR(VLOOKUP(C1283, Resultados_Reales!$A$4:$I$107, 6, FALSE)), VLOOKUP(C1283, Resultados_Reales!$A$4:$I$107, 5, FALSE)="", VLOOKUP(C1283, Resultados_Reales!$A$4:$I$107, 6, FALSE)=""), 0, IF(AND(VLOOKUP(C1283, Resultados_Reales!$A$4:$I$107, 5, FALSE)=G1283, VLOOKUP(C1283, Resultados_Reales!$A$4:$I$107, 6, FALSE)=H1283), Configuracion!$B$5, IF(SIGN(VLOOKUP(C1283, Resultados_Reales!$A$4:$I$107, 5, FALSE)-VLOOKUP(C1283, Resultados_Reales!$A$4:$I$107, 6, FALSE)) = SIGN(G1283-H1283), Configuracion!$B$4, 0)))</f>
        <v/>
      </c>
      <c r="L1283" s="11" t="n"/>
      <c r="M1283" s="11" t="n"/>
      <c r="N1283" s="11" t="n"/>
      <c r="O1283" s="11" t="n"/>
      <c r="P1283" s="11" t="n"/>
      <c r="Q1283" s="11" t="n"/>
    </row>
    <row r="1284">
      <c r="A1284" s="8">
        <f>B1284&amp;"_"&amp;C1284</f>
        <v/>
      </c>
      <c r="B1284" s="8" t="n"/>
      <c r="C1284" s="8" t="n"/>
      <c r="D1284" s="8" t="n"/>
      <c r="E1284" s="11" t="n"/>
      <c r="F1284" s="11" t="n"/>
      <c r="G1284" s="8" t="n"/>
      <c r="H1284" s="8" t="n"/>
      <c r="I1284" s="8" t="n"/>
      <c r="J1284" s="8" t="n"/>
      <c r="K1284" s="12">
        <f>IF(OR(ISERROR(VLOOKUP(C1284, Resultados_Reales!$A$4:$I$107, 5, FALSE)), ISERROR(VLOOKUP(C1284, Resultados_Reales!$A$4:$I$107, 6, FALSE)), VLOOKUP(C1284, Resultados_Reales!$A$4:$I$107, 5, FALSE)="", VLOOKUP(C1284, Resultados_Reales!$A$4:$I$107, 6, FALSE)=""), 0, IF(AND(VLOOKUP(C1284, Resultados_Reales!$A$4:$I$107, 5, FALSE)=G1284, VLOOKUP(C1284, Resultados_Reales!$A$4:$I$107, 6, FALSE)=H1284), Configuracion!$B$5, IF(SIGN(VLOOKUP(C1284, Resultados_Reales!$A$4:$I$107, 5, FALSE)-VLOOKUP(C1284, Resultados_Reales!$A$4:$I$107, 6, FALSE)) = SIGN(G1284-H1284), Configuracion!$B$4, 0)))</f>
        <v/>
      </c>
      <c r="L1284" s="11" t="n"/>
      <c r="M1284" s="11" t="n"/>
      <c r="N1284" s="11" t="n"/>
      <c r="O1284" s="11" t="n"/>
      <c r="P1284" s="11" t="n"/>
      <c r="Q1284" s="11" t="n"/>
    </row>
    <row r="1285">
      <c r="A1285" s="8">
        <f>B1285&amp;"_"&amp;C1285</f>
        <v/>
      </c>
      <c r="B1285" s="8" t="n"/>
      <c r="C1285" s="8" t="n"/>
      <c r="D1285" s="8" t="n"/>
      <c r="E1285" s="11" t="n"/>
      <c r="F1285" s="11" t="n"/>
      <c r="G1285" s="8" t="n"/>
      <c r="H1285" s="8" t="n"/>
      <c r="I1285" s="8" t="n"/>
      <c r="J1285" s="8" t="n"/>
      <c r="K1285" s="12">
        <f>IF(OR(ISERROR(VLOOKUP(C1285, Resultados_Reales!$A$4:$I$107, 5, FALSE)), ISERROR(VLOOKUP(C1285, Resultados_Reales!$A$4:$I$107, 6, FALSE)), VLOOKUP(C1285, Resultados_Reales!$A$4:$I$107, 5, FALSE)="", VLOOKUP(C1285, Resultados_Reales!$A$4:$I$107, 6, FALSE)=""), 0, IF(AND(VLOOKUP(C1285, Resultados_Reales!$A$4:$I$107, 5, FALSE)=G1285, VLOOKUP(C1285, Resultados_Reales!$A$4:$I$107, 6, FALSE)=H1285), Configuracion!$B$5, IF(SIGN(VLOOKUP(C1285, Resultados_Reales!$A$4:$I$107, 5, FALSE)-VLOOKUP(C1285, Resultados_Reales!$A$4:$I$107, 6, FALSE)) = SIGN(G1285-H1285), Configuracion!$B$4, 0)))</f>
        <v/>
      </c>
      <c r="L1285" s="11" t="n"/>
      <c r="M1285" s="11" t="n"/>
      <c r="N1285" s="11" t="n"/>
      <c r="O1285" s="11" t="n"/>
      <c r="P1285" s="11" t="n"/>
      <c r="Q1285" s="11" t="n"/>
    </row>
    <row r="1286">
      <c r="A1286" s="8">
        <f>B1286&amp;"_"&amp;C1286</f>
        <v/>
      </c>
      <c r="B1286" s="8" t="n"/>
      <c r="C1286" s="8" t="n"/>
      <c r="D1286" s="8" t="n"/>
      <c r="E1286" s="11" t="n"/>
      <c r="F1286" s="11" t="n"/>
      <c r="G1286" s="8" t="n"/>
      <c r="H1286" s="8" t="n"/>
      <c r="I1286" s="8" t="n"/>
      <c r="J1286" s="8" t="n"/>
      <c r="K1286" s="12">
        <f>IF(OR(ISERROR(VLOOKUP(C1286, Resultados_Reales!$A$4:$I$107, 5, FALSE)), ISERROR(VLOOKUP(C1286, Resultados_Reales!$A$4:$I$107, 6, FALSE)), VLOOKUP(C1286, Resultados_Reales!$A$4:$I$107, 5, FALSE)="", VLOOKUP(C1286, Resultados_Reales!$A$4:$I$107, 6, FALSE)=""), 0, IF(AND(VLOOKUP(C1286, Resultados_Reales!$A$4:$I$107, 5, FALSE)=G1286, VLOOKUP(C1286, Resultados_Reales!$A$4:$I$107, 6, FALSE)=H1286), Configuracion!$B$5, IF(SIGN(VLOOKUP(C1286, Resultados_Reales!$A$4:$I$107, 5, FALSE)-VLOOKUP(C1286, Resultados_Reales!$A$4:$I$107, 6, FALSE)) = SIGN(G1286-H1286), Configuracion!$B$4, 0)))</f>
        <v/>
      </c>
      <c r="L1286" s="11" t="n"/>
      <c r="M1286" s="11" t="n"/>
      <c r="N1286" s="11" t="n"/>
      <c r="O1286" s="11" t="n"/>
      <c r="P1286" s="11" t="n"/>
      <c r="Q1286" s="11" t="n"/>
    </row>
    <row r="1287">
      <c r="A1287" s="8">
        <f>B1287&amp;"_"&amp;C1287</f>
        <v/>
      </c>
      <c r="B1287" s="8" t="n"/>
      <c r="C1287" s="8" t="n"/>
      <c r="D1287" s="8" t="n"/>
      <c r="E1287" s="11" t="n"/>
      <c r="F1287" s="11" t="n"/>
      <c r="G1287" s="8" t="n"/>
      <c r="H1287" s="8" t="n"/>
      <c r="I1287" s="8" t="n"/>
      <c r="J1287" s="8" t="n"/>
      <c r="K1287" s="12">
        <f>IF(OR(ISERROR(VLOOKUP(C1287, Resultados_Reales!$A$4:$I$107, 5, FALSE)), ISERROR(VLOOKUP(C1287, Resultados_Reales!$A$4:$I$107, 6, FALSE)), VLOOKUP(C1287, Resultados_Reales!$A$4:$I$107, 5, FALSE)="", VLOOKUP(C1287, Resultados_Reales!$A$4:$I$107, 6, FALSE)=""), 0, IF(AND(VLOOKUP(C1287, Resultados_Reales!$A$4:$I$107, 5, FALSE)=G1287, VLOOKUP(C1287, Resultados_Reales!$A$4:$I$107, 6, FALSE)=H1287), Configuracion!$B$5, IF(SIGN(VLOOKUP(C1287, Resultados_Reales!$A$4:$I$107, 5, FALSE)-VLOOKUP(C1287, Resultados_Reales!$A$4:$I$107, 6, FALSE)) = SIGN(G1287-H1287), Configuracion!$B$4, 0)))</f>
        <v/>
      </c>
      <c r="L1287" s="11" t="n"/>
      <c r="M1287" s="11" t="n"/>
      <c r="N1287" s="11" t="n"/>
      <c r="O1287" s="11" t="n"/>
      <c r="P1287" s="11" t="n"/>
      <c r="Q1287" s="11" t="n"/>
    </row>
    <row r="1288">
      <c r="A1288" s="8">
        <f>B1288&amp;"_"&amp;C1288</f>
        <v/>
      </c>
      <c r="B1288" s="8" t="n"/>
      <c r="C1288" s="8" t="n"/>
      <c r="D1288" s="8" t="n"/>
      <c r="E1288" s="11" t="n"/>
      <c r="F1288" s="11" t="n"/>
      <c r="G1288" s="8" t="n"/>
      <c r="H1288" s="8" t="n"/>
      <c r="I1288" s="8" t="n"/>
      <c r="J1288" s="8" t="n"/>
      <c r="K1288" s="12">
        <f>IF(OR(ISERROR(VLOOKUP(C1288, Resultados_Reales!$A$4:$I$107, 5, FALSE)), ISERROR(VLOOKUP(C1288, Resultados_Reales!$A$4:$I$107, 6, FALSE)), VLOOKUP(C1288, Resultados_Reales!$A$4:$I$107, 5, FALSE)="", VLOOKUP(C1288, Resultados_Reales!$A$4:$I$107, 6, FALSE)=""), 0, IF(AND(VLOOKUP(C1288, Resultados_Reales!$A$4:$I$107, 5, FALSE)=G1288, VLOOKUP(C1288, Resultados_Reales!$A$4:$I$107, 6, FALSE)=H1288), Configuracion!$B$5, IF(SIGN(VLOOKUP(C1288, Resultados_Reales!$A$4:$I$107, 5, FALSE)-VLOOKUP(C1288, Resultados_Reales!$A$4:$I$107, 6, FALSE)) = SIGN(G1288-H1288), Configuracion!$B$4, 0)))</f>
        <v/>
      </c>
      <c r="L1288" s="11" t="n"/>
      <c r="M1288" s="11" t="n"/>
      <c r="N1288" s="11" t="n"/>
      <c r="O1288" s="11" t="n"/>
      <c r="P1288" s="11" t="n"/>
      <c r="Q1288" s="11" t="n"/>
    </row>
    <row r="1289">
      <c r="A1289" s="8">
        <f>B1289&amp;"_"&amp;C1289</f>
        <v/>
      </c>
      <c r="B1289" s="8" t="n"/>
      <c r="C1289" s="8" t="n"/>
      <c r="D1289" s="8" t="n"/>
      <c r="E1289" s="11" t="n"/>
      <c r="F1289" s="11" t="n"/>
      <c r="G1289" s="8" t="n"/>
      <c r="H1289" s="8" t="n"/>
      <c r="I1289" s="8" t="n"/>
      <c r="J1289" s="8" t="n"/>
      <c r="K1289" s="12">
        <f>IF(OR(ISERROR(VLOOKUP(C1289, Resultados_Reales!$A$4:$I$107, 5, FALSE)), ISERROR(VLOOKUP(C1289, Resultados_Reales!$A$4:$I$107, 6, FALSE)), VLOOKUP(C1289, Resultados_Reales!$A$4:$I$107, 5, FALSE)="", VLOOKUP(C1289, Resultados_Reales!$A$4:$I$107, 6, FALSE)=""), 0, IF(AND(VLOOKUP(C1289, Resultados_Reales!$A$4:$I$107, 5, FALSE)=G1289, VLOOKUP(C1289, Resultados_Reales!$A$4:$I$107, 6, FALSE)=H1289), Configuracion!$B$5, IF(SIGN(VLOOKUP(C1289, Resultados_Reales!$A$4:$I$107, 5, FALSE)-VLOOKUP(C1289, Resultados_Reales!$A$4:$I$107, 6, FALSE)) = SIGN(G1289-H1289), Configuracion!$B$4, 0)))</f>
        <v/>
      </c>
      <c r="L1289" s="11" t="n"/>
      <c r="M1289" s="11" t="n"/>
      <c r="N1289" s="11" t="n"/>
      <c r="O1289" s="11" t="n"/>
      <c r="P1289" s="11" t="n"/>
      <c r="Q1289" s="11" t="n"/>
    </row>
    <row r="1290">
      <c r="A1290" s="8">
        <f>B1290&amp;"_"&amp;C1290</f>
        <v/>
      </c>
      <c r="B1290" s="8" t="n"/>
      <c r="C1290" s="8" t="n"/>
      <c r="D1290" s="8" t="n"/>
      <c r="E1290" s="11" t="n"/>
      <c r="F1290" s="11" t="n"/>
      <c r="G1290" s="8" t="n"/>
      <c r="H1290" s="8" t="n"/>
      <c r="I1290" s="8" t="n"/>
      <c r="J1290" s="8" t="n"/>
      <c r="K1290" s="12">
        <f>IF(OR(ISERROR(VLOOKUP(C1290, Resultados_Reales!$A$4:$I$107, 5, FALSE)), ISERROR(VLOOKUP(C1290, Resultados_Reales!$A$4:$I$107, 6, FALSE)), VLOOKUP(C1290, Resultados_Reales!$A$4:$I$107, 5, FALSE)="", VLOOKUP(C1290, Resultados_Reales!$A$4:$I$107, 6, FALSE)=""), 0, IF(AND(VLOOKUP(C1290, Resultados_Reales!$A$4:$I$107, 5, FALSE)=G1290, VLOOKUP(C1290, Resultados_Reales!$A$4:$I$107, 6, FALSE)=H1290), Configuracion!$B$5, IF(SIGN(VLOOKUP(C1290, Resultados_Reales!$A$4:$I$107, 5, FALSE)-VLOOKUP(C1290, Resultados_Reales!$A$4:$I$107, 6, FALSE)) = SIGN(G1290-H1290), Configuracion!$B$4, 0)))</f>
        <v/>
      </c>
      <c r="L1290" s="11" t="n"/>
      <c r="M1290" s="11" t="n"/>
      <c r="N1290" s="11" t="n"/>
      <c r="O1290" s="11" t="n"/>
      <c r="P1290" s="11" t="n"/>
      <c r="Q1290" s="11" t="n"/>
    </row>
    <row r="1291">
      <c r="A1291" s="8">
        <f>B1291&amp;"_"&amp;C1291</f>
        <v/>
      </c>
      <c r="B1291" s="8" t="n"/>
      <c r="C1291" s="8" t="n"/>
      <c r="D1291" s="8" t="n"/>
      <c r="E1291" s="11" t="n"/>
      <c r="F1291" s="11" t="n"/>
      <c r="G1291" s="8" t="n"/>
      <c r="H1291" s="8" t="n"/>
      <c r="I1291" s="8" t="n"/>
      <c r="J1291" s="8" t="n"/>
      <c r="K1291" s="12">
        <f>IF(OR(ISERROR(VLOOKUP(C1291, Resultados_Reales!$A$4:$I$107, 5, FALSE)), ISERROR(VLOOKUP(C1291, Resultados_Reales!$A$4:$I$107, 6, FALSE)), VLOOKUP(C1291, Resultados_Reales!$A$4:$I$107, 5, FALSE)="", VLOOKUP(C1291, Resultados_Reales!$A$4:$I$107, 6, FALSE)=""), 0, IF(AND(VLOOKUP(C1291, Resultados_Reales!$A$4:$I$107, 5, FALSE)=G1291, VLOOKUP(C1291, Resultados_Reales!$A$4:$I$107, 6, FALSE)=H1291), Configuracion!$B$5, IF(SIGN(VLOOKUP(C1291, Resultados_Reales!$A$4:$I$107, 5, FALSE)-VLOOKUP(C1291, Resultados_Reales!$A$4:$I$107, 6, FALSE)) = SIGN(G1291-H1291), Configuracion!$B$4, 0)))</f>
        <v/>
      </c>
      <c r="L1291" s="11" t="n"/>
      <c r="M1291" s="11" t="n"/>
      <c r="N1291" s="11" t="n"/>
      <c r="O1291" s="11" t="n"/>
      <c r="P1291" s="11" t="n"/>
      <c r="Q1291" s="11" t="n"/>
    </row>
    <row r="1292">
      <c r="A1292" s="8">
        <f>B1292&amp;"_"&amp;C1292</f>
        <v/>
      </c>
      <c r="B1292" s="8" t="n"/>
      <c r="C1292" s="8" t="n"/>
      <c r="D1292" s="8" t="n"/>
      <c r="E1292" s="11" t="n"/>
      <c r="F1292" s="11" t="n"/>
      <c r="G1292" s="8" t="n"/>
      <c r="H1292" s="8" t="n"/>
      <c r="I1292" s="8" t="n"/>
      <c r="J1292" s="8" t="n"/>
      <c r="K1292" s="12">
        <f>IF(OR(ISERROR(VLOOKUP(C1292, Resultados_Reales!$A$4:$I$107, 5, FALSE)), ISERROR(VLOOKUP(C1292, Resultados_Reales!$A$4:$I$107, 6, FALSE)), VLOOKUP(C1292, Resultados_Reales!$A$4:$I$107, 5, FALSE)="", VLOOKUP(C1292, Resultados_Reales!$A$4:$I$107, 6, FALSE)=""), 0, IF(AND(VLOOKUP(C1292, Resultados_Reales!$A$4:$I$107, 5, FALSE)=G1292, VLOOKUP(C1292, Resultados_Reales!$A$4:$I$107, 6, FALSE)=H1292), Configuracion!$B$5, IF(SIGN(VLOOKUP(C1292, Resultados_Reales!$A$4:$I$107, 5, FALSE)-VLOOKUP(C1292, Resultados_Reales!$A$4:$I$107, 6, FALSE)) = SIGN(G1292-H1292), Configuracion!$B$4, 0)))</f>
        <v/>
      </c>
      <c r="L1292" s="11" t="n"/>
      <c r="M1292" s="11" t="n"/>
      <c r="N1292" s="11" t="n"/>
      <c r="O1292" s="11" t="n"/>
      <c r="P1292" s="11" t="n"/>
      <c r="Q1292" s="11" t="n"/>
    </row>
    <row r="1293">
      <c r="A1293" s="8">
        <f>B1293&amp;"_"&amp;C1293</f>
        <v/>
      </c>
      <c r="B1293" s="8" t="n"/>
      <c r="C1293" s="8" t="n"/>
      <c r="D1293" s="8" t="n"/>
      <c r="E1293" s="11" t="n"/>
      <c r="F1293" s="11" t="n"/>
      <c r="G1293" s="8" t="n"/>
      <c r="H1293" s="8" t="n"/>
      <c r="I1293" s="8" t="n"/>
      <c r="J1293" s="8" t="n"/>
      <c r="K1293" s="12">
        <f>IF(OR(ISERROR(VLOOKUP(C1293, Resultados_Reales!$A$4:$I$107, 5, FALSE)), ISERROR(VLOOKUP(C1293, Resultados_Reales!$A$4:$I$107, 6, FALSE)), VLOOKUP(C1293, Resultados_Reales!$A$4:$I$107, 5, FALSE)="", VLOOKUP(C1293, Resultados_Reales!$A$4:$I$107, 6, FALSE)=""), 0, IF(AND(VLOOKUP(C1293, Resultados_Reales!$A$4:$I$107, 5, FALSE)=G1293, VLOOKUP(C1293, Resultados_Reales!$A$4:$I$107, 6, FALSE)=H1293), Configuracion!$B$5, IF(SIGN(VLOOKUP(C1293, Resultados_Reales!$A$4:$I$107, 5, FALSE)-VLOOKUP(C1293, Resultados_Reales!$A$4:$I$107, 6, FALSE)) = SIGN(G1293-H1293), Configuracion!$B$4, 0)))</f>
        <v/>
      </c>
      <c r="L1293" s="11" t="n"/>
      <c r="M1293" s="11" t="n"/>
      <c r="N1293" s="11" t="n"/>
      <c r="O1293" s="11" t="n"/>
      <c r="P1293" s="11" t="n"/>
      <c r="Q1293" s="11" t="n"/>
    </row>
    <row r="1294">
      <c r="A1294" s="8">
        <f>B1294&amp;"_"&amp;C1294</f>
        <v/>
      </c>
      <c r="B1294" s="8" t="n"/>
      <c r="C1294" s="8" t="n"/>
      <c r="D1294" s="8" t="n"/>
      <c r="E1294" s="11" t="n"/>
      <c r="F1294" s="11" t="n"/>
      <c r="G1294" s="8" t="n"/>
      <c r="H1294" s="8" t="n"/>
      <c r="I1294" s="8" t="n"/>
      <c r="J1294" s="8" t="n"/>
      <c r="K1294" s="12">
        <f>IF(OR(ISERROR(VLOOKUP(C1294, Resultados_Reales!$A$4:$I$107, 5, FALSE)), ISERROR(VLOOKUP(C1294, Resultados_Reales!$A$4:$I$107, 6, FALSE)), VLOOKUP(C1294, Resultados_Reales!$A$4:$I$107, 5, FALSE)="", VLOOKUP(C1294, Resultados_Reales!$A$4:$I$107, 6, FALSE)=""), 0, IF(AND(VLOOKUP(C1294, Resultados_Reales!$A$4:$I$107, 5, FALSE)=G1294, VLOOKUP(C1294, Resultados_Reales!$A$4:$I$107, 6, FALSE)=H1294), Configuracion!$B$5, IF(SIGN(VLOOKUP(C1294, Resultados_Reales!$A$4:$I$107, 5, FALSE)-VLOOKUP(C1294, Resultados_Reales!$A$4:$I$107, 6, FALSE)) = SIGN(G1294-H1294), Configuracion!$B$4, 0)))</f>
        <v/>
      </c>
      <c r="L1294" s="11" t="n"/>
      <c r="M1294" s="11" t="n"/>
      <c r="N1294" s="11" t="n"/>
      <c r="O1294" s="11" t="n"/>
      <c r="P1294" s="11" t="n"/>
      <c r="Q1294" s="11" t="n"/>
    </row>
    <row r="1295">
      <c r="A1295" s="8">
        <f>B1295&amp;"_"&amp;C1295</f>
        <v/>
      </c>
      <c r="B1295" s="8" t="n"/>
      <c r="C1295" s="8" t="n"/>
      <c r="D1295" s="8" t="n"/>
      <c r="E1295" s="11" t="n"/>
      <c r="F1295" s="11" t="n"/>
      <c r="G1295" s="8" t="n"/>
      <c r="H1295" s="8" t="n"/>
      <c r="I1295" s="8" t="n"/>
      <c r="J1295" s="8" t="n"/>
      <c r="K1295" s="12">
        <f>IF(OR(ISERROR(VLOOKUP(C1295, Resultados_Reales!$A$4:$I$107, 5, FALSE)), ISERROR(VLOOKUP(C1295, Resultados_Reales!$A$4:$I$107, 6, FALSE)), VLOOKUP(C1295, Resultados_Reales!$A$4:$I$107, 5, FALSE)="", VLOOKUP(C1295, Resultados_Reales!$A$4:$I$107, 6, FALSE)=""), 0, IF(AND(VLOOKUP(C1295, Resultados_Reales!$A$4:$I$107, 5, FALSE)=G1295, VLOOKUP(C1295, Resultados_Reales!$A$4:$I$107, 6, FALSE)=H1295), Configuracion!$B$5, IF(SIGN(VLOOKUP(C1295, Resultados_Reales!$A$4:$I$107, 5, FALSE)-VLOOKUP(C1295, Resultados_Reales!$A$4:$I$107, 6, FALSE)) = SIGN(G1295-H1295), Configuracion!$B$4, 0)))</f>
        <v/>
      </c>
      <c r="L1295" s="11" t="n"/>
      <c r="M1295" s="11" t="n"/>
      <c r="N1295" s="11" t="n"/>
      <c r="O1295" s="11" t="n"/>
      <c r="P1295" s="11" t="n"/>
      <c r="Q1295" s="11" t="n"/>
    </row>
    <row r="1296">
      <c r="A1296" s="8">
        <f>B1296&amp;"_"&amp;C1296</f>
        <v/>
      </c>
      <c r="B1296" s="8" t="n"/>
      <c r="C1296" s="8" t="n"/>
      <c r="D1296" s="8" t="n"/>
      <c r="E1296" s="11" t="n"/>
      <c r="F1296" s="11" t="n"/>
      <c r="G1296" s="8" t="n"/>
      <c r="H1296" s="8" t="n"/>
      <c r="I1296" s="8" t="n"/>
      <c r="J1296" s="8" t="n"/>
      <c r="K1296" s="12">
        <f>IF(OR(ISERROR(VLOOKUP(C1296, Resultados_Reales!$A$4:$I$107, 5, FALSE)), ISERROR(VLOOKUP(C1296, Resultados_Reales!$A$4:$I$107, 6, FALSE)), VLOOKUP(C1296, Resultados_Reales!$A$4:$I$107, 5, FALSE)="", VLOOKUP(C1296, Resultados_Reales!$A$4:$I$107, 6, FALSE)=""), 0, IF(AND(VLOOKUP(C1296, Resultados_Reales!$A$4:$I$107, 5, FALSE)=G1296, VLOOKUP(C1296, Resultados_Reales!$A$4:$I$107, 6, FALSE)=H1296), Configuracion!$B$5, IF(SIGN(VLOOKUP(C1296, Resultados_Reales!$A$4:$I$107, 5, FALSE)-VLOOKUP(C1296, Resultados_Reales!$A$4:$I$107, 6, FALSE)) = SIGN(G1296-H1296), Configuracion!$B$4, 0)))</f>
        <v/>
      </c>
      <c r="L1296" s="11" t="n"/>
      <c r="M1296" s="11" t="n"/>
      <c r="N1296" s="11" t="n"/>
      <c r="O1296" s="11" t="n"/>
      <c r="P1296" s="11" t="n"/>
      <c r="Q1296" s="11" t="n"/>
    </row>
    <row r="1297">
      <c r="A1297" s="8">
        <f>B1297&amp;"_"&amp;C1297</f>
        <v/>
      </c>
      <c r="B1297" s="8" t="n"/>
      <c r="C1297" s="8" t="n"/>
      <c r="D1297" s="8" t="n"/>
      <c r="E1297" s="11" t="n"/>
      <c r="F1297" s="11" t="n"/>
      <c r="G1297" s="8" t="n"/>
      <c r="H1297" s="8" t="n"/>
      <c r="I1297" s="8" t="n"/>
      <c r="J1297" s="8" t="n"/>
      <c r="K1297" s="12">
        <f>IF(OR(ISERROR(VLOOKUP(C1297, Resultados_Reales!$A$4:$I$107, 5, FALSE)), ISERROR(VLOOKUP(C1297, Resultados_Reales!$A$4:$I$107, 6, FALSE)), VLOOKUP(C1297, Resultados_Reales!$A$4:$I$107, 5, FALSE)="", VLOOKUP(C1297, Resultados_Reales!$A$4:$I$107, 6, FALSE)=""), 0, IF(AND(VLOOKUP(C1297, Resultados_Reales!$A$4:$I$107, 5, FALSE)=G1297, VLOOKUP(C1297, Resultados_Reales!$A$4:$I$107, 6, FALSE)=H1297), Configuracion!$B$5, IF(SIGN(VLOOKUP(C1297, Resultados_Reales!$A$4:$I$107, 5, FALSE)-VLOOKUP(C1297, Resultados_Reales!$A$4:$I$107, 6, FALSE)) = SIGN(G1297-H1297), Configuracion!$B$4, 0)))</f>
        <v/>
      </c>
      <c r="L1297" s="11" t="n"/>
      <c r="M1297" s="11" t="n"/>
      <c r="N1297" s="11" t="n"/>
      <c r="O1297" s="11" t="n"/>
      <c r="P1297" s="11" t="n"/>
      <c r="Q1297" s="11" t="n"/>
    </row>
    <row r="1298">
      <c r="A1298" s="8">
        <f>B1298&amp;"_"&amp;C1298</f>
        <v/>
      </c>
      <c r="B1298" s="8" t="n"/>
      <c r="C1298" s="8" t="n"/>
      <c r="D1298" s="8" t="n"/>
      <c r="E1298" s="11" t="n"/>
      <c r="F1298" s="11" t="n"/>
      <c r="G1298" s="8" t="n"/>
      <c r="H1298" s="8" t="n"/>
      <c r="I1298" s="8" t="n"/>
      <c r="J1298" s="8" t="n"/>
      <c r="K1298" s="12">
        <f>IF(OR(ISERROR(VLOOKUP(C1298, Resultados_Reales!$A$4:$I$107, 5, FALSE)), ISERROR(VLOOKUP(C1298, Resultados_Reales!$A$4:$I$107, 6, FALSE)), VLOOKUP(C1298, Resultados_Reales!$A$4:$I$107, 5, FALSE)="", VLOOKUP(C1298, Resultados_Reales!$A$4:$I$107, 6, FALSE)=""), 0, IF(AND(VLOOKUP(C1298, Resultados_Reales!$A$4:$I$107, 5, FALSE)=G1298, VLOOKUP(C1298, Resultados_Reales!$A$4:$I$107, 6, FALSE)=H1298), Configuracion!$B$5, IF(SIGN(VLOOKUP(C1298, Resultados_Reales!$A$4:$I$107, 5, FALSE)-VLOOKUP(C1298, Resultados_Reales!$A$4:$I$107, 6, FALSE)) = SIGN(G1298-H1298), Configuracion!$B$4, 0)))</f>
        <v/>
      </c>
      <c r="L1298" s="11" t="n"/>
      <c r="M1298" s="11" t="n"/>
      <c r="N1298" s="11" t="n"/>
      <c r="O1298" s="11" t="n"/>
      <c r="P1298" s="11" t="n"/>
      <c r="Q1298" s="11" t="n"/>
    </row>
    <row r="1299">
      <c r="A1299" s="8">
        <f>B1299&amp;"_"&amp;C1299</f>
        <v/>
      </c>
      <c r="B1299" s="8" t="n"/>
      <c r="C1299" s="8" t="n"/>
      <c r="D1299" s="8" t="n"/>
      <c r="E1299" s="11" t="n"/>
      <c r="F1299" s="11" t="n"/>
      <c r="G1299" s="8" t="n"/>
      <c r="H1299" s="8" t="n"/>
      <c r="I1299" s="8" t="n"/>
      <c r="J1299" s="8" t="n"/>
      <c r="K1299" s="12">
        <f>IF(OR(ISERROR(VLOOKUP(C1299, Resultados_Reales!$A$4:$I$107, 5, FALSE)), ISERROR(VLOOKUP(C1299, Resultados_Reales!$A$4:$I$107, 6, FALSE)), VLOOKUP(C1299, Resultados_Reales!$A$4:$I$107, 5, FALSE)="", VLOOKUP(C1299, Resultados_Reales!$A$4:$I$107, 6, FALSE)=""), 0, IF(AND(VLOOKUP(C1299, Resultados_Reales!$A$4:$I$107, 5, FALSE)=G1299, VLOOKUP(C1299, Resultados_Reales!$A$4:$I$107, 6, FALSE)=H1299), Configuracion!$B$5, IF(SIGN(VLOOKUP(C1299, Resultados_Reales!$A$4:$I$107, 5, FALSE)-VLOOKUP(C1299, Resultados_Reales!$A$4:$I$107, 6, FALSE)) = SIGN(G1299-H1299), Configuracion!$B$4, 0)))</f>
        <v/>
      </c>
      <c r="L1299" s="11" t="n"/>
      <c r="M1299" s="11" t="n"/>
      <c r="N1299" s="11" t="n"/>
      <c r="O1299" s="11" t="n"/>
      <c r="P1299" s="11" t="n"/>
      <c r="Q1299" s="11" t="n"/>
    </row>
    <row r="1300">
      <c r="A1300" s="8">
        <f>B1300&amp;"_"&amp;C1300</f>
        <v/>
      </c>
      <c r="B1300" s="8" t="n"/>
      <c r="C1300" s="8" t="n"/>
      <c r="D1300" s="8" t="n"/>
      <c r="E1300" s="11" t="n"/>
      <c r="F1300" s="11" t="n"/>
      <c r="G1300" s="8" t="n"/>
      <c r="H1300" s="8" t="n"/>
      <c r="I1300" s="8" t="n"/>
      <c r="J1300" s="8" t="n"/>
      <c r="K1300" s="12">
        <f>IF(OR(ISERROR(VLOOKUP(C1300, Resultados_Reales!$A$4:$I$107, 5, FALSE)), ISERROR(VLOOKUP(C1300, Resultados_Reales!$A$4:$I$107, 6, FALSE)), VLOOKUP(C1300, Resultados_Reales!$A$4:$I$107, 5, FALSE)="", VLOOKUP(C1300, Resultados_Reales!$A$4:$I$107, 6, FALSE)=""), 0, IF(AND(VLOOKUP(C1300, Resultados_Reales!$A$4:$I$107, 5, FALSE)=G1300, VLOOKUP(C1300, Resultados_Reales!$A$4:$I$107, 6, FALSE)=H1300), Configuracion!$B$5, IF(SIGN(VLOOKUP(C1300, Resultados_Reales!$A$4:$I$107, 5, FALSE)-VLOOKUP(C1300, Resultados_Reales!$A$4:$I$107, 6, FALSE)) = SIGN(G1300-H1300), Configuracion!$B$4, 0)))</f>
        <v/>
      </c>
      <c r="L1300" s="11" t="n"/>
      <c r="M1300" s="11" t="n"/>
      <c r="N1300" s="11" t="n"/>
      <c r="O1300" s="11" t="n"/>
      <c r="P1300" s="11" t="n"/>
      <c r="Q1300" s="11" t="n"/>
    </row>
    <row r="1301">
      <c r="A1301" s="8">
        <f>B1301&amp;"_"&amp;C1301</f>
        <v/>
      </c>
      <c r="B1301" s="8" t="n"/>
      <c r="C1301" s="8" t="n"/>
      <c r="D1301" s="8" t="n"/>
      <c r="E1301" s="11" t="n"/>
      <c r="F1301" s="11" t="n"/>
      <c r="G1301" s="8" t="n"/>
      <c r="H1301" s="8" t="n"/>
      <c r="I1301" s="8" t="n"/>
      <c r="J1301" s="8" t="n"/>
      <c r="K1301" s="12">
        <f>IF(OR(ISERROR(VLOOKUP(C1301, Resultados_Reales!$A$4:$I$107, 5, FALSE)), ISERROR(VLOOKUP(C1301, Resultados_Reales!$A$4:$I$107, 6, FALSE)), VLOOKUP(C1301, Resultados_Reales!$A$4:$I$107, 5, FALSE)="", VLOOKUP(C1301, Resultados_Reales!$A$4:$I$107, 6, FALSE)=""), 0, IF(AND(VLOOKUP(C1301, Resultados_Reales!$A$4:$I$107, 5, FALSE)=G1301, VLOOKUP(C1301, Resultados_Reales!$A$4:$I$107, 6, FALSE)=H1301), Configuracion!$B$5, IF(SIGN(VLOOKUP(C1301, Resultados_Reales!$A$4:$I$107, 5, FALSE)-VLOOKUP(C1301, Resultados_Reales!$A$4:$I$107, 6, FALSE)) = SIGN(G1301-H1301), Configuracion!$B$4, 0)))</f>
        <v/>
      </c>
      <c r="L1301" s="11" t="n"/>
      <c r="M1301" s="11" t="n"/>
      <c r="N1301" s="11" t="n"/>
      <c r="O1301" s="11" t="n"/>
      <c r="P1301" s="11" t="n"/>
      <c r="Q1301" s="11" t="n"/>
    </row>
    <row r="1302">
      <c r="A1302" s="8">
        <f>B1302&amp;"_"&amp;C1302</f>
        <v/>
      </c>
      <c r="B1302" s="8" t="n"/>
      <c r="C1302" s="8" t="n"/>
      <c r="D1302" s="8" t="n"/>
      <c r="E1302" s="11" t="n"/>
      <c r="F1302" s="11" t="n"/>
      <c r="G1302" s="8" t="n"/>
      <c r="H1302" s="8" t="n"/>
      <c r="I1302" s="8" t="n"/>
      <c r="J1302" s="8" t="n"/>
      <c r="K1302" s="12">
        <f>IF(OR(ISERROR(VLOOKUP(C1302, Resultados_Reales!$A$4:$I$107, 5, FALSE)), ISERROR(VLOOKUP(C1302, Resultados_Reales!$A$4:$I$107, 6, FALSE)), VLOOKUP(C1302, Resultados_Reales!$A$4:$I$107, 5, FALSE)="", VLOOKUP(C1302, Resultados_Reales!$A$4:$I$107, 6, FALSE)=""), 0, IF(AND(VLOOKUP(C1302, Resultados_Reales!$A$4:$I$107, 5, FALSE)=G1302, VLOOKUP(C1302, Resultados_Reales!$A$4:$I$107, 6, FALSE)=H1302), Configuracion!$B$5, IF(SIGN(VLOOKUP(C1302, Resultados_Reales!$A$4:$I$107, 5, FALSE)-VLOOKUP(C1302, Resultados_Reales!$A$4:$I$107, 6, FALSE)) = SIGN(G1302-H1302), Configuracion!$B$4, 0)))</f>
        <v/>
      </c>
      <c r="L1302" s="11" t="n"/>
      <c r="M1302" s="11" t="n"/>
      <c r="N1302" s="11" t="n"/>
      <c r="O1302" s="11" t="n"/>
      <c r="P1302" s="11" t="n"/>
      <c r="Q1302" s="11" t="n"/>
    </row>
    <row r="1303">
      <c r="A1303" s="8">
        <f>B1303&amp;"_"&amp;C1303</f>
        <v/>
      </c>
      <c r="B1303" s="8" t="n"/>
      <c r="C1303" s="8" t="n"/>
      <c r="D1303" s="8" t="n"/>
      <c r="E1303" s="11" t="n"/>
      <c r="F1303" s="11" t="n"/>
      <c r="G1303" s="8" t="n"/>
      <c r="H1303" s="8" t="n"/>
      <c r="I1303" s="8" t="n"/>
      <c r="J1303" s="8" t="n"/>
      <c r="K1303" s="12">
        <f>IF(OR(ISERROR(VLOOKUP(C1303, Resultados_Reales!$A$4:$I$107, 5, FALSE)), ISERROR(VLOOKUP(C1303, Resultados_Reales!$A$4:$I$107, 6, FALSE)), VLOOKUP(C1303, Resultados_Reales!$A$4:$I$107, 5, FALSE)="", VLOOKUP(C1303, Resultados_Reales!$A$4:$I$107, 6, FALSE)=""), 0, IF(AND(VLOOKUP(C1303, Resultados_Reales!$A$4:$I$107, 5, FALSE)=G1303, VLOOKUP(C1303, Resultados_Reales!$A$4:$I$107, 6, FALSE)=H1303), Configuracion!$B$5, IF(SIGN(VLOOKUP(C1303, Resultados_Reales!$A$4:$I$107, 5, FALSE)-VLOOKUP(C1303, Resultados_Reales!$A$4:$I$107, 6, FALSE)) = SIGN(G1303-H1303), Configuracion!$B$4, 0)))</f>
        <v/>
      </c>
      <c r="L1303" s="11" t="n"/>
      <c r="M1303" s="11" t="n"/>
      <c r="N1303" s="11" t="n"/>
      <c r="O1303" s="11" t="n"/>
      <c r="P1303" s="11" t="n"/>
      <c r="Q1303" s="11" t="n"/>
    </row>
    <row r="1304">
      <c r="A1304" s="8">
        <f>B1304&amp;"_"&amp;C1304</f>
        <v/>
      </c>
      <c r="B1304" s="8" t="n"/>
      <c r="C1304" s="8" t="n"/>
      <c r="D1304" s="8" t="n"/>
      <c r="E1304" s="11" t="n"/>
      <c r="F1304" s="11" t="n"/>
      <c r="G1304" s="8" t="n"/>
      <c r="H1304" s="8" t="n"/>
      <c r="I1304" s="8" t="n"/>
      <c r="J1304" s="8" t="n"/>
      <c r="K1304" s="12">
        <f>IF(OR(ISERROR(VLOOKUP(C1304, Resultados_Reales!$A$4:$I$107, 5, FALSE)), ISERROR(VLOOKUP(C1304, Resultados_Reales!$A$4:$I$107, 6, FALSE)), VLOOKUP(C1304, Resultados_Reales!$A$4:$I$107, 5, FALSE)="", VLOOKUP(C1304, Resultados_Reales!$A$4:$I$107, 6, FALSE)=""), 0, IF(AND(VLOOKUP(C1304, Resultados_Reales!$A$4:$I$107, 5, FALSE)=G1304, VLOOKUP(C1304, Resultados_Reales!$A$4:$I$107, 6, FALSE)=H1304), Configuracion!$B$5, IF(SIGN(VLOOKUP(C1304, Resultados_Reales!$A$4:$I$107, 5, FALSE)-VLOOKUP(C1304, Resultados_Reales!$A$4:$I$107, 6, FALSE)) = SIGN(G1304-H1304), Configuracion!$B$4, 0)))</f>
        <v/>
      </c>
      <c r="L1304" s="11" t="n"/>
      <c r="M1304" s="11" t="n"/>
      <c r="N1304" s="11" t="n"/>
      <c r="O1304" s="11" t="n"/>
      <c r="P1304" s="11" t="n"/>
      <c r="Q1304" s="11" t="n"/>
    </row>
    <row r="1305">
      <c r="A1305" s="8">
        <f>B1305&amp;"_"&amp;C1305</f>
        <v/>
      </c>
      <c r="B1305" s="8" t="n"/>
      <c r="C1305" s="8" t="n"/>
      <c r="D1305" s="8" t="n"/>
      <c r="E1305" s="11" t="n"/>
      <c r="F1305" s="11" t="n"/>
      <c r="G1305" s="8" t="n"/>
      <c r="H1305" s="8" t="n"/>
      <c r="I1305" s="8" t="n"/>
      <c r="J1305" s="8" t="n"/>
      <c r="K1305" s="12">
        <f>IF(OR(ISERROR(VLOOKUP(C1305, Resultados_Reales!$A$4:$I$107, 5, FALSE)), ISERROR(VLOOKUP(C1305, Resultados_Reales!$A$4:$I$107, 6, FALSE)), VLOOKUP(C1305, Resultados_Reales!$A$4:$I$107, 5, FALSE)="", VLOOKUP(C1305, Resultados_Reales!$A$4:$I$107, 6, FALSE)=""), 0, IF(AND(VLOOKUP(C1305, Resultados_Reales!$A$4:$I$107, 5, FALSE)=G1305, VLOOKUP(C1305, Resultados_Reales!$A$4:$I$107, 6, FALSE)=H1305), Configuracion!$B$5, IF(SIGN(VLOOKUP(C1305, Resultados_Reales!$A$4:$I$107, 5, FALSE)-VLOOKUP(C1305, Resultados_Reales!$A$4:$I$107, 6, FALSE)) = SIGN(G1305-H1305), Configuracion!$B$4, 0)))</f>
        <v/>
      </c>
      <c r="L1305" s="11" t="n"/>
      <c r="M1305" s="11" t="n"/>
      <c r="N1305" s="11" t="n"/>
      <c r="O1305" s="11" t="n"/>
      <c r="P1305" s="11" t="n"/>
      <c r="Q1305" s="11" t="n"/>
    </row>
    <row r="1306">
      <c r="A1306" s="8">
        <f>B1306&amp;"_"&amp;C1306</f>
        <v/>
      </c>
      <c r="B1306" s="8" t="n"/>
      <c r="C1306" s="8" t="n"/>
      <c r="D1306" s="8" t="n"/>
      <c r="E1306" s="11" t="n"/>
      <c r="F1306" s="11" t="n"/>
      <c r="G1306" s="8" t="n"/>
      <c r="H1306" s="8" t="n"/>
      <c r="I1306" s="8" t="n"/>
      <c r="J1306" s="8" t="n"/>
      <c r="K1306" s="12">
        <f>IF(OR(ISERROR(VLOOKUP(C1306, Resultados_Reales!$A$4:$I$107, 5, FALSE)), ISERROR(VLOOKUP(C1306, Resultados_Reales!$A$4:$I$107, 6, FALSE)), VLOOKUP(C1306, Resultados_Reales!$A$4:$I$107, 5, FALSE)="", VLOOKUP(C1306, Resultados_Reales!$A$4:$I$107, 6, FALSE)=""), 0, IF(AND(VLOOKUP(C1306, Resultados_Reales!$A$4:$I$107, 5, FALSE)=G1306, VLOOKUP(C1306, Resultados_Reales!$A$4:$I$107, 6, FALSE)=H1306), Configuracion!$B$5, IF(SIGN(VLOOKUP(C1306, Resultados_Reales!$A$4:$I$107, 5, FALSE)-VLOOKUP(C1306, Resultados_Reales!$A$4:$I$107, 6, FALSE)) = SIGN(G1306-H1306), Configuracion!$B$4, 0)))</f>
        <v/>
      </c>
      <c r="L1306" s="11" t="n"/>
      <c r="M1306" s="11" t="n"/>
      <c r="N1306" s="11" t="n"/>
      <c r="O1306" s="11" t="n"/>
      <c r="P1306" s="11" t="n"/>
      <c r="Q1306" s="11" t="n"/>
    </row>
    <row r="1307">
      <c r="A1307" s="8">
        <f>B1307&amp;"_"&amp;C1307</f>
        <v/>
      </c>
      <c r="B1307" s="8" t="n"/>
      <c r="C1307" s="8" t="n"/>
      <c r="D1307" s="8" t="n"/>
      <c r="E1307" s="11" t="n"/>
      <c r="F1307" s="11" t="n"/>
      <c r="G1307" s="8" t="n"/>
      <c r="H1307" s="8" t="n"/>
      <c r="I1307" s="8" t="n"/>
      <c r="J1307" s="8" t="n"/>
      <c r="K1307" s="12">
        <f>IF(OR(ISERROR(VLOOKUP(C1307, Resultados_Reales!$A$4:$I$107, 5, FALSE)), ISERROR(VLOOKUP(C1307, Resultados_Reales!$A$4:$I$107, 6, FALSE)), VLOOKUP(C1307, Resultados_Reales!$A$4:$I$107, 5, FALSE)="", VLOOKUP(C1307, Resultados_Reales!$A$4:$I$107, 6, FALSE)=""), 0, IF(AND(VLOOKUP(C1307, Resultados_Reales!$A$4:$I$107, 5, FALSE)=G1307, VLOOKUP(C1307, Resultados_Reales!$A$4:$I$107, 6, FALSE)=H1307), Configuracion!$B$5, IF(SIGN(VLOOKUP(C1307, Resultados_Reales!$A$4:$I$107, 5, FALSE)-VLOOKUP(C1307, Resultados_Reales!$A$4:$I$107, 6, FALSE)) = SIGN(G1307-H1307), Configuracion!$B$4, 0)))</f>
        <v/>
      </c>
      <c r="L1307" s="11" t="n"/>
      <c r="M1307" s="11" t="n"/>
      <c r="N1307" s="11" t="n"/>
      <c r="O1307" s="11" t="n"/>
      <c r="P1307" s="11" t="n"/>
      <c r="Q1307" s="11" t="n"/>
    </row>
    <row r="1308">
      <c r="A1308" s="8">
        <f>B1308&amp;"_"&amp;C1308</f>
        <v/>
      </c>
      <c r="B1308" s="8" t="n"/>
      <c r="C1308" s="8" t="n"/>
      <c r="D1308" s="8" t="n"/>
      <c r="E1308" s="11" t="n"/>
      <c r="F1308" s="11" t="n"/>
      <c r="G1308" s="8" t="n"/>
      <c r="H1308" s="8" t="n"/>
      <c r="I1308" s="8" t="n"/>
      <c r="J1308" s="8" t="n"/>
      <c r="K1308" s="12">
        <f>IF(OR(ISERROR(VLOOKUP(C1308, Resultados_Reales!$A$4:$I$107, 5, FALSE)), ISERROR(VLOOKUP(C1308, Resultados_Reales!$A$4:$I$107, 6, FALSE)), VLOOKUP(C1308, Resultados_Reales!$A$4:$I$107, 5, FALSE)="", VLOOKUP(C1308, Resultados_Reales!$A$4:$I$107, 6, FALSE)=""), 0, IF(AND(VLOOKUP(C1308, Resultados_Reales!$A$4:$I$107, 5, FALSE)=G1308, VLOOKUP(C1308, Resultados_Reales!$A$4:$I$107, 6, FALSE)=H1308), Configuracion!$B$5, IF(SIGN(VLOOKUP(C1308, Resultados_Reales!$A$4:$I$107, 5, FALSE)-VLOOKUP(C1308, Resultados_Reales!$A$4:$I$107, 6, FALSE)) = SIGN(G1308-H1308), Configuracion!$B$4, 0)))</f>
        <v/>
      </c>
      <c r="L1308" s="11" t="n"/>
      <c r="M1308" s="11" t="n"/>
      <c r="N1308" s="11" t="n"/>
      <c r="O1308" s="11" t="n"/>
      <c r="P1308" s="11" t="n"/>
      <c r="Q1308" s="11" t="n"/>
    </row>
    <row r="1309">
      <c r="A1309" s="8">
        <f>B1309&amp;"_"&amp;C1309</f>
        <v/>
      </c>
      <c r="B1309" s="8" t="n"/>
      <c r="C1309" s="8" t="n"/>
      <c r="D1309" s="8" t="n"/>
      <c r="E1309" s="11" t="n"/>
      <c r="F1309" s="11" t="n"/>
      <c r="G1309" s="8" t="n"/>
      <c r="H1309" s="8" t="n"/>
      <c r="I1309" s="8" t="n"/>
      <c r="J1309" s="8" t="n"/>
      <c r="K1309" s="12">
        <f>IF(OR(ISERROR(VLOOKUP(C1309, Resultados_Reales!$A$4:$I$107, 5, FALSE)), ISERROR(VLOOKUP(C1309, Resultados_Reales!$A$4:$I$107, 6, FALSE)), VLOOKUP(C1309, Resultados_Reales!$A$4:$I$107, 5, FALSE)="", VLOOKUP(C1309, Resultados_Reales!$A$4:$I$107, 6, FALSE)=""), 0, IF(AND(VLOOKUP(C1309, Resultados_Reales!$A$4:$I$107, 5, FALSE)=G1309, VLOOKUP(C1309, Resultados_Reales!$A$4:$I$107, 6, FALSE)=H1309), Configuracion!$B$5, IF(SIGN(VLOOKUP(C1309, Resultados_Reales!$A$4:$I$107, 5, FALSE)-VLOOKUP(C1309, Resultados_Reales!$A$4:$I$107, 6, FALSE)) = SIGN(G1309-H1309), Configuracion!$B$4, 0)))</f>
        <v/>
      </c>
      <c r="L1309" s="11" t="n"/>
      <c r="M1309" s="11" t="n"/>
      <c r="N1309" s="11" t="n"/>
      <c r="O1309" s="11" t="n"/>
      <c r="P1309" s="11" t="n"/>
      <c r="Q1309" s="11" t="n"/>
    </row>
    <row r="1310">
      <c r="A1310" s="8">
        <f>B1310&amp;"_"&amp;C1310</f>
        <v/>
      </c>
      <c r="B1310" s="8" t="n"/>
      <c r="C1310" s="8" t="n"/>
      <c r="D1310" s="8" t="n"/>
      <c r="E1310" s="11" t="n"/>
      <c r="F1310" s="11" t="n"/>
      <c r="G1310" s="8" t="n"/>
      <c r="H1310" s="8" t="n"/>
      <c r="I1310" s="8" t="n"/>
      <c r="J1310" s="8" t="n"/>
      <c r="K1310" s="12">
        <f>IF(OR(ISERROR(VLOOKUP(C1310, Resultados_Reales!$A$4:$I$107, 5, FALSE)), ISERROR(VLOOKUP(C1310, Resultados_Reales!$A$4:$I$107, 6, FALSE)), VLOOKUP(C1310, Resultados_Reales!$A$4:$I$107, 5, FALSE)="", VLOOKUP(C1310, Resultados_Reales!$A$4:$I$107, 6, FALSE)=""), 0, IF(AND(VLOOKUP(C1310, Resultados_Reales!$A$4:$I$107, 5, FALSE)=G1310, VLOOKUP(C1310, Resultados_Reales!$A$4:$I$107, 6, FALSE)=H1310), Configuracion!$B$5, IF(SIGN(VLOOKUP(C1310, Resultados_Reales!$A$4:$I$107, 5, FALSE)-VLOOKUP(C1310, Resultados_Reales!$A$4:$I$107, 6, FALSE)) = SIGN(G1310-H1310), Configuracion!$B$4, 0)))</f>
        <v/>
      </c>
      <c r="L1310" s="11" t="n"/>
      <c r="M1310" s="11" t="n"/>
      <c r="N1310" s="11" t="n"/>
      <c r="O1310" s="11" t="n"/>
      <c r="P1310" s="11" t="n"/>
      <c r="Q1310" s="11" t="n"/>
    </row>
    <row r="1311">
      <c r="A1311" s="8">
        <f>B1311&amp;"_"&amp;C1311</f>
        <v/>
      </c>
      <c r="B1311" s="8" t="n"/>
      <c r="C1311" s="8" t="n"/>
      <c r="D1311" s="8" t="n"/>
      <c r="E1311" s="11" t="n"/>
      <c r="F1311" s="11" t="n"/>
      <c r="G1311" s="8" t="n"/>
      <c r="H1311" s="8" t="n"/>
      <c r="I1311" s="8" t="n"/>
      <c r="J1311" s="8" t="n"/>
      <c r="K1311" s="12">
        <f>IF(OR(ISERROR(VLOOKUP(C1311, Resultados_Reales!$A$4:$I$107, 5, FALSE)), ISERROR(VLOOKUP(C1311, Resultados_Reales!$A$4:$I$107, 6, FALSE)), VLOOKUP(C1311, Resultados_Reales!$A$4:$I$107, 5, FALSE)="", VLOOKUP(C1311, Resultados_Reales!$A$4:$I$107, 6, FALSE)=""), 0, IF(AND(VLOOKUP(C1311, Resultados_Reales!$A$4:$I$107, 5, FALSE)=G1311, VLOOKUP(C1311, Resultados_Reales!$A$4:$I$107, 6, FALSE)=H1311), Configuracion!$B$5, IF(SIGN(VLOOKUP(C1311, Resultados_Reales!$A$4:$I$107, 5, FALSE)-VLOOKUP(C1311, Resultados_Reales!$A$4:$I$107, 6, FALSE)) = SIGN(G1311-H1311), Configuracion!$B$4, 0)))</f>
        <v/>
      </c>
      <c r="L1311" s="11" t="n"/>
      <c r="M1311" s="11" t="n"/>
      <c r="N1311" s="11" t="n"/>
      <c r="O1311" s="11" t="n"/>
      <c r="P1311" s="11" t="n"/>
      <c r="Q1311" s="11" t="n"/>
    </row>
    <row r="1312">
      <c r="A1312" s="8">
        <f>B1312&amp;"_"&amp;C1312</f>
        <v/>
      </c>
      <c r="B1312" s="8" t="n"/>
      <c r="C1312" s="8" t="n"/>
      <c r="D1312" s="8" t="n"/>
      <c r="E1312" s="11" t="n"/>
      <c r="F1312" s="11" t="n"/>
      <c r="G1312" s="8" t="n"/>
      <c r="H1312" s="8" t="n"/>
      <c r="I1312" s="8" t="n"/>
      <c r="J1312" s="8" t="n"/>
      <c r="K1312" s="12">
        <f>IF(OR(ISERROR(VLOOKUP(C1312, Resultados_Reales!$A$4:$I$107, 5, FALSE)), ISERROR(VLOOKUP(C1312, Resultados_Reales!$A$4:$I$107, 6, FALSE)), VLOOKUP(C1312, Resultados_Reales!$A$4:$I$107, 5, FALSE)="", VLOOKUP(C1312, Resultados_Reales!$A$4:$I$107, 6, FALSE)=""), 0, IF(AND(VLOOKUP(C1312, Resultados_Reales!$A$4:$I$107, 5, FALSE)=G1312, VLOOKUP(C1312, Resultados_Reales!$A$4:$I$107, 6, FALSE)=H1312), Configuracion!$B$5, IF(SIGN(VLOOKUP(C1312, Resultados_Reales!$A$4:$I$107, 5, FALSE)-VLOOKUP(C1312, Resultados_Reales!$A$4:$I$107, 6, FALSE)) = SIGN(G1312-H1312), Configuracion!$B$4, 0)))</f>
        <v/>
      </c>
      <c r="L1312" s="11" t="n"/>
      <c r="M1312" s="11" t="n"/>
      <c r="N1312" s="11" t="n"/>
      <c r="O1312" s="11" t="n"/>
      <c r="P1312" s="11" t="n"/>
      <c r="Q1312" s="11" t="n"/>
    </row>
    <row r="1313">
      <c r="A1313" s="8">
        <f>B1313&amp;"_"&amp;C1313</f>
        <v/>
      </c>
      <c r="B1313" s="8" t="n"/>
      <c r="C1313" s="8" t="n"/>
      <c r="D1313" s="8" t="n"/>
      <c r="E1313" s="11" t="n"/>
      <c r="F1313" s="11" t="n"/>
      <c r="G1313" s="8" t="n"/>
      <c r="H1313" s="8" t="n"/>
      <c r="I1313" s="8" t="n"/>
      <c r="J1313" s="8" t="n"/>
      <c r="K1313" s="12">
        <f>IF(OR(ISERROR(VLOOKUP(C1313, Resultados_Reales!$A$4:$I$107, 5, FALSE)), ISERROR(VLOOKUP(C1313, Resultados_Reales!$A$4:$I$107, 6, FALSE)), VLOOKUP(C1313, Resultados_Reales!$A$4:$I$107, 5, FALSE)="", VLOOKUP(C1313, Resultados_Reales!$A$4:$I$107, 6, FALSE)=""), 0, IF(AND(VLOOKUP(C1313, Resultados_Reales!$A$4:$I$107, 5, FALSE)=G1313, VLOOKUP(C1313, Resultados_Reales!$A$4:$I$107, 6, FALSE)=H1313), Configuracion!$B$5, IF(SIGN(VLOOKUP(C1313, Resultados_Reales!$A$4:$I$107, 5, FALSE)-VLOOKUP(C1313, Resultados_Reales!$A$4:$I$107, 6, FALSE)) = SIGN(G1313-H1313), Configuracion!$B$4, 0)))</f>
        <v/>
      </c>
      <c r="L1313" s="11" t="n"/>
      <c r="M1313" s="11" t="n"/>
      <c r="N1313" s="11" t="n"/>
      <c r="O1313" s="11" t="n"/>
      <c r="P1313" s="11" t="n"/>
      <c r="Q1313" s="11" t="n"/>
    </row>
    <row r="1314">
      <c r="A1314" s="8">
        <f>B1314&amp;"_"&amp;C1314</f>
        <v/>
      </c>
      <c r="B1314" s="8" t="n"/>
      <c r="C1314" s="8" t="n"/>
      <c r="D1314" s="8" t="n"/>
      <c r="E1314" s="11" t="n"/>
      <c r="F1314" s="11" t="n"/>
      <c r="G1314" s="8" t="n"/>
      <c r="H1314" s="8" t="n"/>
      <c r="I1314" s="8" t="n"/>
      <c r="J1314" s="8" t="n"/>
      <c r="K1314" s="12">
        <f>IF(OR(ISERROR(VLOOKUP(C1314, Resultados_Reales!$A$4:$I$107, 5, FALSE)), ISERROR(VLOOKUP(C1314, Resultados_Reales!$A$4:$I$107, 6, FALSE)), VLOOKUP(C1314, Resultados_Reales!$A$4:$I$107, 5, FALSE)="", VLOOKUP(C1314, Resultados_Reales!$A$4:$I$107, 6, FALSE)=""), 0, IF(AND(VLOOKUP(C1314, Resultados_Reales!$A$4:$I$107, 5, FALSE)=G1314, VLOOKUP(C1314, Resultados_Reales!$A$4:$I$107, 6, FALSE)=H1314), Configuracion!$B$5, IF(SIGN(VLOOKUP(C1314, Resultados_Reales!$A$4:$I$107, 5, FALSE)-VLOOKUP(C1314, Resultados_Reales!$A$4:$I$107, 6, FALSE)) = SIGN(G1314-H1314), Configuracion!$B$4, 0)))</f>
        <v/>
      </c>
      <c r="L1314" s="11" t="n"/>
      <c r="M1314" s="11" t="n"/>
      <c r="N1314" s="11" t="n"/>
      <c r="O1314" s="11" t="n"/>
      <c r="P1314" s="11" t="n"/>
      <c r="Q1314" s="11" t="n"/>
    </row>
    <row r="1315">
      <c r="A1315" s="8">
        <f>B1315&amp;"_"&amp;C1315</f>
        <v/>
      </c>
      <c r="B1315" s="8" t="n"/>
      <c r="C1315" s="8" t="n"/>
      <c r="D1315" s="8" t="n"/>
      <c r="E1315" s="11" t="n"/>
      <c r="F1315" s="11" t="n"/>
      <c r="G1315" s="8" t="n"/>
      <c r="H1315" s="8" t="n"/>
      <c r="I1315" s="8" t="n"/>
      <c r="J1315" s="8" t="n"/>
      <c r="K1315" s="12">
        <f>IF(OR(ISERROR(VLOOKUP(C1315, Resultados_Reales!$A$4:$I$107, 5, FALSE)), ISERROR(VLOOKUP(C1315, Resultados_Reales!$A$4:$I$107, 6, FALSE)), VLOOKUP(C1315, Resultados_Reales!$A$4:$I$107, 5, FALSE)="", VLOOKUP(C1315, Resultados_Reales!$A$4:$I$107, 6, FALSE)=""), 0, IF(AND(VLOOKUP(C1315, Resultados_Reales!$A$4:$I$107, 5, FALSE)=G1315, VLOOKUP(C1315, Resultados_Reales!$A$4:$I$107, 6, FALSE)=H1315), Configuracion!$B$5, IF(SIGN(VLOOKUP(C1315, Resultados_Reales!$A$4:$I$107, 5, FALSE)-VLOOKUP(C1315, Resultados_Reales!$A$4:$I$107, 6, FALSE)) = SIGN(G1315-H1315), Configuracion!$B$4, 0)))</f>
        <v/>
      </c>
      <c r="L1315" s="11" t="n"/>
      <c r="M1315" s="11" t="n"/>
      <c r="N1315" s="11" t="n"/>
      <c r="O1315" s="11" t="n"/>
      <c r="P1315" s="11" t="n"/>
      <c r="Q1315" s="11" t="n"/>
    </row>
    <row r="1316">
      <c r="A1316" s="8">
        <f>B1316&amp;"_"&amp;C1316</f>
        <v/>
      </c>
      <c r="B1316" s="8" t="n"/>
      <c r="C1316" s="8" t="n"/>
      <c r="D1316" s="8" t="n"/>
      <c r="E1316" s="11" t="n"/>
      <c r="F1316" s="11" t="n"/>
      <c r="G1316" s="8" t="n"/>
      <c r="H1316" s="8" t="n"/>
      <c r="I1316" s="8" t="n"/>
      <c r="J1316" s="8" t="n"/>
      <c r="K1316" s="12">
        <f>IF(OR(ISERROR(VLOOKUP(C1316, Resultados_Reales!$A$4:$I$107, 5, FALSE)), ISERROR(VLOOKUP(C1316, Resultados_Reales!$A$4:$I$107, 6, FALSE)), VLOOKUP(C1316, Resultados_Reales!$A$4:$I$107, 5, FALSE)="", VLOOKUP(C1316, Resultados_Reales!$A$4:$I$107, 6, FALSE)=""), 0, IF(AND(VLOOKUP(C1316, Resultados_Reales!$A$4:$I$107, 5, FALSE)=G1316, VLOOKUP(C1316, Resultados_Reales!$A$4:$I$107, 6, FALSE)=H1316), Configuracion!$B$5, IF(SIGN(VLOOKUP(C1316, Resultados_Reales!$A$4:$I$107, 5, FALSE)-VLOOKUP(C1316, Resultados_Reales!$A$4:$I$107, 6, FALSE)) = SIGN(G1316-H1316), Configuracion!$B$4, 0)))</f>
        <v/>
      </c>
      <c r="L1316" s="11" t="n"/>
      <c r="M1316" s="11" t="n"/>
      <c r="N1316" s="11" t="n"/>
      <c r="O1316" s="11" t="n"/>
      <c r="P1316" s="11" t="n"/>
      <c r="Q1316" s="11" t="n"/>
    </row>
    <row r="1317">
      <c r="A1317" s="8">
        <f>B1317&amp;"_"&amp;C1317</f>
        <v/>
      </c>
      <c r="B1317" s="8" t="n"/>
      <c r="C1317" s="8" t="n"/>
      <c r="D1317" s="8" t="n"/>
      <c r="E1317" s="11" t="n"/>
      <c r="F1317" s="11" t="n"/>
      <c r="G1317" s="8" t="n"/>
      <c r="H1317" s="8" t="n"/>
      <c r="I1317" s="8" t="n"/>
      <c r="J1317" s="8" t="n"/>
      <c r="K1317" s="12">
        <f>IF(OR(ISERROR(VLOOKUP(C1317, Resultados_Reales!$A$4:$I$107, 5, FALSE)), ISERROR(VLOOKUP(C1317, Resultados_Reales!$A$4:$I$107, 6, FALSE)), VLOOKUP(C1317, Resultados_Reales!$A$4:$I$107, 5, FALSE)="", VLOOKUP(C1317, Resultados_Reales!$A$4:$I$107, 6, FALSE)=""), 0, IF(AND(VLOOKUP(C1317, Resultados_Reales!$A$4:$I$107, 5, FALSE)=G1317, VLOOKUP(C1317, Resultados_Reales!$A$4:$I$107, 6, FALSE)=H1317), Configuracion!$B$5, IF(SIGN(VLOOKUP(C1317, Resultados_Reales!$A$4:$I$107, 5, FALSE)-VLOOKUP(C1317, Resultados_Reales!$A$4:$I$107, 6, FALSE)) = SIGN(G1317-H1317), Configuracion!$B$4, 0)))</f>
        <v/>
      </c>
      <c r="L1317" s="11" t="n"/>
      <c r="M1317" s="11" t="n"/>
      <c r="N1317" s="11" t="n"/>
      <c r="O1317" s="11" t="n"/>
      <c r="P1317" s="11" t="n"/>
      <c r="Q1317" s="11" t="n"/>
    </row>
    <row r="1318">
      <c r="A1318" s="8">
        <f>B1318&amp;"_"&amp;C1318</f>
        <v/>
      </c>
      <c r="B1318" s="8" t="n"/>
      <c r="C1318" s="8" t="n"/>
      <c r="D1318" s="8" t="n"/>
      <c r="E1318" s="11" t="n"/>
      <c r="F1318" s="11" t="n"/>
      <c r="G1318" s="8" t="n"/>
      <c r="H1318" s="8" t="n"/>
      <c r="I1318" s="8" t="n"/>
      <c r="J1318" s="8" t="n"/>
      <c r="K1318" s="12">
        <f>IF(OR(ISERROR(VLOOKUP(C1318, Resultados_Reales!$A$4:$I$107, 5, FALSE)), ISERROR(VLOOKUP(C1318, Resultados_Reales!$A$4:$I$107, 6, FALSE)), VLOOKUP(C1318, Resultados_Reales!$A$4:$I$107, 5, FALSE)="", VLOOKUP(C1318, Resultados_Reales!$A$4:$I$107, 6, FALSE)=""), 0, IF(AND(VLOOKUP(C1318, Resultados_Reales!$A$4:$I$107, 5, FALSE)=G1318, VLOOKUP(C1318, Resultados_Reales!$A$4:$I$107, 6, FALSE)=H1318), Configuracion!$B$5, IF(SIGN(VLOOKUP(C1318, Resultados_Reales!$A$4:$I$107, 5, FALSE)-VLOOKUP(C1318, Resultados_Reales!$A$4:$I$107, 6, FALSE)) = SIGN(G1318-H1318), Configuracion!$B$4, 0)))</f>
        <v/>
      </c>
      <c r="L1318" s="11" t="n"/>
      <c r="M1318" s="11" t="n"/>
      <c r="N1318" s="11" t="n"/>
      <c r="O1318" s="11" t="n"/>
      <c r="P1318" s="11" t="n"/>
      <c r="Q1318" s="11" t="n"/>
    </row>
    <row r="1319">
      <c r="A1319" s="8">
        <f>B1319&amp;"_"&amp;C1319</f>
        <v/>
      </c>
      <c r="B1319" s="8" t="n"/>
      <c r="C1319" s="8" t="n"/>
      <c r="D1319" s="8" t="n"/>
      <c r="E1319" s="11" t="n"/>
      <c r="F1319" s="11" t="n"/>
      <c r="G1319" s="8" t="n"/>
      <c r="H1319" s="8" t="n"/>
      <c r="I1319" s="8" t="n"/>
      <c r="J1319" s="8" t="n"/>
      <c r="K1319" s="12">
        <f>IF(OR(ISERROR(VLOOKUP(C1319, Resultados_Reales!$A$4:$I$107, 5, FALSE)), ISERROR(VLOOKUP(C1319, Resultados_Reales!$A$4:$I$107, 6, FALSE)), VLOOKUP(C1319, Resultados_Reales!$A$4:$I$107, 5, FALSE)="", VLOOKUP(C1319, Resultados_Reales!$A$4:$I$107, 6, FALSE)=""), 0, IF(AND(VLOOKUP(C1319, Resultados_Reales!$A$4:$I$107, 5, FALSE)=G1319, VLOOKUP(C1319, Resultados_Reales!$A$4:$I$107, 6, FALSE)=H1319), Configuracion!$B$5, IF(SIGN(VLOOKUP(C1319, Resultados_Reales!$A$4:$I$107, 5, FALSE)-VLOOKUP(C1319, Resultados_Reales!$A$4:$I$107, 6, FALSE)) = SIGN(G1319-H1319), Configuracion!$B$4, 0)))</f>
        <v/>
      </c>
      <c r="L1319" s="11" t="n"/>
      <c r="M1319" s="11" t="n"/>
      <c r="N1319" s="11" t="n"/>
      <c r="O1319" s="11" t="n"/>
      <c r="P1319" s="11" t="n"/>
      <c r="Q1319" s="11" t="n"/>
    </row>
    <row r="1320">
      <c r="A1320" s="8">
        <f>B1320&amp;"_"&amp;C1320</f>
        <v/>
      </c>
      <c r="B1320" s="8" t="n"/>
      <c r="C1320" s="8" t="n"/>
      <c r="D1320" s="8" t="n"/>
      <c r="E1320" s="11" t="n"/>
      <c r="F1320" s="11" t="n"/>
      <c r="G1320" s="8" t="n"/>
      <c r="H1320" s="8" t="n"/>
      <c r="I1320" s="8" t="n"/>
      <c r="J1320" s="8" t="n"/>
      <c r="K1320" s="12">
        <f>IF(OR(ISERROR(VLOOKUP(C1320, Resultados_Reales!$A$4:$I$107, 5, FALSE)), ISERROR(VLOOKUP(C1320, Resultados_Reales!$A$4:$I$107, 6, FALSE)), VLOOKUP(C1320, Resultados_Reales!$A$4:$I$107, 5, FALSE)="", VLOOKUP(C1320, Resultados_Reales!$A$4:$I$107, 6, FALSE)=""), 0, IF(AND(VLOOKUP(C1320, Resultados_Reales!$A$4:$I$107, 5, FALSE)=G1320, VLOOKUP(C1320, Resultados_Reales!$A$4:$I$107, 6, FALSE)=H1320), Configuracion!$B$5, IF(SIGN(VLOOKUP(C1320, Resultados_Reales!$A$4:$I$107, 5, FALSE)-VLOOKUP(C1320, Resultados_Reales!$A$4:$I$107, 6, FALSE)) = SIGN(G1320-H1320), Configuracion!$B$4, 0)))</f>
        <v/>
      </c>
      <c r="L1320" s="11" t="n"/>
      <c r="M1320" s="11" t="n"/>
      <c r="N1320" s="11" t="n"/>
      <c r="O1320" s="11" t="n"/>
      <c r="P1320" s="11" t="n"/>
      <c r="Q1320" s="11" t="n"/>
    </row>
    <row r="1321">
      <c r="A1321" s="8">
        <f>B1321&amp;"_"&amp;C1321</f>
        <v/>
      </c>
      <c r="B1321" s="8" t="n"/>
      <c r="C1321" s="8" t="n"/>
      <c r="D1321" s="8" t="n"/>
      <c r="E1321" s="11" t="n"/>
      <c r="F1321" s="11" t="n"/>
      <c r="G1321" s="8" t="n"/>
      <c r="H1321" s="8" t="n"/>
      <c r="I1321" s="8" t="n"/>
      <c r="J1321" s="8" t="n"/>
      <c r="K1321" s="12">
        <f>IF(OR(ISERROR(VLOOKUP(C1321, Resultados_Reales!$A$4:$I$107, 5, FALSE)), ISERROR(VLOOKUP(C1321, Resultados_Reales!$A$4:$I$107, 6, FALSE)), VLOOKUP(C1321, Resultados_Reales!$A$4:$I$107, 5, FALSE)="", VLOOKUP(C1321, Resultados_Reales!$A$4:$I$107, 6, FALSE)=""), 0, IF(AND(VLOOKUP(C1321, Resultados_Reales!$A$4:$I$107, 5, FALSE)=G1321, VLOOKUP(C1321, Resultados_Reales!$A$4:$I$107, 6, FALSE)=H1321), Configuracion!$B$5, IF(SIGN(VLOOKUP(C1321, Resultados_Reales!$A$4:$I$107, 5, FALSE)-VLOOKUP(C1321, Resultados_Reales!$A$4:$I$107, 6, FALSE)) = SIGN(G1321-H1321), Configuracion!$B$4, 0)))</f>
        <v/>
      </c>
      <c r="L1321" s="11" t="n"/>
      <c r="M1321" s="11" t="n"/>
      <c r="N1321" s="11" t="n"/>
      <c r="O1321" s="11" t="n"/>
      <c r="P1321" s="11" t="n"/>
      <c r="Q1321" s="11" t="n"/>
    </row>
    <row r="1322">
      <c r="A1322" s="8">
        <f>B1322&amp;"_"&amp;C1322</f>
        <v/>
      </c>
      <c r="B1322" s="8" t="n"/>
      <c r="C1322" s="8" t="n"/>
      <c r="D1322" s="8" t="n"/>
      <c r="E1322" s="11" t="n"/>
      <c r="F1322" s="11" t="n"/>
      <c r="G1322" s="8" t="n"/>
      <c r="H1322" s="8" t="n"/>
      <c r="I1322" s="8" t="n"/>
      <c r="J1322" s="8" t="n"/>
      <c r="K1322" s="12">
        <f>IF(OR(ISERROR(VLOOKUP(C1322, Resultados_Reales!$A$4:$I$107, 5, FALSE)), ISERROR(VLOOKUP(C1322, Resultados_Reales!$A$4:$I$107, 6, FALSE)), VLOOKUP(C1322, Resultados_Reales!$A$4:$I$107, 5, FALSE)="", VLOOKUP(C1322, Resultados_Reales!$A$4:$I$107, 6, FALSE)=""), 0, IF(AND(VLOOKUP(C1322, Resultados_Reales!$A$4:$I$107, 5, FALSE)=G1322, VLOOKUP(C1322, Resultados_Reales!$A$4:$I$107, 6, FALSE)=H1322), Configuracion!$B$5, IF(SIGN(VLOOKUP(C1322, Resultados_Reales!$A$4:$I$107, 5, FALSE)-VLOOKUP(C1322, Resultados_Reales!$A$4:$I$107, 6, FALSE)) = SIGN(G1322-H1322), Configuracion!$B$4, 0)))</f>
        <v/>
      </c>
      <c r="L1322" s="11" t="n"/>
      <c r="M1322" s="11" t="n"/>
      <c r="N1322" s="11" t="n"/>
      <c r="O1322" s="11" t="n"/>
      <c r="P1322" s="11" t="n"/>
      <c r="Q1322" s="11" t="n"/>
    </row>
    <row r="1323">
      <c r="A1323" s="8">
        <f>B1323&amp;"_"&amp;C1323</f>
        <v/>
      </c>
      <c r="B1323" s="8" t="n"/>
      <c r="C1323" s="8" t="n"/>
      <c r="D1323" s="8" t="n"/>
      <c r="E1323" s="11" t="n"/>
      <c r="F1323" s="11" t="n"/>
      <c r="G1323" s="8" t="n"/>
      <c r="H1323" s="8" t="n"/>
      <c r="I1323" s="8" t="n"/>
      <c r="J1323" s="8" t="n"/>
      <c r="K1323" s="12">
        <f>IF(OR(ISERROR(VLOOKUP(C1323, Resultados_Reales!$A$4:$I$107, 5, FALSE)), ISERROR(VLOOKUP(C1323, Resultados_Reales!$A$4:$I$107, 6, FALSE)), VLOOKUP(C1323, Resultados_Reales!$A$4:$I$107, 5, FALSE)="", VLOOKUP(C1323, Resultados_Reales!$A$4:$I$107, 6, FALSE)=""), 0, IF(AND(VLOOKUP(C1323, Resultados_Reales!$A$4:$I$107, 5, FALSE)=G1323, VLOOKUP(C1323, Resultados_Reales!$A$4:$I$107, 6, FALSE)=H1323), Configuracion!$B$5, IF(SIGN(VLOOKUP(C1323, Resultados_Reales!$A$4:$I$107, 5, FALSE)-VLOOKUP(C1323, Resultados_Reales!$A$4:$I$107, 6, FALSE)) = SIGN(G1323-H1323), Configuracion!$B$4, 0)))</f>
        <v/>
      </c>
      <c r="L1323" s="11" t="n"/>
      <c r="M1323" s="11" t="n"/>
      <c r="N1323" s="11" t="n"/>
      <c r="O1323" s="11" t="n"/>
      <c r="P1323" s="11" t="n"/>
      <c r="Q1323" s="11" t="n"/>
    </row>
    <row r="1324">
      <c r="A1324" s="8">
        <f>B1324&amp;"_"&amp;C1324</f>
        <v/>
      </c>
      <c r="B1324" s="8" t="n"/>
      <c r="C1324" s="8" t="n"/>
      <c r="D1324" s="8" t="n"/>
      <c r="E1324" s="11" t="n"/>
      <c r="F1324" s="11" t="n"/>
      <c r="G1324" s="8" t="n"/>
      <c r="H1324" s="8" t="n"/>
      <c r="I1324" s="8" t="n"/>
      <c r="J1324" s="8" t="n"/>
      <c r="K1324" s="12">
        <f>IF(OR(ISERROR(VLOOKUP(C1324, Resultados_Reales!$A$4:$I$107, 5, FALSE)), ISERROR(VLOOKUP(C1324, Resultados_Reales!$A$4:$I$107, 6, FALSE)), VLOOKUP(C1324, Resultados_Reales!$A$4:$I$107, 5, FALSE)="", VLOOKUP(C1324, Resultados_Reales!$A$4:$I$107, 6, FALSE)=""), 0, IF(AND(VLOOKUP(C1324, Resultados_Reales!$A$4:$I$107, 5, FALSE)=G1324, VLOOKUP(C1324, Resultados_Reales!$A$4:$I$107, 6, FALSE)=H1324), Configuracion!$B$5, IF(SIGN(VLOOKUP(C1324, Resultados_Reales!$A$4:$I$107, 5, FALSE)-VLOOKUP(C1324, Resultados_Reales!$A$4:$I$107, 6, FALSE)) = SIGN(G1324-H1324), Configuracion!$B$4, 0)))</f>
        <v/>
      </c>
      <c r="L1324" s="11" t="n"/>
      <c r="M1324" s="11" t="n"/>
      <c r="N1324" s="11" t="n"/>
      <c r="O1324" s="11" t="n"/>
      <c r="P1324" s="11" t="n"/>
      <c r="Q1324" s="11" t="n"/>
    </row>
    <row r="1325">
      <c r="A1325" s="8">
        <f>B1325&amp;"_"&amp;C1325</f>
        <v/>
      </c>
      <c r="B1325" s="8" t="n"/>
      <c r="C1325" s="8" t="n"/>
      <c r="D1325" s="8" t="n"/>
      <c r="E1325" s="11" t="n"/>
      <c r="F1325" s="11" t="n"/>
      <c r="G1325" s="8" t="n"/>
      <c r="H1325" s="8" t="n"/>
      <c r="I1325" s="8" t="n"/>
      <c r="J1325" s="8" t="n"/>
      <c r="K1325" s="12">
        <f>IF(OR(ISERROR(VLOOKUP(C1325, Resultados_Reales!$A$4:$I$107, 5, FALSE)), ISERROR(VLOOKUP(C1325, Resultados_Reales!$A$4:$I$107, 6, FALSE)), VLOOKUP(C1325, Resultados_Reales!$A$4:$I$107, 5, FALSE)="", VLOOKUP(C1325, Resultados_Reales!$A$4:$I$107, 6, FALSE)=""), 0, IF(AND(VLOOKUP(C1325, Resultados_Reales!$A$4:$I$107, 5, FALSE)=G1325, VLOOKUP(C1325, Resultados_Reales!$A$4:$I$107, 6, FALSE)=H1325), Configuracion!$B$5, IF(SIGN(VLOOKUP(C1325, Resultados_Reales!$A$4:$I$107, 5, FALSE)-VLOOKUP(C1325, Resultados_Reales!$A$4:$I$107, 6, FALSE)) = SIGN(G1325-H1325), Configuracion!$B$4, 0)))</f>
        <v/>
      </c>
      <c r="L1325" s="11" t="n"/>
      <c r="M1325" s="11" t="n"/>
      <c r="N1325" s="11" t="n"/>
      <c r="O1325" s="11" t="n"/>
      <c r="P1325" s="11" t="n"/>
      <c r="Q1325" s="11" t="n"/>
    </row>
    <row r="1326">
      <c r="A1326" s="8">
        <f>B1326&amp;"_"&amp;C1326</f>
        <v/>
      </c>
      <c r="B1326" s="8" t="n"/>
      <c r="C1326" s="8" t="n"/>
      <c r="D1326" s="8" t="n"/>
      <c r="E1326" s="11" t="n"/>
      <c r="F1326" s="11" t="n"/>
      <c r="G1326" s="8" t="n"/>
      <c r="H1326" s="8" t="n"/>
      <c r="I1326" s="8" t="n"/>
      <c r="J1326" s="8" t="n"/>
      <c r="K1326" s="12">
        <f>IF(OR(ISERROR(VLOOKUP(C1326, Resultados_Reales!$A$4:$I$107, 5, FALSE)), ISERROR(VLOOKUP(C1326, Resultados_Reales!$A$4:$I$107, 6, FALSE)), VLOOKUP(C1326, Resultados_Reales!$A$4:$I$107, 5, FALSE)="", VLOOKUP(C1326, Resultados_Reales!$A$4:$I$107, 6, FALSE)=""), 0, IF(AND(VLOOKUP(C1326, Resultados_Reales!$A$4:$I$107, 5, FALSE)=G1326, VLOOKUP(C1326, Resultados_Reales!$A$4:$I$107, 6, FALSE)=H1326), Configuracion!$B$5, IF(SIGN(VLOOKUP(C1326, Resultados_Reales!$A$4:$I$107, 5, FALSE)-VLOOKUP(C1326, Resultados_Reales!$A$4:$I$107, 6, FALSE)) = SIGN(G1326-H1326), Configuracion!$B$4, 0)))</f>
        <v/>
      </c>
      <c r="L1326" s="11" t="n"/>
      <c r="M1326" s="11" t="n"/>
      <c r="N1326" s="11" t="n"/>
      <c r="O1326" s="11" t="n"/>
      <c r="P1326" s="11" t="n"/>
      <c r="Q1326" s="11" t="n"/>
    </row>
    <row r="1327">
      <c r="A1327" s="8">
        <f>B1327&amp;"_"&amp;C1327</f>
        <v/>
      </c>
      <c r="B1327" s="8" t="n"/>
      <c r="C1327" s="8" t="n"/>
      <c r="D1327" s="8" t="n"/>
      <c r="E1327" s="11" t="n"/>
      <c r="F1327" s="11" t="n"/>
      <c r="G1327" s="8" t="n"/>
      <c r="H1327" s="8" t="n"/>
      <c r="I1327" s="8" t="n"/>
      <c r="J1327" s="8" t="n"/>
      <c r="K1327" s="12">
        <f>IF(OR(ISERROR(VLOOKUP(C1327, Resultados_Reales!$A$4:$I$107, 5, FALSE)), ISERROR(VLOOKUP(C1327, Resultados_Reales!$A$4:$I$107, 6, FALSE)), VLOOKUP(C1327, Resultados_Reales!$A$4:$I$107, 5, FALSE)="", VLOOKUP(C1327, Resultados_Reales!$A$4:$I$107, 6, FALSE)=""), 0, IF(AND(VLOOKUP(C1327, Resultados_Reales!$A$4:$I$107, 5, FALSE)=G1327, VLOOKUP(C1327, Resultados_Reales!$A$4:$I$107, 6, FALSE)=H1327), Configuracion!$B$5, IF(SIGN(VLOOKUP(C1327, Resultados_Reales!$A$4:$I$107, 5, FALSE)-VLOOKUP(C1327, Resultados_Reales!$A$4:$I$107, 6, FALSE)) = SIGN(G1327-H1327), Configuracion!$B$4, 0)))</f>
        <v/>
      </c>
      <c r="L1327" s="11" t="n"/>
      <c r="M1327" s="11" t="n"/>
      <c r="N1327" s="11" t="n"/>
      <c r="O1327" s="11" t="n"/>
      <c r="P1327" s="11" t="n"/>
      <c r="Q1327" s="11" t="n"/>
    </row>
    <row r="1328">
      <c r="A1328" s="8">
        <f>B1328&amp;"_"&amp;C1328</f>
        <v/>
      </c>
      <c r="B1328" s="8" t="n"/>
      <c r="C1328" s="8" t="n"/>
      <c r="D1328" s="8" t="n"/>
      <c r="E1328" s="11" t="n"/>
      <c r="F1328" s="11" t="n"/>
      <c r="G1328" s="8" t="n"/>
      <c r="H1328" s="8" t="n"/>
      <c r="I1328" s="8" t="n"/>
      <c r="J1328" s="8" t="n"/>
      <c r="K1328" s="12">
        <f>IF(OR(ISERROR(VLOOKUP(C1328, Resultados_Reales!$A$4:$I$107, 5, FALSE)), ISERROR(VLOOKUP(C1328, Resultados_Reales!$A$4:$I$107, 6, FALSE)), VLOOKUP(C1328, Resultados_Reales!$A$4:$I$107, 5, FALSE)="", VLOOKUP(C1328, Resultados_Reales!$A$4:$I$107, 6, FALSE)=""), 0, IF(AND(VLOOKUP(C1328, Resultados_Reales!$A$4:$I$107, 5, FALSE)=G1328, VLOOKUP(C1328, Resultados_Reales!$A$4:$I$107, 6, FALSE)=H1328), Configuracion!$B$5, IF(SIGN(VLOOKUP(C1328, Resultados_Reales!$A$4:$I$107, 5, FALSE)-VLOOKUP(C1328, Resultados_Reales!$A$4:$I$107, 6, FALSE)) = SIGN(G1328-H1328), Configuracion!$B$4, 0)))</f>
        <v/>
      </c>
      <c r="L1328" s="11" t="n"/>
      <c r="M1328" s="11" t="n"/>
      <c r="N1328" s="11" t="n"/>
      <c r="O1328" s="11" t="n"/>
      <c r="P1328" s="11" t="n"/>
      <c r="Q1328" s="11" t="n"/>
    </row>
    <row r="1329">
      <c r="A1329" s="8">
        <f>B1329&amp;"_"&amp;C1329</f>
        <v/>
      </c>
      <c r="B1329" s="8" t="n"/>
      <c r="C1329" s="8" t="n"/>
      <c r="D1329" s="8" t="n"/>
      <c r="E1329" s="11" t="n"/>
      <c r="F1329" s="11" t="n"/>
      <c r="G1329" s="8" t="n"/>
      <c r="H1329" s="8" t="n"/>
      <c r="I1329" s="8" t="n"/>
      <c r="J1329" s="8" t="n"/>
      <c r="K1329" s="12">
        <f>IF(OR(ISERROR(VLOOKUP(C1329, Resultados_Reales!$A$4:$I$107, 5, FALSE)), ISERROR(VLOOKUP(C1329, Resultados_Reales!$A$4:$I$107, 6, FALSE)), VLOOKUP(C1329, Resultados_Reales!$A$4:$I$107, 5, FALSE)="", VLOOKUP(C1329, Resultados_Reales!$A$4:$I$107, 6, FALSE)=""), 0, IF(AND(VLOOKUP(C1329, Resultados_Reales!$A$4:$I$107, 5, FALSE)=G1329, VLOOKUP(C1329, Resultados_Reales!$A$4:$I$107, 6, FALSE)=H1329), Configuracion!$B$5, IF(SIGN(VLOOKUP(C1329, Resultados_Reales!$A$4:$I$107, 5, FALSE)-VLOOKUP(C1329, Resultados_Reales!$A$4:$I$107, 6, FALSE)) = SIGN(G1329-H1329), Configuracion!$B$4, 0)))</f>
        <v/>
      </c>
      <c r="L1329" s="11" t="n"/>
      <c r="M1329" s="11" t="n"/>
      <c r="N1329" s="11" t="n"/>
      <c r="O1329" s="11" t="n"/>
      <c r="P1329" s="11" t="n"/>
      <c r="Q1329" s="11" t="n"/>
    </row>
    <row r="1330">
      <c r="A1330" s="8">
        <f>B1330&amp;"_"&amp;C1330</f>
        <v/>
      </c>
      <c r="B1330" s="8" t="n"/>
      <c r="C1330" s="8" t="n"/>
      <c r="D1330" s="8" t="n"/>
      <c r="E1330" s="11" t="n"/>
      <c r="F1330" s="11" t="n"/>
      <c r="G1330" s="8" t="n"/>
      <c r="H1330" s="8" t="n"/>
      <c r="I1330" s="8" t="n"/>
      <c r="J1330" s="8" t="n"/>
      <c r="K1330" s="12">
        <f>IF(OR(ISERROR(VLOOKUP(C1330, Resultados_Reales!$A$4:$I$107, 5, FALSE)), ISERROR(VLOOKUP(C1330, Resultados_Reales!$A$4:$I$107, 6, FALSE)), VLOOKUP(C1330, Resultados_Reales!$A$4:$I$107, 5, FALSE)="", VLOOKUP(C1330, Resultados_Reales!$A$4:$I$107, 6, FALSE)=""), 0, IF(AND(VLOOKUP(C1330, Resultados_Reales!$A$4:$I$107, 5, FALSE)=G1330, VLOOKUP(C1330, Resultados_Reales!$A$4:$I$107, 6, FALSE)=H1330), Configuracion!$B$5, IF(SIGN(VLOOKUP(C1330, Resultados_Reales!$A$4:$I$107, 5, FALSE)-VLOOKUP(C1330, Resultados_Reales!$A$4:$I$107, 6, FALSE)) = SIGN(G1330-H1330), Configuracion!$B$4, 0)))</f>
        <v/>
      </c>
      <c r="L1330" s="11" t="n"/>
      <c r="M1330" s="11" t="n"/>
      <c r="N1330" s="11" t="n"/>
      <c r="O1330" s="11" t="n"/>
      <c r="P1330" s="11" t="n"/>
      <c r="Q1330" s="11" t="n"/>
    </row>
    <row r="1331">
      <c r="A1331" s="8">
        <f>B1331&amp;"_"&amp;C1331</f>
        <v/>
      </c>
      <c r="B1331" s="8" t="n"/>
      <c r="C1331" s="8" t="n"/>
      <c r="D1331" s="8" t="n"/>
      <c r="E1331" s="11" t="n"/>
      <c r="F1331" s="11" t="n"/>
      <c r="G1331" s="8" t="n"/>
      <c r="H1331" s="8" t="n"/>
      <c r="I1331" s="8" t="n"/>
      <c r="J1331" s="8" t="n"/>
      <c r="K1331" s="12">
        <f>IF(OR(ISERROR(VLOOKUP(C1331, Resultados_Reales!$A$4:$I$107, 5, FALSE)), ISERROR(VLOOKUP(C1331, Resultados_Reales!$A$4:$I$107, 6, FALSE)), VLOOKUP(C1331, Resultados_Reales!$A$4:$I$107, 5, FALSE)="", VLOOKUP(C1331, Resultados_Reales!$A$4:$I$107, 6, FALSE)=""), 0, IF(AND(VLOOKUP(C1331, Resultados_Reales!$A$4:$I$107, 5, FALSE)=G1331, VLOOKUP(C1331, Resultados_Reales!$A$4:$I$107, 6, FALSE)=H1331), Configuracion!$B$5, IF(SIGN(VLOOKUP(C1331, Resultados_Reales!$A$4:$I$107, 5, FALSE)-VLOOKUP(C1331, Resultados_Reales!$A$4:$I$107, 6, FALSE)) = SIGN(G1331-H1331), Configuracion!$B$4, 0)))</f>
        <v/>
      </c>
      <c r="L1331" s="11" t="n"/>
      <c r="M1331" s="11" t="n"/>
      <c r="N1331" s="11" t="n"/>
      <c r="O1331" s="11" t="n"/>
      <c r="P1331" s="11" t="n"/>
      <c r="Q1331" s="11" t="n"/>
    </row>
    <row r="1332">
      <c r="A1332" s="8">
        <f>B1332&amp;"_"&amp;C1332</f>
        <v/>
      </c>
      <c r="B1332" s="8" t="n"/>
      <c r="C1332" s="8" t="n"/>
      <c r="D1332" s="8" t="n"/>
      <c r="E1332" s="11" t="n"/>
      <c r="F1332" s="11" t="n"/>
      <c r="G1332" s="8" t="n"/>
      <c r="H1332" s="8" t="n"/>
      <c r="I1332" s="8" t="n"/>
      <c r="J1332" s="8" t="n"/>
      <c r="K1332" s="12">
        <f>IF(OR(ISERROR(VLOOKUP(C1332, Resultados_Reales!$A$4:$I$107, 5, FALSE)), ISERROR(VLOOKUP(C1332, Resultados_Reales!$A$4:$I$107, 6, FALSE)), VLOOKUP(C1332, Resultados_Reales!$A$4:$I$107, 5, FALSE)="", VLOOKUP(C1332, Resultados_Reales!$A$4:$I$107, 6, FALSE)=""), 0, IF(AND(VLOOKUP(C1332, Resultados_Reales!$A$4:$I$107, 5, FALSE)=G1332, VLOOKUP(C1332, Resultados_Reales!$A$4:$I$107, 6, FALSE)=H1332), Configuracion!$B$5, IF(SIGN(VLOOKUP(C1332, Resultados_Reales!$A$4:$I$107, 5, FALSE)-VLOOKUP(C1332, Resultados_Reales!$A$4:$I$107, 6, FALSE)) = SIGN(G1332-H1332), Configuracion!$B$4, 0)))</f>
        <v/>
      </c>
      <c r="L1332" s="11" t="n"/>
      <c r="M1332" s="11" t="n"/>
      <c r="N1332" s="11" t="n"/>
      <c r="O1332" s="11" t="n"/>
      <c r="P1332" s="11" t="n"/>
      <c r="Q1332" s="11" t="n"/>
    </row>
    <row r="1333">
      <c r="A1333" s="8">
        <f>B1333&amp;"_"&amp;C1333</f>
        <v/>
      </c>
      <c r="B1333" s="8" t="n"/>
      <c r="C1333" s="8" t="n"/>
      <c r="D1333" s="8" t="n"/>
      <c r="E1333" s="11" t="n"/>
      <c r="F1333" s="11" t="n"/>
      <c r="G1333" s="8" t="n"/>
      <c r="H1333" s="8" t="n"/>
      <c r="I1333" s="8" t="n"/>
      <c r="J1333" s="8" t="n"/>
      <c r="K1333" s="12">
        <f>IF(OR(ISERROR(VLOOKUP(C1333, Resultados_Reales!$A$4:$I$107, 5, FALSE)), ISERROR(VLOOKUP(C1333, Resultados_Reales!$A$4:$I$107, 6, FALSE)), VLOOKUP(C1333, Resultados_Reales!$A$4:$I$107, 5, FALSE)="", VLOOKUP(C1333, Resultados_Reales!$A$4:$I$107, 6, FALSE)=""), 0, IF(AND(VLOOKUP(C1333, Resultados_Reales!$A$4:$I$107, 5, FALSE)=G1333, VLOOKUP(C1333, Resultados_Reales!$A$4:$I$107, 6, FALSE)=H1333), Configuracion!$B$5, IF(SIGN(VLOOKUP(C1333, Resultados_Reales!$A$4:$I$107, 5, FALSE)-VLOOKUP(C1333, Resultados_Reales!$A$4:$I$107, 6, FALSE)) = SIGN(G1333-H1333), Configuracion!$B$4, 0)))</f>
        <v/>
      </c>
      <c r="L1333" s="11" t="n"/>
      <c r="M1333" s="11" t="n"/>
      <c r="N1333" s="11" t="n"/>
      <c r="O1333" s="11" t="n"/>
      <c r="P1333" s="11" t="n"/>
      <c r="Q1333" s="11" t="n"/>
    </row>
    <row r="1334">
      <c r="A1334" s="8">
        <f>B1334&amp;"_"&amp;C1334</f>
        <v/>
      </c>
      <c r="B1334" s="8" t="n"/>
      <c r="C1334" s="8" t="n"/>
      <c r="D1334" s="8" t="n"/>
      <c r="E1334" s="11" t="n"/>
      <c r="F1334" s="11" t="n"/>
      <c r="G1334" s="8" t="n"/>
      <c r="H1334" s="8" t="n"/>
      <c r="I1334" s="8" t="n"/>
      <c r="J1334" s="8" t="n"/>
      <c r="K1334" s="12">
        <f>IF(OR(ISERROR(VLOOKUP(C1334, Resultados_Reales!$A$4:$I$107, 5, FALSE)), ISERROR(VLOOKUP(C1334, Resultados_Reales!$A$4:$I$107, 6, FALSE)), VLOOKUP(C1334, Resultados_Reales!$A$4:$I$107, 5, FALSE)="", VLOOKUP(C1334, Resultados_Reales!$A$4:$I$107, 6, FALSE)=""), 0, IF(AND(VLOOKUP(C1334, Resultados_Reales!$A$4:$I$107, 5, FALSE)=G1334, VLOOKUP(C1334, Resultados_Reales!$A$4:$I$107, 6, FALSE)=H1334), Configuracion!$B$5, IF(SIGN(VLOOKUP(C1334, Resultados_Reales!$A$4:$I$107, 5, FALSE)-VLOOKUP(C1334, Resultados_Reales!$A$4:$I$107, 6, FALSE)) = SIGN(G1334-H1334), Configuracion!$B$4, 0)))</f>
        <v/>
      </c>
      <c r="L1334" s="11" t="n"/>
      <c r="M1334" s="11" t="n"/>
      <c r="N1334" s="11" t="n"/>
      <c r="O1334" s="11" t="n"/>
      <c r="P1334" s="11" t="n"/>
      <c r="Q1334" s="11" t="n"/>
    </row>
    <row r="1335">
      <c r="A1335" s="8">
        <f>B1335&amp;"_"&amp;C1335</f>
        <v/>
      </c>
      <c r="B1335" s="8" t="n"/>
      <c r="C1335" s="8" t="n"/>
      <c r="D1335" s="8" t="n"/>
      <c r="E1335" s="11" t="n"/>
      <c r="F1335" s="11" t="n"/>
      <c r="G1335" s="8" t="n"/>
      <c r="H1335" s="8" t="n"/>
      <c r="I1335" s="8" t="n"/>
      <c r="J1335" s="8" t="n"/>
      <c r="K1335" s="12">
        <f>IF(OR(ISERROR(VLOOKUP(C1335, Resultados_Reales!$A$4:$I$107, 5, FALSE)), ISERROR(VLOOKUP(C1335, Resultados_Reales!$A$4:$I$107, 6, FALSE)), VLOOKUP(C1335, Resultados_Reales!$A$4:$I$107, 5, FALSE)="", VLOOKUP(C1335, Resultados_Reales!$A$4:$I$107, 6, FALSE)=""), 0, IF(AND(VLOOKUP(C1335, Resultados_Reales!$A$4:$I$107, 5, FALSE)=G1335, VLOOKUP(C1335, Resultados_Reales!$A$4:$I$107, 6, FALSE)=H1335), Configuracion!$B$5, IF(SIGN(VLOOKUP(C1335, Resultados_Reales!$A$4:$I$107, 5, FALSE)-VLOOKUP(C1335, Resultados_Reales!$A$4:$I$107, 6, FALSE)) = SIGN(G1335-H1335), Configuracion!$B$4, 0)))</f>
        <v/>
      </c>
      <c r="L1335" s="11" t="n"/>
      <c r="M1335" s="11" t="n"/>
      <c r="N1335" s="11" t="n"/>
      <c r="O1335" s="11" t="n"/>
      <c r="P1335" s="11" t="n"/>
      <c r="Q1335" s="11" t="n"/>
    </row>
    <row r="1336">
      <c r="A1336" s="8">
        <f>B1336&amp;"_"&amp;C1336</f>
        <v/>
      </c>
      <c r="B1336" s="8" t="n"/>
      <c r="C1336" s="8" t="n"/>
      <c r="D1336" s="8" t="n"/>
      <c r="E1336" s="11" t="n"/>
      <c r="F1336" s="11" t="n"/>
      <c r="G1336" s="8" t="n"/>
      <c r="H1336" s="8" t="n"/>
      <c r="I1336" s="8" t="n"/>
      <c r="J1336" s="8" t="n"/>
      <c r="K1336" s="12">
        <f>IF(OR(ISERROR(VLOOKUP(C1336, Resultados_Reales!$A$4:$I$107, 5, FALSE)), ISERROR(VLOOKUP(C1336, Resultados_Reales!$A$4:$I$107, 6, FALSE)), VLOOKUP(C1336, Resultados_Reales!$A$4:$I$107, 5, FALSE)="", VLOOKUP(C1336, Resultados_Reales!$A$4:$I$107, 6, FALSE)=""), 0, IF(AND(VLOOKUP(C1336, Resultados_Reales!$A$4:$I$107, 5, FALSE)=G1336, VLOOKUP(C1336, Resultados_Reales!$A$4:$I$107, 6, FALSE)=H1336), Configuracion!$B$5, IF(SIGN(VLOOKUP(C1336, Resultados_Reales!$A$4:$I$107, 5, FALSE)-VLOOKUP(C1336, Resultados_Reales!$A$4:$I$107, 6, FALSE)) = SIGN(G1336-H1336), Configuracion!$B$4, 0)))</f>
        <v/>
      </c>
      <c r="L1336" s="11" t="n"/>
      <c r="M1336" s="11" t="n"/>
      <c r="N1336" s="11" t="n"/>
      <c r="O1336" s="11" t="n"/>
      <c r="P1336" s="11" t="n"/>
      <c r="Q1336" s="11" t="n"/>
    </row>
    <row r="1337">
      <c r="A1337" s="8">
        <f>B1337&amp;"_"&amp;C1337</f>
        <v/>
      </c>
      <c r="B1337" s="8" t="n"/>
      <c r="C1337" s="8" t="n"/>
      <c r="D1337" s="8" t="n"/>
      <c r="E1337" s="11" t="n"/>
      <c r="F1337" s="11" t="n"/>
      <c r="G1337" s="8" t="n"/>
      <c r="H1337" s="8" t="n"/>
      <c r="I1337" s="8" t="n"/>
      <c r="J1337" s="8" t="n"/>
      <c r="K1337" s="12">
        <f>IF(OR(ISERROR(VLOOKUP(C1337, Resultados_Reales!$A$4:$I$107, 5, FALSE)), ISERROR(VLOOKUP(C1337, Resultados_Reales!$A$4:$I$107, 6, FALSE)), VLOOKUP(C1337, Resultados_Reales!$A$4:$I$107, 5, FALSE)="", VLOOKUP(C1337, Resultados_Reales!$A$4:$I$107, 6, FALSE)=""), 0, IF(AND(VLOOKUP(C1337, Resultados_Reales!$A$4:$I$107, 5, FALSE)=G1337, VLOOKUP(C1337, Resultados_Reales!$A$4:$I$107, 6, FALSE)=H1337), Configuracion!$B$5, IF(SIGN(VLOOKUP(C1337, Resultados_Reales!$A$4:$I$107, 5, FALSE)-VLOOKUP(C1337, Resultados_Reales!$A$4:$I$107, 6, FALSE)) = SIGN(G1337-H1337), Configuracion!$B$4, 0)))</f>
        <v/>
      </c>
      <c r="L1337" s="11" t="n"/>
      <c r="M1337" s="11" t="n"/>
      <c r="N1337" s="11" t="n"/>
      <c r="O1337" s="11" t="n"/>
      <c r="P1337" s="11" t="n"/>
      <c r="Q1337" s="11" t="n"/>
    </row>
    <row r="1338">
      <c r="A1338" s="8">
        <f>B1338&amp;"_"&amp;C1338</f>
        <v/>
      </c>
      <c r="B1338" s="8" t="n"/>
      <c r="C1338" s="8" t="n"/>
      <c r="D1338" s="8" t="n"/>
      <c r="E1338" s="11" t="n"/>
      <c r="F1338" s="11" t="n"/>
      <c r="G1338" s="8" t="n"/>
      <c r="H1338" s="8" t="n"/>
      <c r="I1338" s="8" t="n"/>
      <c r="J1338" s="8" t="n"/>
      <c r="K1338" s="12">
        <f>IF(OR(ISERROR(VLOOKUP(C1338, Resultados_Reales!$A$4:$I$107, 5, FALSE)), ISERROR(VLOOKUP(C1338, Resultados_Reales!$A$4:$I$107, 6, FALSE)), VLOOKUP(C1338, Resultados_Reales!$A$4:$I$107, 5, FALSE)="", VLOOKUP(C1338, Resultados_Reales!$A$4:$I$107, 6, FALSE)=""), 0, IF(AND(VLOOKUP(C1338, Resultados_Reales!$A$4:$I$107, 5, FALSE)=G1338, VLOOKUP(C1338, Resultados_Reales!$A$4:$I$107, 6, FALSE)=H1338), Configuracion!$B$5, IF(SIGN(VLOOKUP(C1338, Resultados_Reales!$A$4:$I$107, 5, FALSE)-VLOOKUP(C1338, Resultados_Reales!$A$4:$I$107, 6, FALSE)) = SIGN(G1338-H1338), Configuracion!$B$4, 0)))</f>
        <v/>
      </c>
      <c r="L1338" s="11" t="n"/>
      <c r="M1338" s="11" t="n"/>
      <c r="N1338" s="11" t="n"/>
      <c r="O1338" s="11" t="n"/>
      <c r="P1338" s="11" t="n"/>
      <c r="Q1338" s="11" t="n"/>
    </row>
    <row r="1339">
      <c r="A1339" s="8">
        <f>B1339&amp;"_"&amp;C1339</f>
        <v/>
      </c>
      <c r="B1339" s="8" t="n"/>
      <c r="C1339" s="8" t="n"/>
      <c r="D1339" s="8" t="n"/>
      <c r="E1339" s="11" t="n"/>
      <c r="F1339" s="11" t="n"/>
      <c r="G1339" s="8" t="n"/>
      <c r="H1339" s="8" t="n"/>
      <c r="I1339" s="8" t="n"/>
      <c r="J1339" s="8" t="n"/>
      <c r="K1339" s="12">
        <f>IF(OR(ISERROR(VLOOKUP(C1339, Resultados_Reales!$A$4:$I$107, 5, FALSE)), ISERROR(VLOOKUP(C1339, Resultados_Reales!$A$4:$I$107, 6, FALSE)), VLOOKUP(C1339, Resultados_Reales!$A$4:$I$107, 5, FALSE)="", VLOOKUP(C1339, Resultados_Reales!$A$4:$I$107, 6, FALSE)=""), 0, IF(AND(VLOOKUP(C1339, Resultados_Reales!$A$4:$I$107, 5, FALSE)=G1339, VLOOKUP(C1339, Resultados_Reales!$A$4:$I$107, 6, FALSE)=H1339), Configuracion!$B$5, IF(SIGN(VLOOKUP(C1339, Resultados_Reales!$A$4:$I$107, 5, FALSE)-VLOOKUP(C1339, Resultados_Reales!$A$4:$I$107, 6, FALSE)) = SIGN(G1339-H1339), Configuracion!$B$4, 0)))</f>
        <v/>
      </c>
      <c r="L1339" s="11" t="n"/>
      <c r="M1339" s="11" t="n"/>
      <c r="N1339" s="11" t="n"/>
      <c r="O1339" s="11" t="n"/>
      <c r="P1339" s="11" t="n"/>
      <c r="Q1339" s="11" t="n"/>
    </row>
    <row r="1340">
      <c r="A1340" s="8">
        <f>B1340&amp;"_"&amp;C1340</f>
        <v/>
      </c>
      <c r="B1340" s="8" t="n"/>
      <c r="C1340" s="8" t="n"/>
      <c r="D1340" s="8" t="n"/>
      <c r="E1340" s="11" t="n"/>
      <c r="F1340" s="11" t="n"/>
      <c r="G1340" s="8" t="n"/>
      <c r="H1340" s="8" t="n"/>
      <c r="I1340" s="8" t="n"/>
      <c r="J1340" s="8" t="n"/>
      <c r="K1340" s="12">
        <f>IF(OR(ISERROR(VLOOKUP(C1340, Resultados_Reales!$A$4:$I$107, 5, FALSE)), ISERROR(VLOOKUP(C1340, Resultados_Reales!$A$4:$I$107, 6, FALSE)), VLOOKUP(C1340, Resultados_Reales!$A$4:$I$107, 5, FALSE)="", VLOOKUP(C1340, Resultados_Reales!$A$4:$I$107, 6, FALSE)=""), 0, IF(AND(VLOOKUP(C1340, Resultados_Reales!$A$4:$I$107, 5, FALSE)=G1340, VLOOKUP(C1340, Resultados_Reales!$A$4:$I$107, 6, FALSE)=H1340), Configuracion!$B$5, IF(SIGN(VLOOKUP(C1340, Resultados_Reales!$A$4:$I$107, 5, FALSE)-VLOOKUP(C1340, Resultados_Reales!$A$4:$I$107, 6, FALSE)) = SIGN(G1340-H1340), Configuracion!$B$4, 0)))</f>
        <v/>
      </c>
      <c r="L1340" s="11" t="n"/>
      <c r="M1340" s="11" t="n"/>
      <c r="N1340" s="11" t="n"/>
      <c r="O1340" s="11" t="n"/>
      <c r="P1340" s="11" t="n"/>
      <c r="Q1340" s="11" t="n"/>
    </row>
    <row r="1341">
      <c r="A1341" s="8">
        <f>B1341&amp;"_"&amp;C1341</f>
        <v/>
      </c>
      <c r="B1341" s="8" t="n"/>
      <c r="C1341" s="8" t="n"/>
      <c r="D1341" s="8" t="n"/>
      <c r="E1341" s="11" t="n"/>
      <c r="F1341" s="11" t="n"/>
      <c r="G1341" s="8" t="n"/>
      <c r="H1341" s="8" t="n"/>
      <c r="I1341" s="8" t="n"/>
      <c r="J1341" s="8" t="n"/>
      <c r="K1341" s="12">
        <f>IF(OR(ISERROR(VLOOKUP(C1341, Resultados_Reales!$A$4:$I$107, 5, FALSE)), ISERROR(VLOOKUP(C1341, Resultados_Reales!$A$4:$I$107, 6, FALSE)), VLOOKUP(C1341, Resultados_Reales!$A$4:$I$107, 5, FALSE)="", VLOOKUP(C1341, Resultados_Reales!$A$4:$I$107, 6, FALSE)=""), 0, IF(AND(VLOOKUP(C1341, Resultados_Reales!$A$4:$I$107, 5, FALSE)=G1341, VLOOKUP(C1341, Resultados_Reales!$A$4:$I$107, 6, FALSE)=H1341), Configuracion!$B$5, IF(SIGN(VLOOKUP(C1341, Resultados_Reales!$A$4:$I$107, 5, FALSE)-VLOOKUP(C1341, Resultados_Reales!$A$4:$I$107, 6, FALSE)) = SIGN(G1341-H1341), Configuracion!$B$4, 0)))</f>
        <v/>
      </c>
      <c r="L1341" s="11" t="n"/>
      <c r="M1341" s="11" t="n"/>
      <c r="N1341" s="11" t="n"/>
      <c r="O1341" s="11" t="n"/>
      <c r="P1341" s="11" t="n"/>
      <c r="Q1341" s="11" t="n"/>
    </row>
    <row r="1342">
      <c r="A1342" s="8">
        <f>B1342&amp;"_"&amp;C1342</f>
        <v/>
      </c>
      <c r="B1342" s="8" t="n"/>
      <c r="C1342" s="8" t="n"/>
      <c r="D1342" s="8" t="n"/>
      <c r="E1342" s="11" t="n"/>
      <c r="F1342" s="11" t="n"/>
      <c r="G1342" s="8" t="n"/>
      <c r="H1342" s="8" t="n"/>
      <c r="I1342" s="8" t="n"/>
      <c r="J1342" s="8" t="n"/>
      <c r="K1342" s="12">
        <f>IF(OR(ISERROR(VLOOKUP(C1342, Resultados_Reales!$A$4:$I$107, 5, FALSE)), ISERROR(VLOOKUP(C1342, Resultados_Reales!$A$4:$I$107, 6, FALSE)), VLOOKUP(C1342, Resultados_Reales!$A$4:$I$107, 5, FALSE)="", VLOOKUP(C1342, Resultados_Reales!$A$4:$I$107, 6, FALSE)=""), 0, IF(AND(VLOOKUP(C1342, Resultados_Reales!$A$4:$I$107, 5, FALSE)=G1342, VLOOKUP(C1342, Resultados_Reales!$A$4:$I$107, 6, FALSE)=H1342), Configuracion!$B$5, IF(SIGN(VLOOKUP(C1342, Resultados_Reales!$A$4:$I$107, 5, FALSE)-VLOOKUP(C1342, Resultados_Reales!$A$4:$I$107, 6, FALSE)) = SIGN(G1342-H1342), Configuracion!$B$4, 0)))</f>
        <v/>
      </c>
      <c r="L1342" s="11" t="n"/>
      <c r="M1342" s="11" t="n"/>
      <c r="N1342" s="11" t="n"/>
      <c r="O1342" s="11" t="n"/>
      <c r="P1342" s="11" t="n"/>
      <c r="Q1342" s="11" t="n"/>
    </row>
    <row r="1343">
      <c r="A1343" s="8">
        <f>B1343&amp;"_"&amp;C1343</f>
        <v/>
      </c>
      <c r="B1343" s="8" t="n"/>
      <c r="C1343" s="8" t="n"/>
      <c r="D1343" s="8" t="n"/>
      <c r="E1343" s="11" t="n"/>
      <c r="F1343" s="11" t="n"/>
      <c r="G1343" s="8" t="n"/>
      <c r="H1343" s="8" t="n"/>
      <c r="I1343" s="8" t="n"/>
      <c r="J1343" s="8" t="n"/>
      <c r="K1343" s="12">
        <f>IF(OR(ISERROR(VLOOKUP(C1343, Resultados_Reales!$A$4:$I$107, 5, FALSE)), ISERROR(VLOOKUP(C1343, Resultados_Reales!$A$4:$I$107, 6, FALSE)), VLOOKUP(C1343, Resultados_Reales!$A$4:$I$107, 5, FALSE)="", VLOOKUP(C1343, Resultados_Reales!$A$4:$I$107, 6, FALSE)=""), 0, IF(AND(VLOOKUP(C1343, Resultados_Reales!$A$4:$I$107, 5, FALSE)=G1343, VLOOKUP(C1343, Resultados_Reales!$A$4:$I$107, 6, FALSE)=H1343), Configuracion!$B$5, IF(SIGN(VLOOKUP(C1343, Resultados_Reales!$A$4:$I$107, 5, FALSE)-VLOOKUP(C1343, Resultados_Reales!$A$4:$I$107, 6, FALSE)) = SIGN(G1343-H1343), Configuracion!$B$4, 0)))</f>
        <v/>
      </c>
      <c r="L1343" s="11" t="n"/>
      <c r="M1343" s="11" t="n"/>
      <c r="N1343" s="11" t="n"/>
      <c r="O1343" s="11" t="n"/>
      <c r="P1343" s="11" t="n"/>
      <c r="Q1343" s="11" t="n"/>
    </row>
    <row r="1344">
      <c r="A1344" s="8">
        <f>B1344&amp;"_"&amp;C1344</f>
        <v/>
      </c>
      <c r="B1344" s="8" t="n"/>
      <c r="C1344" s="8" t="n"/>
      <c r="D1344" s="8" t="n"/>
      <c r="E1344" s="11" t="n"/>
      <c r="F1344" s="11" t="n"/>
      <c r="G1344" s="8" t="n"/>
      <c r="H1344" s="8" t="n"/>
      <c r="I1344" s="8" t="n"/>
      <c r="J1344" s="8" t="n"/>
      <c r="K1344" s="12">
        <f>IF(OR(ISERROR(VLOOKUP(C1344, Resultados_Reales!$A$4:$I$107, 5, FALSE)), ISERROR(VLOOKUP(C1344, Resultados_Reales!$A$4:$I$107, 6, FALSE)), VLOOKUP(C1344, Resultados_Reales!$A$4:$I$107, 5, FALSE)="", VLOOKUP(C1344, Resultados_Reales!$A$4:$I$107, 6, FALSE)=""), 0, IF(AND(VLOOKUP(C1344, Resultados_Reales!$A$4:$I$107, 5, FALSE)=G1344, VLOOKUP(C1344, Resultados_Reales!$A$4:$I$107, 6, FALSE)=H1344), Configuracion!$B$5, IF(SIGN(VLOOKUP(C1344, Resultados_Reales!$A$4:$I$107, 5, FALSE)-VLOOKUP(C1344, Resultados_Reales!$A$4:$I$107, 6, FALSE)) = SIGN(G1344-H1344), Configuracion!$B$4, 0)))</f>
        <v/>
      </c>
      <c r="L1344" s="11" t="n"/>
      <c r="M1344" s="11" t="n"/>
      <c r="N1344" s="11" t="n"/>
      <c r="O1344" s="11" t="n"/>
      <c r="P1344" s="11" t="n"/>
      <c r="Q1344" s="11" t="n"/>
    </row>
    <row r="1345">
      <c r="A1345" s="8">
        <f>B1345&amp;"_"&amp;C1345</f>
        <v/>
      </c>
      <c r="B1345" s="8" t="n"/>
      <c r="C1345" s="8" t="n"/>
      <c r="D1345" s="8" t="n"/>
      <c r="E1345" s="11" t="n"/>
      <c r="F1345" s="11" t="n"/>
      <c r="G1345" s="8" t="n"/>
      <c r="H1345" s="8" t="n"/>
      <c r="I1345" s="8" t="n"/>
      <c r="J1345" s="8" t="n"/>
      <c r="K1345" s="12">
        <f>IF(OR(ISERROR(VLOOKUP(C1345, Resultados_Reales!$A$4:$I$107, 5, FALSE)), ISERROR(VLOOKUP(C1345, Resultados_Reales!$A$4:$I$107, 6, FALSE)), VLOOKUP(C1345, Resultados_Reales!$A$4:$I$107, 5, FALSE)="", VLOOKUP(C1345, Resultados_Reales!$A$4:$I$107, 6, FALSE)=""), 0, IF(AND(VLOOKUP(C1345, Resultados_Reales!$A$4:$I$107, 5, FALSE)=G1345, VLOOKUP(C1345, Resultados_Reales!$A$4:$I$107, 6, FALSE)=H1345), Configuracion!$B$5, IF(SIGN(VLOOKUP(C1345, Resultados_Reales!$A$4:$I$107, 5, FALSE)-VLOOKUP(C1345, Resultados_Reales!$A$4:$I$107, 6, FALSE)) = SIGN(G1345-H1345), Configuracion!$B$4, 0)))</f>
        <v/>
      </c>
      <c r="L1345" s="11" t="n"/>
      <c r="M1345" s="11" t="n"/>
      <c r="N1345" s="11" t="n"/>
      <c r="O1345" s="11" t="n"/>
      <c r="P1345" s="11" t="n"/>
      <c r="Q1345" s="11" t="n"/>
    </row>
    <row r="1346">
      <c r="A1346" s="8">
        <f>B1346&amp;"_"&amp;C1346</f>
        <v/>
      </c>
      <c r="B1346" s="8" t="n"/>
      <c r="C1346" s="8" t="n"/>
      <c r="D1346" s="8" t="n"/>
      <c r="E1346" s="11" t="n"/>
      <c r="F1346" s="11" t="n"/>
      <c r="G1346" s="8" t="n"/>
      <c r="H1346" s="8" t="n"/>
      <c r="I1346" s="8" t="n"/>
      <c r="J1346" s="8" t="n"/>
      <c r="K1346" s="12">
        <f>IF(OR(ISERROR(VLOOKUP(C1346, Resultados_Reales!$A$4:$I$107, 5, FALSE)), ISERROR(VLOOKUP(C1346, Resultados_Reales!$A$4:$I$107, 6, FALSE)), VLOOKUP(C1346, Resultados_Reales!$A$4:$I$107, 5, FALSE)="", VLOOKUP(C1346, Resultados_Reales!$A$4:$I$107, 6, FALSE)=""), 0, IF(AND(VLOOKUP(C1346, Resultados_Reales!$A$4:$I$107, 5, FALSE)=G1346, VLOOKUP(C1346, Resultados_Reales!$A$4:$I$107, 6, FALSE)=H1346), Configuracion!$B$5, IF(SIGN(VLOOKUP(C1346, Resultados_Reales!$A$4:$I$107, 5, FALSE)-VLOOKUP(C1346, Resultados_Reales!$A$4:$I$107, 6, FALSE)) = SIGN(G1346-H1346), Configuracion!$B$4, 0)))</f>
        <v/>
      </c>
      <c r="L1346" s="11" t="n"/>
      <c r="M1346" s="11" t="n"/>
      <c r="N1346" s="11" t="n"/>
      <c r="O1346" s="11" t="n"/>
      <c r="P1346" s="11" t="n"/>
      <c r="Q1346" s="11" t="n"/>
    </row>
    <row r="1347">
      <c r="A1347" s="8">
        <f>B1347&amp;"_"&amp;C1347</f>
        <v/>
      </c>
      <c r="B1347" s="8" t="n"/>
      <c r="C1347" s="8" t="n"/>
      <c r="D1347" s="8" t="n"/>
      <c r="E1347" s="11" t="n"/>
      <c r="F1347" s="11" t="n"/>
      <c r="G1347" s="8" t="n"/>
      <c r="H1347" s="8" t="n"/>
      <c r="I1347" s="8" t="n"/>
      <c r="J1347" s="8" t="n"/>
      <c r="K1347" s="12">
        <f>IF(OR(ISERROR(VLOOKUP(C1347, Resultados_Reales!$A$4:$I$107, 5, FALSE)), ISERROR(VLOOKUP(C1347, Resultados_Reales!$A$4:$I$107, 6, FALSE)), VLOOKUP(C1347, Resultados_Reales!$A$4:$I$107, 5, FALSE)="", VLOOKUP(C1347, Resultados_Reales!$A$4:$I$107, 6, FALSE)=""), 0, IF(AND(VLOOKUP(C1347, Resultados_Reales!$A$4:$I$107, 5, FALSE)=G1347, VLOOKUP(C1347, Resultados_Reales!$A$4:$I$107, 6, FALSE)=H1347), Configuracion!$B$5, IF(SIGN(VLOOKUP(C1347, Resultados_Reales!$A$4:$I$107, 5, FALSE)-VLOOKUP(C1347, Resultados_Reales!$A$4:$I$107, 6, FALSE)) = SIGN(G1347-H1347), Configuracion!$B$4, 0)))</f>
        <v/>
      </c>
      <c r="L1347" s="11" t="n"/>
      <c r="M1347" s="11" t="n"/>
      <c r="N1347" s="11" t="n"/>
      <c r="O1347" s="11" t="n"/>
      <c r="P1347" s="11" t="n"/>
      <c r="Q1347" s="11" t="n"/>
    </row>
    <row r="1348">
      <c r="A1348" s="8">
        <f>B1348&amp;"_"&amp;C1348</f>
        <v/>
      </c>
      <c r="B1348" s="8" t="n"/>
      <c r="C1348" s="8" t="n"/>
      <c r="D1348" s="8" t="n"/>
      <c r="E1348" s="11" t="n"/>
      <c r="F1348" s="11" t="n"/>
      <c r="G1348" s="8" t="n"/>
      <c r="H1348" s="8" t="n"/>
      <c r="I1348" s="8" t="n"/>
      <c r="J1348" s="8" t="n"/>
      <c r="K1348" s="12">
        <f>IF(OR(ISERROR(VLOOKUP(C1348, Resultados_Reales!$A$4:$I$107, 5, FALSE)), ISERROR(VLOOKUP(C1348, Resultados_Reales!$A$4:$I$107, 6, FALSE)), VLOOKUP(C1348, Resultados_Reales!$A$4:$I$107, 5, FALSE)="", VLOOKUP(C1348, Resultados_Reales!$A$4:$I$107, 6, FALSE)=""), 0, IF(AND(VLOOKUP(C1348, Resultados_Reales!$A$4:$I$107, 5, FALSE)=G1348, VLOOKUP(C1348, Resultados_Reales!$A$4:$I$107, 6, FALSE)=H1348), Configuracion!$B$5, IF(SIGN(VLOOKUP(C1348, Resultados_Reales!$A$4:$I$107, 5, FALSE)-VLOOKUP(C1348, Resultados_Reales!$A$4:$I$107, 6, FALSE)) = SIGN(G1348-H1348), Configuracion!$B$4, 0)))</f>
        <v/>
      </c>
      <c r="L1348" s="11" t="n"/>
      <c r="M1348" s="11" t="n"/>
      <c r="N1348" s="11" t="n"/>
      <c r="O1348" s="11" t="n"/>
      <c r="P1348" s="11" t="n"/>
      <c r="Q1348" s="11" t="n"/>
    </row>
    <row r="1349">
      <c r="A1349" s="8">
        <f>B1349&amp;"_"&amp;C1349</f>
        <v/>
      </c>
      <c r="B1349" s="8" t="n"/>
      <c r="C1349" s="8" t="n"/>
      <c r="D1349" s="8" t="n"/>
      <c r="E1349" s="11" t="n"/>
      <c r="F1349" s="11" t="n"/>
      <c r="G1349" s="8" t="n"/>
      <c r="H1349" s="8" t="n"/>
      <c r="I1349" s="8" t="n"/>
      <c r="J1349" s="8" t="n"/>
      <c r="K1349" s="12">
        <f>IF(OR(ISERROR(VLOOKUP(C1349, Resultados_Reales!$A$4:$I$107, 5, FALSE)), ISERROR(VLOOKUP(C1349, Resultados_Reales!$A$4:$I$107, 6, FALSE)), VLOOKUP(C1349, Resultados_Reales!$A$4:$I$107, 5, FALSE)="", VLOOKUP(C1349, Resultados_Reales!$A$4:$I$107, 6, FALSE)=""), 0, IF(AND(VLOOKUP(C1349, Resultados_Reales!$A$4:$I$107, 5, FALSE)=G1349, VLOOKUP(C1349, Resultados_Reales!$A$4:$I$107, 6, FALSE)=H1349), Configuracion!$B$5, IF(SIGN(VLOOKUP(C1349, Resultados_Reales!$A$4:$I$107, 5, FALSE)-VLOOKUP(C1349, Resultados_Reales!$A$4:$I$107, 6, FALSE)) = SIGN(G1349-H1349), Configuracion!$B$4, 0)))</f>
        <v/>
      </c>
      <c r="L1349" s="11" t="n"/>
      <c r="M1349" s="11" t="n"/>
      <c r="N1349" s="11" t="n"/>
      <c r="O1349" s="11" t="n"/>
      <c r="P1349" s="11" t="n"/>
      <c r="Q1349" s="11" t="n"/>
    </row>
    <row r="1350">
      <c r="A1350" s="8">
        <f>B1350&amp;"_"&amp;C1350</f>
        <v/>
      </c>
      <c r="B1350" s="8" t="n"/>
      <c r="C1350" s="8" t="n"/>
      <c r="D1350" s="8" t="n"/>
      <c r="E1350" s="11" t="n"/>
      <c r="F1350" s="11" t="n"/>
      <c r="G1350" s="8" t="n"/>
      <c r="H1350" s="8" t="n"/>
      <c r="I1350" s="8" t="n"/>
      <c r="J1350" s="8" t="n"/>
      <c r="K1350" s="12">
        <f>IF(OR(ISERROR(VLOOKUP(C1350, Resultados_Reales!$A$4:$I$107, 5, FALSE)), ISERROR(VLOOKUP(C1350, Resultados_Reales!$A$4:$I$107, 6, FALSE)), VLOOKUP(C1350, Resultados_Reales!$A$4:$I$107, 5, FALSE)="", VLOOKUP(C1350, Resultados_Reales!$A$4:$I$107, 6, FALSE)=""), 0, IF(AND(VLOOKUP(C1350, Resultados_Reales!$A$4:$I$107, 5, FALSE)=G1350, VLOOKUP(C1350, Resultados_Reales!$A$4:$I$107, 6, FALSE)=H1350), Configuracion!$B$5, IF(SIGN(VLOOKUP(C1350, Resultados_Reales!$A$4:$I$107, 5, FALSE)-VLOOKUP(C1350, Resultados_Reales!$A$4:$I$107, 6, FALSE)) = SIGN(G1350-H1350), Configuracion!$B$4, 0)))</f>
        <v/>
      </c>
      <c r="L1350" s="11" t="n"/>
      <c r="M1350" s="11" t="n"/>
      <c r="N1350" s="11" t="n"/>
      <c r="O1350" s="11" t="n"/>
      <c r="P1350" s="11" t="n"/>
      <c r="Q1350" s="11" t="n"/>
    </row>
    <row r="1351">
      <c r="A1351" s="8">
        <f>B1351&amp;"_"&amp;C1351</f>
        <v/>
      </c>
      <c r="B1351" s="8" t="n"/>
      <c r="C1351" s="8" t="n"/>
      <c r="D1351" s="8" t="n"/>
      <c r="E1351" s="11" t="n"/>
      <c r="F1351" s="11" t="n"/>
      <c r="G1351" s="8" t="n"/>
      <c r="H1351" s="8" t="n"/>
      <c r="I1351" s="8" t="n"/>
      <c r="J1351" s="8" t="n"/>
      <c r="K1351" s="12">
        <f>IF(OR(ISERROR(VLOOKUP(C1351, Resultados_Reales!$A$4:$I$107, 5, FALSE)), ISERROR(VLOOKUP(C1351, Resultados_Reales!$A$4:$I$107, 6, FALSE)), VLOOKUP(C1351, Resultados_Reales!$A$4:$I$107, 5, FALSE)="", VLOOKUP(C1351, Resultados_Reales!$A$4:$I$107, 6, FALSE)=""), 0, IF(AND(VLOOKUP(C1351, Resultados_Reales!$A$4:$I$107, 5, FALSE)=G1351, VLOOKUP(C1351, Resultados_Reales!$A$4:$I$107, 6, FALSE)=H1351), Configuracion!$B$5, IF(SIGN(VLOOKUP(C1351, Resultados_Reales!$A$4:$I$107, 5, FALSE)-VLOOKUP(C1351, Resultados_Reales!$A$4:$I$107, 6, FALSE)) = SIGN(G1351-H1351), Configuracion!$B$4, 0)))</f>
        <v/>
      </c>
      <c r="L1351" s="11" t="n"/>
      <c r="M1351" s="11" t="n"/>
      <c r="N1351" s="11" t="n"/>
      <c r="O1351" s="11" t="n"/>
      <c r="P1351" s="11" t="n"/>
      <c r="Q1351" s="11" t="n"/>
    </row>
    <row r="1352">
      <c r="A1352" s="8">
        <f>B1352&amp;"_"&amp;C1352</f>
        <v/>
      </c>
      <c r="B1352" s="8" t="n"/>
      <c r="C1352" s="8" t="n"/>
      <c r="D1352" s="8" t="n"/>
      <c r="E1352" s="11" t="n"/>
      <c r="F1352" s="11" t="n"/>
      <c r="G1352" s="8" t="n"/>
      <c r="H1352" s="8" t="n"/>
      <c r="I1352" s="8" t="n"/>
      <c r="J1352" s="8" t="n"/>
      <c r="K1352" s="12">
        <f>IF(OR(ISERROR(VLOOKUP(C1352, Resultados_Reales!$A$4:$I$107, 5, FALSE)), ISERROR(VLOOKUP(C1352, Resultados_Reales!$A$4:$I$107, 6, FALSE)), VLOOKUP(C1352, Resultados_Reales!$A$4:$I$107, 5, FALSE)="", VLOOKUP(C1352, Resultados_Reales!$A$4:$I$107, 6, FALSE)=""), 0, IF(AND(VLOOKUP(C1352, Resultados_Reales!$A$4:$I$107, 5, FALSE)=G1352, VLOOKUP(C1352, Resultados_Reales!$A$4:$I$107, 6, FALSE)=H1352), Configuracion!$B$5, IF(SIGN(VLOOKUP(C1352, Resultados_Reales!$A$4:$I$107, 5, FALSE)-VLOOKUP(C1352, Resultados_Reales!$A$4:$I$107, 6, FALSE)) = SIGN(G1352-H1352), Configuracion!$B$4, 0)))</f>
        <v/>
      </c>
      <c r="L1352" s="11" t="n"/>
      <c r="M1352" s="11" t="n"/>
      <c r="N1352" s="11" t="n"/>
      <c r="O1352" s="11" t="n"/>
      <c r="P1352" s="11" t="n"/>
      <c r="Q1352" s="11" t="n"/>
    </row>
    <row r="1353">
      <c r="A1353" s="8">
        <f>B1353&amp;"_"&amp;C1353</f>
        <v/>
      </c>
      <c r="B1353" s="8" t="n"/>
      <c r="C1353" s="8" t="n"/>
      <c r="D1353" s="8" t="n"/>
      <c r="E1353" s="11" t="n"/>
      <c r="F1353" s="11" t="n"/>
      <c r="G1353" s="8" t="n"/>
      <c r="H1353" s="8" t="n"/>
      <c r="I1353" s="8" t="n"/>
      <c r="J1353" s="8" t="n"/>
      <c r="K1353" s="12">
        <f>IF(OR(ISERROR(VLOOKUP(C1353, Resultados_Reales!$A$4:$I$107, 5, FALSE)), ISERROR(VLOOKUP(C1353, Resultados_Reales!$A$4:$I$107, 6, FALSE)), VLOOKUP(C1353, Resultados_Reales!$A$4:$I$107, 5, FALSE)="", VLOOKUP(C1353, Resultados_Reales!$A$4:$I$107, 6, FALSE)=""), 0, IF(AND(VLOOKUP(C1353, Resultados_Reales!$A$4:$I$107, 5, FALSE)=G1353, VLOOKUP(C1353, Resultados_Reales!$A$4:$I$107, 6, FALSE)=H1353), Configuracion!$B$5, IF(SIGN(VLOOKUP(C1353, Resultados_Reales!$A$4:$I$107, 5, FALSE)-VLOOKUP(C1353, Resultados_Reales!$A$4:$I$107, 6, FALSE)) = SIGN(G1353-H1353), Configuracion!$B$4, 0)))</f>
        <v/>
      </c>
      <c r="L1353" s="11" t="n"/>
      <c r="M1353" s="11" t="n"/>
      <c r="N1353" s="11" t="n"/>
      <c r="O1353" s="11" t="n"/>
      <c r="P1353" s="11" t="n"/>
      <c r="Q1353" s="11" t="n"/>
    </row>
    <row r="1354">
      <c r="A1354" s="8">
        <f>B1354&amp;"_"&amp;C1354</f>
        <v/>
      </c>
      <c r="B1354" s="8" t="n"/>
      <c r="C1354" s="8" t="n"/>
      <c r="D1354" s="8" t="n"/>
      <c r="E1354" s="11" t="n"/>
      <c r="F1354" s="11" t="n"/>
      <c r="G1354" s="8" t="n"/>
      <c r="H1354" s="8" t="n"/>
      <c r="I1354" s="8" t="n"/>
      <c r="J1354" s="8" t="n"/>
      <c r="K1354" s="12">
        <f>IF(OR(ISERROR(VLOOKUP(C1354, Resultados_Reales!$A$4:$I$107, 5, FALSE)), ISERROR(VLOOKUP(C1354, Resultados_Reales!$A$4:$I$107, 6, FALSE)), VLOOKUP(C1354, Resultados_Reales!$A$4:$I$107, 5, FALSE)="", VLOOKUP(C1354, Resultados_Reales!$A$4:$I$107, 6, FALSE)=""), 0, IF(AND(VLOOKUP(C1354, Resultados_Reales!$A$4:$I$107, 5, FALSE)=G1354, VLOOKUP(C1354, Resultados_Reales!$A$4:$I$107, 6, FALSE)=H1354), Configuracion!$B$5, IF(SIGN(VLOOKUP(C1354, Resultados_Reales!$A$4:$I$107, 5, FALSE)-VLOOKUP(C1354, Resultados_Reales!$A$4:$I$107, 6, FALSE)) = SIGN(G1354-H1354), Configuracion!$B$4, 0)))</f>
        <v/>
      </c>
      <c r="L1354" s="11" t="n"/>
      <c r="M1354" s="11" t="n"/>
      <c r="N1354" s="11" t="n"/>
      <c r="O1354" s="11" t="n"/>
      <c r="P1354" s="11" t="n"/>
      <c r="Q1354" s="11" t="n"/>
    </row>
    <row r="1355">
      <c r="A1355" s="8">
        <f>B1355&amp;"_"&amp;C1355</f>
        <v/>
      </c>
      <c r="B1355" s="8" t="n"/>
      <c r="C1355" s="8" t="n"/>
      <c r="D1355" s="8" t="n"/>
      <c r="E1355" s="11" t="n"/>
      <c r="F1355" s="11" t="n"/>
      <c r="G1355" s="8" t="n"/>
      <c r="H1355" s="8" t="n"/>
      <c r="I1355" s="8" t="n"/>
      <c r="J1355" s="8" t="n"/>
      <c r="K1355" s="12">
        <f>IF(OR(ISERROR(VLOOKUP(C1355, Resultados_Reales!$A$4:$I$107, 5, FALSE)), ISERROR(VLOOKUP(C1355, Resultados_Reales!$A$4:$I$107, 6, FALSE)), VLOOKUP(C1355, Resultados_Reales!$A$4:$I$107, 5, FALSE)="", VLOOKUP(C1355, Resultados_Reales!$A$4:$I$107, 6, FALSE)=""), 0, IF(AND(VLOOKUP(C1355, Resultados_Reales!$A$4:$I$107, 5, FALSE)=G1355, VLOOKUP(C1355, Resultados_Reales!$A$4:$I$107, 6, FALSE)=H1355), Configuracion!$B$5, IF(SIGN(VLOOKUP(C1355, Resultados_Reales!$A$4:$I$107, 5, FALSE)-VLOOKUP(C1355, Resultados_Reales!$A$4:$I$107, 6, FALSE)) = SIGN(G1355-H1355), Configuracion!$B$4, 0)))</f>
        <v/>
      </c>
      <c r="L1355" s="11" t="n"/>
      <c r="M1355" s="11" t="n"/>
      <c r="N1355" s="11" t="n"/>
      <c r="O1355" s="11" t="n"/>
      <c r="P1355" s="11" t="n"/>
      <c r="Q1355" s="11" t="n"/>
    </row>
    <row r="1356">
      <c r="A1356" s="8">
        <f>B1356&amp;"_"&amp;C1356</f>
        <v/>
      </c>
      <c r="B1356" s="8" t="n"/>
      <c r="C1356" s="8" t="n"/>
      <c r="D1356" s="8" t="n"/>
      <c r="E1356" s="11" t="n"/>
      <c r="F1356" s="11" t="n"/>
      <c r="G1356" s="8" t="n"/>
      <c r="H1356" s="8" t="n"/>
      <c r="I1356" s="8" t="n"/>
      <c r="J1356" s="8" t="n"/>
      <c r="K1356" s="12">
        <f>IF(OR(ISERROR(VLOOKUP(C1356, Resultados_Reales!$A$4:$I$107, 5, FALSE)), ISERROR(VLOOKUP(C1356, Resultados_Reales!$A$4:$I$107, 6, FALSE)), VLOOKUP(C1356, Resultados_Reales!$A$4:$I$107, 5, FALSE)="", VLOOKUP(C1356, Resultados_Reales!$A$4:$I$107, 6, FALSE)=""), 0, IF(AND(VLOOKUP(C1356, Resultados_Reales!$A$4:$I$107, 5, FALSE)=G1356, VLOOKUP(C1356, Resultados_Reales!$A$4:$I$107, 6, FALSE)=H1356), Configuracion!$B$5, IF(SIGN(VLOOKUP(C1356, Resultados_Reales!$A$4:$I$107, 5, FALSE)-VLOOKUP(C1356, Resultados_Reales!$A$4:$I$107, 6, FALSE)) = SIGN(G1356-H1356), Configuracion!$B$4, 0)))</f>
        <v/>
      </c>
      <c r="L1356" s="11" t="n"/>
      <c r="M1356" s="11" t="n"/>
      <c r="N1356" s="11" t="n"/>
      <c r="O1356" s="11" t="n"/>
      <c r="P1356" s="11" t="n"/>
      <c r="Q1356" s="11" t="n"/>
    </row>
    <row r="1357">
      <c r="A1357" s="8">
        <f>B1357&amp;"_"&amp;C1357</f>
        <v/>
      </c>
      <c r="B1357" s="8" t="n"/>
      <c r="C1357" s="8" t="n"/>
      <c r="D1357" s="8" t="n"/>
      <c r="E1357" s="11" t="n"/>
      <c r="F1357" s="11" t="n"/>
      <c r="G1357" s="8" t="n"/>
      <c r="H1357" s="8" t="n"/>
      <c r="I1357" s="8" t="n"/>
      <c r="J1357" s="8" t="n"/>
      <c r="K1357" s="12">
        <f>IF(OR(ISERROR(VLOOKUP(C1357, Resultados_Reales!$A$4:$I$107, 5, FALSE)), ISERROR(VLOOKUP(C1357, Resultados_Reales!$A$4:$I$107, 6, FALSE)), VLOOKUP(C1357, Resultados_Reales!$A$4:$I$107, 5, FALSE)="", VLOOKUP(C1357, Resultados_Reales!$A$4:$I$107, 6, FALSE)=""), 0, IF(AND(VLOOKUP(C1357, Resultados_Reales!$A$4:$I$107, 5, FALSE)=G1357, VLOOKUP(C1357, Resultados_Reales!$A$4:$I$107, 6, FALSE)=H1357), Configuracion!$B$5, IF(SIGN(VLOOKUP(C1357, Resultados_Reales!$A$4:$I$107, 5, FALSE)-VLOOKUP(C1357, Resultados_Reales!$A$4:$I$107, 6, FALSE)) = SIGN(G1357-H1357), Configuracion!$B$4, 0)))</f>
        <v/>
      </c>
      <c r="L1357" s="11" t="n"/>
      <c r="M1357" s="11" t="n"/>
      <c r="N1357" s="11" t="n"/>
      <c r="O1357" s="11" t="n"/>
      <c r="P1357" s="11" t="n"/>
      <c r="Q1357" s="11" t="n"/>
    </row>
    <row r="1358">
      <c r="A1358" s="8">
        <f>B1358&amp;"_"&amp;C1358</f>
        <v/>
      </c>
      <c r="B1358" s="8" t="n"/>
      <c r="C1358" s="8" t="n"/>
      <c r="D1358" s="8" t="n"/>
      <c r="E1358" s="11" t="n"/>
      <c r="F1358" s="11" t="n"/>
      <c r="G1358" s="8" t="n"/>
      <c r="H1358" s="8" t="n"/>
      <c r="I1358" s="8" t="n"/>
      <c r="J1358" s="8" t="n"/>
      <c r="K1358" s="12">
        <f>IF(OR(ISERROR(VLOOKUP(C1358, Resultados_Reales!$A$4:$I$107, 5, FALSE)), ISERROR(VLOOKUP(C1358, Resultados_Reales!$A$4:$I$107, 6, FALSE)), VLOOKUP(C1358, Resultados_Reales!$A$4:$I$107, 5, FALSE)="", VLOOKUP(C1358, Resultados_Reales!$A$4:$I$107, 6, FALSE)=""), 0, IF(AND(VLOOKUP(C1358, Resultados_Reales!$A$4:$I$107, 5, FALSE)=G1358, VLOOKUP(C1358, Resultados_Reales!$A$4:$I$107, 6, FALSE)=H1358), Configuracion!$B$5, IF(SIGN(VLOOKUP(C1358, Resultados_Reales!$A$4:$I$107, 5, FALSE)-VLOOKUP(C1358, Resultados_Reales!$A$4:$I$107, 6, FALSE)) = SIGN(G1358-H1358), Configuracion!$B$4, 0)))</f>
        <v/>
      </c>
      <c r="L1358" s="11" t="n"/>
      <c r="M1358" s="11" t="n"/>
      <c r="N1358" s="11" t="n"/>
      <c r="O1358" s="11" t="n"/>
      <c r="P1358" s="11" t="n"/>
      <c r="Q1358" s="11" t="n"/>
    </row>
    <row r="1359">
      <c r="A1359" s="8">
        <f>B1359&amp;"_"&amp;C1359</f>
        <v/>
      </c>
      <c r="B1359" s="8" t="n"/>
      <c r="C1359" s="8" t="n"/>
      <c r="D1359" s="8" t="n"/>
      <c r="E1359" s="11" t="n"/>
      <c r="F1359" s="11" t="n"/>
      <c r="G1359" s="8" t="n"/>
      <c r="H1359" s="8" t="n"/>
      <c r="I1359" s="8" t="n"/>
      <c r="J1359" s="8" t="n"/>
      <c r="K1359" s="12">
        <f>IF(OR(ISERROR(VLOOKUP(C1359, Resultados_Reales!$A$4:$I$107, 5, FALSE)), ISERROR(VLOOKUP(C1359, Resultados_Reales!$A$4:$I$107, 6, FALSE)), VLOOKUP(C1359, Resultados_Reales!$A$4:$I$107, 5, FALSE)="", VLOOKUP(C1359, Resultados_Reales!$A$4:$I$107, 6, FALSE)=""), 0, IF(AND(VLOOKUP(C1359, Resultados_Reales!$A$4:$I$107, 5, FALSE)=G1359, VLOOKUP(C1359, Resultados_Reales!$A$4:$I$107, 6, FALSE)=H1359), Configuracion!$B$5, IF(SIGN(VLOOKUP(C1359, Resultados_Reales!$A$4:$I$107, 5, FALSE)-VLOOKUP(C1359, Resultados_Reales!$A$4:$I$107, 6, FALSE)) = SIGN(G1359-H1359), Configuracion!$B$4, 0)))</f>
        <v/>
      </c>
      <c r="L1359" s="11" t="n"/>
      <c r="M1359" s="11" t="n"/>
      <c r="N1359" s="11" t="n"/>
      <c r="O1359" s="11" t="n"/>
      <c r="P1359" s="11" t="n"/>
      <c r="Q1359" s="11" t="n"/>
    </row>
    <row r="1360">
      <c r="A1360" s="8">
        <f>B1360&amp;"_"&amp;C1360</f>
        <v/>
      </c>
      <c r="B1360" s="8" t="n"/>
      <c r="C1360" s="8" t="n"/>
      <c r="D1360" s="8" t="n"/>
      <c r="E1360" s="11" t="n"/>
      <c r="F1360" s="11" t="n"/>
      <c r="G1360" s="8" t="n"/>
      <c r="H1360" s="8" t="n"/>
      <c r="I1360" s="8" t="n"/>
      <c r="J1360" s="8" t="n"/>
      <c r="K1360" s="12">
        <f>IF(OR(ISERROR(VLOOKUP(C1360, Resultados_Reales!$A$4:$I$107, 5, FALSE)), ISERROR(VLOOKUP(C1360, Resultados_Reales!$A$4:$I$107, 6, FALSE)), VLOOKUP(C1360, Resultados_Reales!$A$4:$I$107, 5, FALSE)="", VLOOKUP(C1360, Resultados_Reales!$A$4:$I$107, 6, FALSE)=""), 0, IF(AND(VLOOKUP(C1360, Resultados_Reales!$A$4:$I$107, 5, FALSE)=G1360, VLOOKUP(C1360, Resultados_Reales!$A$4:$I$107, 6, FALSE)=H1360), Configuracion!$B$5, IF(SIGN(VLOOKUP(C1360, Resultados_Reales!$A$4:$I$107, 5, FALSE)-VLOOKUP(C1360, Resultados_Reales!$A$4:$I$107, 6, FALSE)) = SIGN(G1360-H1360), Configuracion!$B$4, 0)))</f>
        <v/>
      </c>
      <c r="L1360" s="11" t="n"/>
      <c r="M1360" s="11" t="n"/>
      <c r="N1360" s="11" t="n"/>
      <c r="O1360" s="11" t="n"/>
      <c r="P1360" s="11" t="n"/>
      <c r="Q1360" s="11" t="n"/>
    </row>
    <row r="1361">
      <c r="A1361" s="8">
        <f>B1361&amp;"_"&amp;C1361</f>
        <v/>
      </c>
      <c r="B1361" s="8" t="n"/>
      <c r="C1361" s="8" t="n"/>
      <c r="D1361" s="8" t="n"/>
      <c r="E1361" s="11" t="n"/>
      <c r="F1361" s="11" t="n"/>
      <c r="G1361" s="8" t="n"/>
      <c r="H1361" s="8" t="n"/>
      <c r="I1361" s="8" t="n"/>
      <c r="J1361" s="8" t="n"/>
      <c r="K1361" s="12">
        <f>IF(OR(ISERROR(VLOOKUP(C1361, Resultados_Reales!$A$4:$I$107, 5, FALSE)), ISERROR(VLOOKUP(C1361, Resultados_Reales!$A$4:$I$107, 6, FALSE)), VLOOKUP(C1361, Resultados_Reales!$A$4:$I$107, 5, FALSE)="", VLOOKUP(C1361, Resultados_Reales!$A$4:$I$107, 6, FALSE)=""), 0, IF(AND(VLOOKUP(C1361, Resultados_Reales!$A$4:$I$107, 5, FALSE)=G1361, VLOOKUP(C1361, Resultados_Reales!$A$4:$I$107, 6, FALSE)=H1361), Configuracion!$B$5, IF(SIGN(VLOOKUP(C1361, Resultados_Reales!$A$4:$I$107, 5, FALSE)-VLOOKUP(C1361, Resultados_Reales!$A$4:$I$107, 6, FALSE)) = SIGN(G1361-H1361), Configuracion!$B$4, 0)))</f>
        <v/>
      </c>
      <c r="L1361" s="11" t="n"/>
      <c r="M1361" s="11" t="n"/>
      <c r="N1361" s="11" t="n"/>
      <c r="O1361" s="11" t="n"/>
      <c r="P1361" s="11" t="n"/>
      <c r="Q1361" s="11" t="n"/>
    </row>
    <row r="1362">
      <c r="A1362" s="8">
        <f>B1362&amp;"_"&amp;C1362</f>
        <v/>
      </c>
      <c r="B1362" s="8" t="n"/>
      <c r="C1362" s="8" t="n"/>
      <c r="D1362" s="8" t="n"/>
      <c r="E1362" s="11" t="n"/>
      <c r="F1362" s="11" t="n"/>
      <c r="G1362" s="8" t="n"/>
      <c r="H1362" s="8" t="n"/>
      <c r="I1362" s="8" t="n"/>
      <c r="J1362" s="8" t="n"/>
      <c r="K1362" s="12">
        <f>IF(OR(ISERROR(VLOOKUP(C1362, Resultados_Reales!$A$4:$I$107, 5, FALSE)), ISERROR(VLOOKUP(C1362, Resultados_Reales!$A$4:$I$107, 6, FALSE)), VLOOKUP(C1362, Resultados_Reales!$A$4:$I$107, 5, FALSE)="", VLOOKUP(C1362, Resultados_Reales!$A$4:$I$107, 6, FALSE)=""), 0, IF(AND(VLOOKUP(C1362, Resultados_Reales!$A$4:$I$107, 5, FALSE)=G1362, VLOOKUP(C1362, Resultados_Reales!$A$4:$I$107, 6, FALSE)=H1362), Configuracion!$B$5, IF(SIGN(VLOOKUP(C1362, Resultados_Reales!$A$4:$I$107, 5, FALSE)-VLOOKUP(C1362, Resultados_Reales!$A$4:$I$107, 6, FALSE)) = SIGN(G1362-H1362), Configuracion!$B$4, 0)))</f>
        <v/>
      </c>
      <c r="L1362" s="11" t="n"/>
      <c r="M1362" s="11" t="n"/>
      <c r="N1362" s="11" t="n"/>
      <c r="O1362" s="11" t="n"/>
      <c r="P1362" s="11" t="n"/>
      <c r="Q1362" s="11" t="n"/>
    </row>
    <row r="1363">
      <c r="A1363" s="8">
        <f>B1363&amp;"_"&amp;C1363</f>
        <v/>
      </c>
      <c r="B1363" s="8" t="n"/>
      <c r="C1363" s="8" t="n"/>
      <c r="D1363" s="8" t="n"/>
      <c r="E1363" s="11" t="n"/>
      <c r="F1363" s="11" t="n"/>
      <c r="G1363" s="8" t="n"/>
      <c r="H1363" s="8" t="n"/>
      <c r="I1363" s="8" t="n"/>
      <c r="J1363" s="8" t="n"/>
      <c r="K1363" s="12">
        <f>IF(OR(ISERROR(VLOOKUP(C1363, Resultados_Reales!$A$4:$I$107, 5, FALSE)), ISERROR(VLOOKUP(C1363, Resultados_Reales!$A$4:$I$107, 6, FALSE)), VLOOKUP(C1363, Resultados_Reales!$A$4:$I$107, 5, FALSE)="", VLOOKUP(C1363, Resultados_Reales!$A$4:$I$107, 6, FALSE)=""), 0, IF(AND(VLOOKUP(C1363, Resultados_Reales!$A$4:$I$107, 5, FALSE)=G1363, VLOOKUP(C1363, Resultados_Reales!$A$4:$I$107, 6, FALSE)=H1363), Configuracion!$B$5, IF(SIGN(VLOOKUP(C1363, Resultados_Reales!$A$4:$I$107, 5, FALSE)-VLOOKUP(C1363, Resultados_Reales!$A$4:$I$107, 6, FALSE)) = SIGN(G1363-H1363), Configuracion!$B$4, 0)))</f>
        <v/>
      </c>
      <c r="L1363" s="11" t="n"/>
      <c r="M1363" s="11" t="n"/>
      <c r="N1363" s="11" t="n"/>
      <c r="O1363" s="11" t="n"/>
      <c r="P1363" s="11" t="n"/>
      <c r="Q1363" s="11" t="n"/>
    </row>
    <row r="1364">
      <c r="A1364" s="8">
        <f>B1364&amp;"_"&amp;C1364</f>
        <v/>
      </c>
      <c r="B1364" s="8" t="n"/>
      <c r="C1364" s="8" t="n"/>
      <c r="D1364" s="8" t="n"/>
      <c r="E1364" s="11" t="n"/>
      <c r="F1364" s="11" t="n"/>
      <c r="G1364" s="8" t="n"/>
      <c r="H1364" s="8" t="n"/>
      <c r="I1364" s="8" t="n"/>
      <c r="J1364" s="8" t="n"/>
      <c r="K1364" s="12">
        <f>IF(OR(ISERROR(VLOOKUP(C1364, Resultados_Reales!$A$4:$I$107, 5, FALSE)), ISERROR(VLOOKUP(C1364, Resultados_Reales!$A$4:$I$107, 6, FALSE)), VLOOKUP(C1364, Resultados_Reales!$A$4:$I$107, 5, FALSE)="", VLOOKUP(C1364, Resultados_Reales!$A$4:$I$107, 6, FALSE)=""), 0, IF(AND(VLOOKUP(C1364, Resultados_Reales!$A$4:$I$107, 5, FALSE)=G1364, VLOOKUP(C1364, Resultados_Reales!$A$4:$I$107, 6, FALSE)=H1364), Configuracion!$B$5, IF(SIGN(VLOOKUP(C1364, Resultados_Reales!$A$4:$I$107, 5, FALSE)-VLOOKUP(C1364, Resultados_Reales!$A$4:$I$107, 6, FALSE)) = SIGN(G1364-H1364), Configuracion!$B$4, 0)))</f>
        <v/>
      </c>
      <c r="L1364" s="11" t="n"/>
      <c r="M1364" s="11" t="n"/>
      <c r="N1364" s="11" t="n"/>
      <c r="O1364" s="11" t="n"/>
      <c r="P1364" s="11" t="n"/>
      <c r="Q1364" s="11" t="n"/>
    </row>
    <row r="1365">
      <c r="A1365" s="8">
        <f>B1365&amp;"_"&amp;C1365</f>
        <v/>
      </c>
      <c r="B1365" s="8" t="n"/>
      <c r="C1365" s="8" t="n"/>
      <c r="D1365" s="8" t="n"/>
      <c r="E1365" s="11" t="n"/>
      <c r="F1365" s="11" t="n"/>
      <c r="G1365" s="8" t="n"/>
      <c r="H1365" s="8" t="n"/>
      <c r="I1365" s="8" t="n"/>
      <c r="J1365" s="8" t="n"/>
      <c r="K1365" s="12">
        <f>IF(OR(ISERROR(VLOOKUP(C1365, Resultados_Reales!$A$4:$I$107, 5, FALSE)), ISERROR(VLOOKUP(C1365, Resultados_Reales!$A$4:$I$107, 6, FALSE)), VLOOKUP(C1365, Resultados_Reales!$A$4:$I$107, 5, FALSE)="", VLOOKUP(C1365, Resultados_Reales!$A$4:$I$107, 6, FALSE)=""), 0, IF(AND(VLOOKUP(C1365, Resultados_Reales!$A$4:$I$107, 5, FALSE)=G1365, VLOOKUP(C1365, Resultados_Reales!$A$4:$I$107, 6, FALSE)=H1365), Configuracion!$B$5, IF(SIGN(VLOOKUP(C1365, Resultados_Reales!$A$4:$I$107, 5, FALSE)-VLOOKUP(C1365, Resultados_Reales!$A$4:$I$107, 6, FALSE)) = SIGN(G1365-H1365), Configuracion!$B$4, 0)))</f>
        <v/>
      </c>
      <c r="L1365" s="11" t="n"/>
      <c r="M1365" s="11" t="n"/>
      <c r="N1365" s="11" t="n"/>
      <c r="O1365" s="11" t="n"/>
      <c r="P1365" s="11" t="n"/>
      <c r="Q1365" s="11" t="n"/>
    </row>
    <row r="1366">
      <c r="A1366" s="8">
        <f>B1366&amp;"_"&amp;C1366</f>
        <v/>
      </c>
      <c r="B1366" s="8" t="n"/>
      <c r="C1366" s="8" t="n"/>
      <c r="D1366" s="8" t="n"/>
      <c r="E1366" s="11" t="n"/>
      <c r="F1366" s="11" t="n"/>
      <c r="G1366" s="8" t="n"/>
      <c r="H1366" s="8" t="n"/>
      <c r="I1366" s="8" t="n"/>
      <c r="J1366" s="8" t="n"/>
      <c r="K1366" s="12">
        <f>IF(OR(ISERROR(VLOOKUP(C1366, Resultados_Reales!$A$4:$I$107, 5, FALSE)), ISERROR(VLOOKUP(C1366, Resultados_Reales!$A$4:$I$107, 6, FALSE)), VLOOKUP(C1366, Resultados_Reales!$A$4:$I$107, 5, FALSE)="", VLOOKUP(C1366, Resultados_Reales!$A$4:$I$107, 6, FALSE)=""), 0, IF(AND(VLOOKUP(C1366, Resultados_Reales!$A$4:$I$107, 5, FALSE)=G1366, VLOOKUP(C1366, Resultados_Reales!$A$4:$I$107, 6, FALSE)=H1366), Configuracion!$B$5, IF(SIGN(VLOOKUP(C1366, Resultados_Reales!$A$4:$I$107, 5, FALSE)-VLOOKUP(C1366, Resultados_Reales!$A$4:$I$107, 6, FALSE)) = SIGN(G1366-H1366), Configuracion!$B$4, 0)))</f>
        <v/>
      </c>
      <c r="L1366" s="11" t="n"/>
      <c r="M1366" s="11" t="n"/>
      <c r="N1366" s="11" t="n"/>
      <c r="O1366" s="11" t="n"/>
      <c r="P1366" s="11" t="n"/>
      <c r="Q1366" s="11" t="n"/>
    </row>
    <row r="1367">
      <c r="A1367" s="8">
        <f>B1367&amp;"_"&amp;C1367</f>
        <v/>
      </c>
      <c r="B1367" s="8" t="n"/>
      <c r="C1367" s="8" t="n"/>
      <c r="D1367" s="8" t="n"/>
      <c r="E1367" s="11" t="n"/>
      <c r="F1367" s="11" t="n"/>
      <c r="G1367" s="8" t="n"/>
      <c r="H1367" s="8" t="n"/>
      <c r="I1367" s="8" t="n"/>
      <c r="J1367" s="8" t="n"/>
      <c r="K1367" s="12">
        <f>IF(OR(ISERROR(VLOOKUP(C1367, Resultados_Reales!$A$4:$I$107, 5, FALSE)), ISERROR(VLOOKUP(C1367, Resultados_Reales!$A$4:$I$107, 6, FALSE)), VLOOKUP(C1367, Resultados_Reales!$A$4:$I$107, 5, FALSE)="", VLOOKUP(C1367, Resultados_Reales!$A$4:$I$107, 6, FALSE)=""), 0, IF(AND(VLOOKUP(C1367, Resultados_Reales!$A$4:$I$107, 5, FALSE)=G1367, VLOOKUP(C1367, Resultados_Reales!$A$4:$I$107, 6, FALSE)=H1367), Configuracion!$B$5, IF(SIGN(VLOOKUP(C1367, Resultados_Reales!$A$4:$I$107, 5, FALSE)-VLOOKUP(C1367, Resultados_Reales!$A$4:$I$107, 6, FALSE)) = SIGN(G1367-H1367), Configuracion!$B$4, 0)))</f>
        <v/>
      </c>
      <c r="L1367" s="11" t="n"/>
      <c r="M1367" s="11" t="n"/>
      <c r="N1367" s="11" t="n"/>
      <c r="O1367" s="11" t="n"/>
      <c r="P1367" s="11" t="n"/>
      <c r="Q1367" s="11" t="n"/>
    </row>
    <row r="1368">
      <c r="A1368" s="8">
        <f>B1368&amp;"_"&amp;C1368</f>
        <v/>
      </c>
      <c r="B1368" s="8" t="n"/>
      <c r="C1368" s="8" t="n"/>
      <c r="D1368" s="8" t="n"/>
      <c r="E1368" s="11" t="n"/>
      <c r="F1368" s="11" t="n"/>
      <c r="G1368" s="8" t="n"/>
      <c r="H1368" s="8" t="n"/>
      <c r="I1368" s="8" t="n"/>
      <c r="J1368" s="8" t="n"/>
      <c r="K1368" s="12">
        <f>IF(OR(ISERROR(VLOOKUP(C1368, Resultados_Reales!$A$4:$I$107, 5, FALSE)), ISERROR(VLOOKUP(C1368, Resultados_Reales!$A$4:$I$107, 6, FALSE)), VLOOKUP(C1368, Resultados_Reales!$A$4:$I$107, 5, FALSE)="", VLOOKUP(C1368, Resultados_Reales!$A$4:$I$107, 6, FALSE)=""), 0, IF(AND(VLOOKUP(C1368, Resultados_Reales!$A$4:$I$107, 5, FALSE)=G1368, VLOOKUP(C1368, Resultados_Reales!$A$4:$I$107, 6, FALSE)=H1368), Configuracion!$B$5, IF(SIGN(VLOOKUP(C1368, Resultados_Reales!$A$4:$I$107, 5, FALSE)-VLOOKUP(C1368, Resultados_Reales!$A$4:$I$107, 6, FALSE)) = SIGN(G1368-H1368), Configuracion!$B$4, 0)))</f>
        <v/>
      </c>
      <c r="L1368" s="11" t="n"/>
      <c r="M1368" s="11" t="n"/>
      <c r="N1368" s="11" t="n"/>
      <c r="O1368" s="11" t="n"/>
      <c r="P1368" s="11" t="n"/>
      <c r="Q1368" s="11" t="n"/>
    </row>
    <row r="1369">
      <c r="A1369" s="8">
        <f>B1369&amp;"_"&amp;C1369</f>
        <v/>
      </c>
      <c r="B1369" s="8" t="n"/>
      <c r="C1369" s="8" t="n"/>
      <c r="D1369" s="8" t="n"/>
      <c r="E1369" s="11" t="n"/>
      <c r="F1369" s="11" t="n"/>
      <c r="G1369" s="8" t="n"/>
      <c r="H1369" s="8" t="n"/>
      <c r="I1369" s="8" t="n"/>
      <c r="J1369" s="8" t="n"/>
      <c r="K1369" s="12">
        <f>IF(OR(ISERROR(VLOOKUP(C1369, Resultados_Reales!$A$4:$I$107, 5, FALSE)), ISERROR(VLOOKUP(C1369, Resultados_Reales!$A$4:$I$107, 6, FALSE)), VLOOKUP(C1369, Resultados_Reales!$A$4:$I$107, 5, FALSE)="", VLOOKUP(C1369, Resultados_Reales!$A$4:$I$107, 6, FALSE)=""), 0, IF(AND(VLOOKUP(C1369, Resultados_Reales!$A$4:$I$107, 5, FALSE)=G1369, VLOOKUP(C1369, Resultados_Reales!$A$4:$I$107, 6, FALSE)=H1369), Configuracion!$B$5, IF(SIGN(VLOOKUP(C1369, Resultados_Reales!$A$4:$I$107, 5, FALSE)-VLOOKUP(C1369, Resultados_Reales!$A$4:$I$107, 6, FALSE)) = SIGN(G1369-H1369), Configuracion!$B$4, 0)))</f>
        <v/>
      </c>
      <c r="L1369" s="11" t="n"/>
      <c r="M1369" s="11" t="n"/>
      <c r="N1369" s="11" t="n"/>
      <c r="O1369" s="11" t="n"/>
      <c r="P1369" s="11" t="n"/>
      <c r="Q1369" s="11" t="n"/>
    </row>
    <row r="1370">
      <c r="A1370" s="8">
        <f>B1370&amp;"_"&amp;C1370</f>
        <v/>
      </c>
      <c r="B1370" s="8" t="n"/>
      <c r="C1370" s="8" t="n"/>
      <c r="D1370" s="8" t="n"/>
      <c r="E1370" s="11" t="n"/>
      <c r="F1370" s="11" t="n"/>
      <c r="G1370" s="8" t="n"/>
      <c r="H1370" s="8" t="n"/>
      <c r="I1370" s="8" t="n"/>
      <c r="J1370" s="8" t="n"/>
      <c r="K1370" s="12">
        <f>IF(OR(ISERROR(VLOOKUP(C1370, Resultados_Reales!$A$4:$I$107, 5, FALSE)), ISERROR(VLOOKUP(C1370, Resultados_Reales!$A$4:$I$107, 6, FALSE)), VLOOKUP(C1370, Resultados_Reales!$A$4:$I$107, 5, FALSE)="", VLOOKUP(C1370, Resultados_Reales!$A$4:$I$107, 6, FALSE)=""), 0, IF(AND(VLOOKUP(C1370, Resultados_Reales!$A$4:$I$107, 5, FALSE)=G1370, VLOOKUP(C1370, Resultados_Reales!$A$4:$I$107, 6, FALSE)=H1370), Configuracion!$B$5, IF(SIGN(VLOOKUP(C1370, Resultados_Reales!$A$4:$I$107, 5, FALSE)-VLOOKUP(C1370, Resultados_Reales!$A$4:$I$107, 6, FALSE)) = SIGN(G1370-H1370), Configuracion!$B$4, 0)))</f>
        <v/>
      </c>
      <c r="L1370" s="11" t="n"/>
      <c r="M1370" s="11" t="n"/>
      <c r="N1370" s="11" t="n"/>
      <c r="O1370" s="11" t="n"/>
      <c r="P1370" s="11" t="n"/>
      <c r="Q1370" s="11" t="n"/>
    </row>
    <row r="1371">
      <c r="A1371" s="8">
        <f>B1371&amp;"_"&amp;C1371</f>
        <v/>
      </c>
      <c r="B1371" s="8" t="n"/>
      <c r="C1371" s="8" t="n"/>
      <c r="D1371" s="8" t="n"/>
      <c r="E1371" s="11" t="n"/>
      <c r="F1371" s="11" t="n"/>
      <c r="G1371" s="8" t="n"/>
      <c r="H1371" s="8" t="n"/>
      <c r="I1371" s="8" t="n"/>
      <c r="J1371" s="8" t="n"/>
      <c r="K1371" s="12">
        <f>IF(OR(ISERROR(VLOOKUP(C1371, Resultados_Reales!$A$4:$I$107, 5, FALSE)), ISERROR(VLOOKUP(C1371, Resultados_Reales!$A$4:$I$107, 6, FALSE)), VLOOKUP(C1371, Resultados_Reales!$A$4:$I$107, 5, FALSE)="", VLOOKUP(C1371, Resultados_Reales!$A$4:$I$107, 6, FALSE)=""), 0, IF(AND(VLOOKUP(C1371, Resultados_Reales!$A$4:$I$107, 5, FALSE)=G1371, VLOOKUP(C1371, Resultados_Reales!$A$4:$I$107, 6, FALSE)=H1371), Configuracion!$B$5, IF(SIGN(VLOOKUP(C1371, Resultados_Reales!$A$4:$I$107, 5, FALSE)-VLOOKUP(C1371, Resultados_Reales!$A$4:$I$107, 6, FALSE)) = SIGN(G1371-H1371), Configuracion!$B$4, 0)))</f>
        <v/>
      </c>
      <c r="L1371" s="11" t="n"/>
      <c r="M1371" s="11" t="n"/>
      <c r="N1371" s="11" t="n"/>
      <c r="O1371" s="11" t="n"/>
      <c r="P1371" s="11" t="n"/>
      <c r="Q1371" s="11" t="n"/>
    </row>
    <row r="1372">
      <c r="A1372" s="8">
        <f>B1372&amp;"_"&amp;C1372</f>
        <v/>
      </c>
      <c r="B1372" s="8" t="n"/>
      <c r="C1372" s="8" t="n"/>
      <c r="D1372" s="8" t="n"/>
      <c r="E1372" s="11" t="n"/>
      <c r="F1372" s="11" t="n"/>
      <c r="G1372" s="8" t="n"/>
      <c r="H1372" s="8" t="n"/>
      <c r="I1372" s="8" t="n"/>
      <c r="J1372" s="8" t="n"/>
      <c r="K1372" s="12">
        <f>IF(OR(ISERROR(VLOOKUP(C1372, Resultados_Reales!$A$4:$I$107, 5, FALSE)), ISERROR(VLOOKUP(C1372, Resultados_Reales!$A$4:$I$107, 6, FALSE)), VLOOKUP(C1372, Resultados_Reales!$A$4:$I$107, 5, FALSE)="", VLOOKUP(C1372, Resultados_Reales!$A$4:$I$107, 6, FALSE)=""), 0, IF(AND(VLOOKUP(C1372, Resultados_Reales!$A$4:$I$107, 5, FALSE)=G1372, VLOOKUP(C1372, Resultados_Reales!$A$4:$I$107, 6, FALSE)=H1372), Configuracion!$B$5, IF(SIGN(VLOOKUP(C1372, Resultados_Reales!$A$4:$I$107, 5, FALSE)-VLOOKUP(C1372, Resultados_Reales!$A$4:$I$107, 6, FALSE)) = SIGN(G1372-H1372), Configuracion!$B$4, 0)))</f>
        <v/>
      </c>
      <c r="L1372" s="11" t="n"/>
      <c r="M1372" s="11" t="n"/>
      <c r="N1372" s="11" t="n"/>
      <c r="O1372" s="11" t="n"/>
      <c r="P1372" s="11" t="n"/>
      <c r="Q1372" s="11" t="n"/>
    </row>
    <row r="1373">
      <c r="A1373" s="8">
        <f>B1373&amp;"_"&amp;C1373</f>
        <v/>
      </c>
      <c r="B1373" s="8" t="n"/>
      <c r="C1373" s="8" t="n"/>
      <c r="D1373" s="8" t="n"/>
      <c r="E1373" s="11" t="n"/>
      <c r="F1373" s="11" t="n"/>
      <c r="G1373" s="8" t="n"/>
      <c r="H1373" s="8" t="n"/>
      <c r="I1373" s="8" t="n"/>
      <c r="J1373" s="8" t="n"/>
      <c r="K1373" s="12">
        <f>IF(OR(ISERROR(VLOOKUP(C1373, Resultados_Reales!$A$4:$I$107, 5, FALSE)), ISERROR(VLOOKUP(C1373, Resultados_Reales!$A$4:$I$107, 6, FALSE)), VLOOKUP(C1373, Resultados_Reales!$A$4:$I$107, 5, FALSE)="", VLOOKUP(C1373, Resultados_Reales!$A$4:$I$107, 6, FALSE)=""), 0, IF(AND(VLOOKUP(C1373, Resultados_Reales!$A$4:$I$107, 5, FALSE)=G1373, VLOOKUP(C1373, Resultados_Reales!$A$4:$I$107, 6, FALSE)=H1373), Configuracion!$B$5, IF(SIGN(VLOOKUP(C1373, Resultados_Reales!$A$4:$I$107, 5, FALSE)-VLOOKUP(C1373, Resultados_Reales!$A$4:$I$107, 6, FALSE)) = SIGN(G1373-H1373), Configuracion!$B$4, 0)))</f>
        <v/>
      </c>
      <c r="L1373" s="11" t="n"/>
      <c r="M1373" s="11" t="n"/>
      <c r="N1373" s="11" t="n"/>
      <c r="O1373" s="11" t="n"/>
      <c r="P1373" s="11" t="n"/>
      <c r="Q1373" s="11" t="n"/>
    </row>
    <row r="1374">
      <c r="A1374" s="8">
        <f>B1374&amp;"_"&amp;C1374</f>
        <v/>
      </c>
      <c r="B1374" s="8" t="n"/>
      <c r="C1374" s="8" t="n"/>
      <c r="D1374" s="8" t="n"/>
      <c r="E1374" s="11" t="n"/>
      <c r="F1374" s="11" t="n"/>
      <c r="G1374" s="8" t="n"/>
      <c r="H1374" s="8" t="n"/>
      <c r="I1374" s="8" t="n"/>
      <c r="J1374" s="8" t="n"/>
      <c r="K1374" s="12">
        <f>IF(OR(ISERROR(VLOOKUP(C1374, Resultados_Reales!$A$4:$I$107, 5, FALSE)), ISERROR(VLOOKUP(C1374, Resultados_Reales!$A$4:$I$107, 6, FALSE)), VLOOKUP(C1374, Resultados_Reales!$A$4:$I$107, 5, FALSE)="", VLOOKUP(C1374, Resultados_Reales!$A$4:$I$107, 6, FALSE)=""), 0, IF(AND(VLOOKUP(C1374, Resultados_Reales!$A$4:$I$107, 5, FALSE)=G1374, VLOOKUP(C1374, Resultados_Reales!$A$4:$I$107, 6, FALSE)=H1374), Configuracion!$B$5, IF(SIGN(VLOOKUP(C1374, Resultados_Reales!$A$4:$I$107, 5, FALSE)-VLOOKUP(C1374, Resultados_Reales!$A$4:$I$107, 6, FALSE)) = SIGN(G1374-H1374), Configuracion!$B$4, 0)))</f>
        <v/>
      </c>
      <c r="L1374" s="11" t="n"/>
      <c r="M1374" s="11" t="n"/>
      <c r="N1374" s="11" t="n"/>
      <c r="O1374" s="11" t="n"/>
      <c r="P1374" s="11" t="n"/>
      <c r="Q1374" s="11" t="n"/>
    </row>
    <row r="1375">
      <c r="A1375" s="8">
        <f>B1375&amp;"_"&amp;C1375</f>
        <v/>
      </c>
      <c r="B1375" s="8" t="n"/>
      <c r="C1375" s="8" t="n"/>
      <c r="D1375" s="8" t="n"/>
      <c r="E1375" s="11" t="n"/>
      <c r="F1375" s="11" t="n"/>
      <c r="G1375" s="8" t="n"/>
      <c r="H1375" s="8" t="n"/>
      <c r="I1375" s="8" t="n"/>
      <c r="J1375" s="8" t="n"/>
      <c r="K1375" s="12">
        <f>IF(OR(ISERROR(VLOOKUP(C1375, Resultados_Reales!$A$4:$I$107, 5, FALSE)), ISERROR(VLOOKUP(C1375, Resultados_Reales!$A$4:$I$107, 6, FALSE)), VLOOKUP(C1375, Resultados_Reales!$A$4:$I$107, 5, FALSE)="", VLOOKUP(C1375, Resultados_Reales!$A$4:$I$107, 6, FALSE)=""), 0, IF(AND(VLOOKUP(C1375, Resultados_Reales!$A$4:$I$107, 5, FALSE)=G1375, VLOOKUP(C1375, Resultados_Reales!$A$4:$I$107, 6, FALSE)=H1375), Configuracion!$B$5, IF(SIGN(VLOOKUP(C1375, Resultados_Reales!$A$4:$I$107, 5, FALSE)-VLOOKUP(C1375, Resultados_Reales!$A$4:$I$107, 6, FALSE)) = SIGN(G1375-H1375), Configuracion!$B$4, 0)))</f>
        <v/>
      </c>
      <c r="L1375" s="11" t="n"/>
      <c r="M1375" s="11" t="n"/>
      <c r="N1375" s="11" t="n"/>
      <c r="O1375" s="11" t="n"/>
      <c r="P1375" s="11" t="n"/>
      <c r="Q1375" s="11" t="n"/>
    </row>
    <row r="1376">
      <c r="A1376" s="8">
        <f>B1376&amp;"_"&amp;C1376</f>
        <v/>
      </c>
      <c r="B1376" s="8" t="n"/>
      <c r="C1376" s="8" t="n"/>
      <c r="D1376" s="8" t="n"/>
      <c r="E1376" s="11" t="n"/>
      <c r="F1376" s="11" t="n"/>
      <c r="G1376" s="8" t="n"/>
      <c r="H1376" s="8" t="n"/>
      <c r="I1376" s="8" t="n"/>
      <c r="J1376" s="8" t="n"/>
      <c r="K1376" s="12">
        <f>IF(OR(ISERROR(VLOOKUP(C1376, Resultados_Reales!$A$4:$I$107, 5, FALSE)), ISERROR(VLOOKUP(C1376, Resultados_Reales!$A$4:$I$107, 6, FALSE)), VLOOKUP(C1376, Resultados_Reales!$A$4:$I$107, 5, FALSE)="", VLOOKUP(C1376, Resultados_Reales!$A$4:$I$107, 6, FALSE)=""), 0, IF(AND(VLOOKUP(C1376, Resultados_Reales!$A$4:$I$107, 5, FALSE)=G1376, VLOOKUP(C1376, Resultados_Reales!$A$4:$I$107, 6, FALSE)=H1376), Configuracion!$B$5, IF(SIGN(VLOOKUP(C1376, Resultados_Reales!$A$4:$I$107, 5, FALSE)-VLOOKUP(C1376, Resultados_Reales!$A$4:$I$107, 6, FALSE)) = SIGN(G1376-H1376), Configuracion!$B$4, 0)))</f>
        <v/>
      </c>
      <c r="L1376" s="11" t="n"/>
      <c r="M1376" s="11" t="n"/>
      <c r="N1376" s="11" t="n"/>
      <c r="O1376" s="11" t="n"/>
      <c r="P1376" s="11" t="n"/>
      <c r="Q1376" s="11" t="n"/>
    </row>
    <row r="1377">
      <c r="A1377" s="8">
        <f>B1377&amp;"_"&amp;C1377</f>
        <v/>
      </c>
      <c r="B1377" s="8" t="n"/>
      <c r="C1377" s="8" t="n"/>
      <c r="D1377" s="8" t="n"/>
      <c r="E1377" s="11" t="n"/>
      <c r="F1377" s="11" t="n"/>
      <c r="G1377" s="8" t="n"/>
      <c r="H1377" s="8" t="n"/>
      <c r="I1377" s="8" t="n"/>
      <c r="J1377" s="8" t="n"/>
      <c r="K1377" s="12">
        <f>IF(OR(ISERROR(VLOOKUP(C1377, Resultados_Reales!$A$4:$I$107, 5, FALSE)), ISERROR(VLOOKUP(C1377, Resultados_Reales!$A$4:$I$107, 6, FALSE)), VLOOKUP(C1377, Resultados_Reales!$A$4:$I$107, 5, FALSE)="", VLOOKUP(C1377, Resultados_Reales!$A$4:$I$107, 6, FALSE)=""), 0, IF(AND(VLOOKUP(C1377, Resultados_Reales!$A$4:$I$107, 5, FALSE)=G1377, VLOOKUP(C1377, Resultados_Reales!$A$4:$I$107, 6, FALSE)=H1377), Configuracion!$B$5, IF(SIGN(VLOOKUP(C1377, Resultados_Reales!$A$4:$I$107, 5, FALSE)-VLOOKUP(C1377, Resultados_Reales!$A$4:$I$107, 6, FALSE)) = SIGN(G1377-H1377), Configuracion!$B$4, 0)))</f>
        <v/>
      </c>
      <c r="L1377" s="11" t="n"/>
      <c r="M1377" s="11" t="n"/>
      <c r="N1377" s="11" t="n"/>
      <c r="O1377" s="11" t="n"/>
      <c r="P1377" s="11" t="n"/>
      <c r="Q1377" s="11" t="n"/>
    </row>
    <row r="1378">
      <c r="A1378" s="8">
        <f>B1378&amp;"_"&amp;C1378</f>
        <v/>
      </c>
      <c r="B1378" s="8" t="n"/>
      <c r="C1378" s="8" t="n"/>
      <c r="D1378" s="8" t="n"/>
      <c r="E1378" s="11" t="n"/>
      <c r="F1378" s="11" t="n"/>
      <c r="G1378" s="8" t="n"/>
      <c r="H1378" s="8" t="n"/>
      <c r="I1378" s="8" t="n"/>
      <c r="J1378" s="8" t="n"/>
      <c r="K1378" s="12">
        <f>IF(OR(ISERROR(VLOOKUP(C1378, Resultados_Reales!$A$4:$I$107, 5, FALSE)), ISERROR(VLOOKUP(C1378, Resultados_Reales!$A$4:$I$107, 6, FALSE)), VLOOKUP(C1378, Resultados_Reales!$A$4:$I$107, 5, FALSE)="", VLOOKUP(C1378, Resultados_Reales!$A$4:$I$107, 6, FALSE)=""), 0, IF(AND(VLOOKUP(C1378, Resultados_Reales!$A$4:$I$107, 5, FALSE)=G1378, VLOOKUP(C1378, Resultados_Reales!$A$4:$I$107, 6, FALSE)=H1378), Configuracion!$B$5, IF(SIGN(VLOOKUP(C1378, Resultados_Reales!$A$4:$I$107, 5, FALSE)-VLOOKUP(C1378, Resultados_Reales!$A$4:$I$107, 6, FALSE)) = SIGN(G1378-H1378), Configuracion!$B$4, 0)))</f>
        <v/>
      </c>
      <c r="L1378" s="11" t="n"/>
      <c r="M1378" s="11" t="n"/>
      <c r="N1378" s="11" t="n"/>
      <c r="O1378" s="11" t="n"/>
      <c r="P1378" s="11" t="n"/>
      <c r="Q1378" s="11" t="n"/>
    </row>
    <row r="1379">
      <c r="A1379" s="8">
        <f>B1379&amp;"_"&amp;C1379</f>
        <v/>
      </c>
      <c r="B1379" s="8" t="n"/>
      <c r="C1379" s="8" t="n"/>
      <c r="D1379" s="8" t="n"/>
      <c r="E1379" s="11" t="n"/>
      <c r="F1379" s="11" t="n"/>
      <c r="G1379" s="8" t="n"/>
      <c r="H1379" s="8" t="n"/>
      <c r="I1379" s="8" t="n"/>
      <c r="J1379" s="8" t="n"/>
      <c r="K1379" s="12">
        <f>IF(OR(ISERROR(VLOOKUP(C1379, Resultados_Reales!$A$4:$I$107, 5, FALSE)), ISERROR(VLOOKUP(C1379, Resultados_Reales!$A$4:$I$107, 6, FALSE)), VLOOKUP(C1379, Resultados_Reales!$A$4:$I$107, 5, FALSE)="", VLOOKUP(C1379, Resultados_Reales!$A$4:$I$107, 6, FALSE)=""), 0, IF(AND(VLOOKUP(C1379, Resultados_Reales!$A$4:$I$107, 5, FALSE)=G1379, VLOOKUP(C1379, Resultados_Reales!$A$4:$I$107, 6, FALSE)=H1379), Configuracion!$B$5, IF(SIGN(VLOOKUP(C1379, Resultados_Reales!$A$4:$I$107, 5, FALSE)-VLOOKUP(C1379, Resultados_Reales!$A$4:$I$107, 6, FALSE)) = SIGN(G1379-H1379), Configuracion!$B$4, 0)))</f>
        <v/>
      </c>
      <c r="L1379" s="11" t="n"/>
      <c r="M1379" s="11" t="n"/>
      <c r="N1379" s="11" t="n"/>
      <c r="O1379" s="11" t="n"/>
      <c r="P1379" s="11" t="n"/>
      <c r="Q1379" s="11" t="n"/>
    </row>
    <row r="1380">
      <c r="A1380" s="8">
        <f>B1380&amp;"_"&amp;C1380</f>
        <v/>
      </c>
      <c r="B1380" s="8" t="n"/>
      <c r="C1380" s="8" t="n"/>
      <c r="D1380" s="8" t="n"/>
      <c r="E1380" s="11" t="n"/>
      <c r="F1380" s="11" t="n"/>
      <c r="G1380" s="8" t="n"/>
      <c r="H1380" s="8" t="n"/>
      <c r="I1380" s="8" t="n"/>
      <c r="J1380" s="8" t="n"/>
      <c r="K1380" s="12">
        <f>IF(OR(ISERROR(VLOOKUP(C1380, Resultados_Reales!$A$4:$I$107, 5, FALSE)), ISERROR(VLOOKUP(C1380, Resultados_Reales!$A$4:$I$107, 6, FALSE)), VLOOKUP(C1380, Resultados_Reales!$A$4:$I$107, 5, FALSE)="", VLOOKUP(C1380, Resultados_Reales!$A$4:$I$107, 6, FALSE)=""), 0, IF(AND(VLOOKUP(C1380, Resultados_Reales!$A$4:$I$107, 5, FALSE)=G1380, VLOOKUP(C1380, Resultados_Reales!$A$4:$I$107, 6, FALSE)=H1380), Configuracion!$B$5, IF(SIGN(VLOOKUP(C1380, Resultados_Reales!$A$4:$I$107, 5, FALSE)-VLOOKUP(C1380, Resultados_Reales!$A$4:$I$107, 6, FALSE)) = SIGN(G1380-H1380), Configuracion!$B$4, 0)))</f>
        <v/>
      </c>
      <c r="L1380" s="11" t="n"/>
      <c r="M1380" s="11" t="n"/>
      <c r="N1380" s="11" t="n"/>
      <c r="O1380" s="11" t="n"/>
      <c r="P1380" s="11" t="n"/>
      <c r="Q1380" s="11" t="n"/>
    </row>
    <row r="1381">
      <c r="A1381" s="8">
        <f>B1381&amp;"_"&amp;C1381</f>
        <v/>
      </c>
      <c r="B1381" s="8" t="n"/>
      <c r="C1381" s="8" t="n"/>
      <c r="D1381" s="8" t="n"/>
      <c r="E1381" s="11" t="n"/>
      <c r="F1381" s="11" t="n"/>
      <c r="G1381" s="8" t="n"/>
      <c r="H1381" s="8" t="n"/>
      <c r="I1381" s="8" t="n"/>
      <c r="J1381" s="8" t="n"/>
      <c r="K1381" s="12">
        <f>IF(OR(ISERROR(VLOOKUP(C1381, Resultados_Reales!$A$4:$I$107, 5, FALSE)), ISERROR(VLOOKUP(C1381, Resultados_Reales!$A$4:$I$107, 6, FALSE)), VLOOKUP(C1381, Resultados_Reales!$A$4:$I$107, 5, FALSE)="", VLOOKUP(C1381, Resultados_Reales!$A$4:$I$107, 6, FALSE)=""), 0, IF(AND(VLOOKUP(C1381, Resultados_Reales!$A$4:$I$107, 5, FALSE)=G1381, VLOOKUP(C1381, Resultados_Reales!$A$4:$I$107, 6, FALSE)=H1381), Configuracion!$B$5, IF(SIGN(VLOOKUP(C1381, Resultados_Reales!$A$4:$I$107, 5, FALSE)-VLOOKUP(C1381, Resultados_Reales!$A$4:$I$107, 6, FALSE)) = SIGN(G1381-H1381), Configuracion!$B$4, 0)))</f>
        <v/>
      </c>
      <c r="L1381" s="11" t="n"/>
      <c r="M1381" s="11" t="n"/>
      <c r="N1381" s="11" t="n"/>
      <c r="O1381" s="11" t="n"/>
      <c r="P1381" s="11" t="n"/>
      <c r="Q1381" s="11" t="n"/>
    </row>
    <row r="1382">
      <c r="A1382" s="8">
        <f>B1382&amp;"_"&amp;C1382</f>
        <v/>
      </c>
      <c r="B1382" s="8" t="n"/>
      <c r="C1382" s="8" t="n"/>
      <c r="D1382" s="8" t="n"/>
      <c r="E1382" s="11" t="n"/>
      <c r="F1382" s="11" t="n"/>
      <c r="G1382" s="8" t="n"/>
      <c r="H1382" s="8" t="n"/>
      <c r="I1382" s="8" t="n"/>
      <c r="J1382" s="8" t="n"/>
      <c r="K1382" s="12">
        <f>IF(OR(ISERROR(VLOOKUP(C1382, Resultados_Reales!$A$4:$I$107, 5, FALSE)), ISERROR(VLOOKUP(C1382, Resultados_Reales!$A$4:$I$107, 6, FALSE)), VLOOKUP(C1382, Resultados_Reales!$A$4:$I$107, 5, FALSE)="", VLOOKUP(C1382, Resultados_Reales!$A$4:$I$107, 6, FALSE)=""), 0, IF(AND(VLOOKUP(C1382, Resultados_Reales!$A$4:$I$107, 5, FALSE)=G1382, VLOOKUP(C1382, Resultados_Reales!$A$4:$I$107, 6, FALSE)=H1382), Configuracion!$B$5, IF(SIGN(VLOOKUP(C1382, Resultados_Reales!$A$4:$I$107, 5, FALSE)-VLOOKUP(C1382, Resultados_Reales!$A$4:$I$107, 6, FALSE)) = SIGN(G1382-H1382), Configuracion!$B$4, 0)))</f>
        <v/>
      </c>
      <c r="L1382" s="11" t="n"/>
      <c r="M1382" s="11" t="n"/>
      <c r="N1382" s="11" t="n"/>
      <c r="O1382" s="11" t="n"/>
      <c r="P1382" s="11" t="n"/>
      <c r="Q1382" s="11" t="n"/>
    </row>
    <row r="1383">
      <c r="A1383" s="8">
        <f>B1383&amp;"_"&amp;C1383</f>
        <v/>
      </c>
      <c r="B1383" s="8" t="n"/>
      <c r="C1383" s="8" t="n"/>
      <c r="D1383" s="8" t="n"/>
      <c r="E1383" s="11" t="n"/>
      <c r="F1383" s="11" t="n"/>
      <c r="G1383" s="8" t="n"/>
      <c r="H1383" s="8" t="n"/>
      <c r="I1383" s="8" t="n"/>
      <c r="J1383" s="8" t="n"/>
      <c r="K1383" s="12">
        <f>IF(OR(ISERROR(VLOOKUP(C1383, Resultados_Reales!$A$4:$I$107, 5, FALSE)), ISERROR(VLOOKUP(C1383, Resultados_Reales!$A$4:$I$107, 6, FALSE)), VLOOKUP(C1383, Resultados_Reales!$A$4:$I$107, 5, FALSE)="", VLOOKUP(C1383, Resultados_Reales!$A$4:$I$107, 6, FALSE)=""), 0, IF(AND(VLOOKUP(C1383, Resultados_Reales!$A$4:$I$107, 5, FALSE)=G1383, VLOOKUP(C1383, Resultados_Reales!$A$4:$I$107, 6, FALSE)=H1383), Configuracion!$B$5, IF(SIGN(VLOOKUP(C1383, Resultados_Reales!$A$4:$I$107, 5, FALSE)-VLOOKUP(C1383, Resultados_Reales!$A$4:$I$107, 6, FALSE)) = SIGN(G1383-H1383), Configuracion!$B$4, 0)))</f>
        <v/>
      </c>
      <c r="L1383" s="11" t="n"/>
      <c r="M1383" s="11" t="n"/>
      <c r="N1383" s="11" t="n"/>
      <c r="O1383" s="11" t="n"/>
      <c r="P1383" s="11" t="n"/>
      <c r="Q1383" s="11" t="n"/>
    </row>
    <row r="1384">
      <c r="A1384" s="8">
        <f>B1384&amp;"_"&amp;C1384</f>
        <v/>
      </c>
      <c r="B1384" s="8" t="n"/>
      <c r="C1384" s="8" t="n"/>
      <c r="D1384" s="8" t="n"/>
      <c r="E1384" s="11" t="n"/>
      <c r="F1384" s="11" t="n"/>
      <c r="G1384" s="8" t="n"/>
      <c r="H1384" s="8" t="n"/>
      <c r="I1384" s="8" t="n"/>
      <c r="J1384" s="8" t="n"/>
      <c r="K1384" s="12">
        <f>IF(OR(ISERROR(VLOOKUP(C1384, Resultados_Reales!$A$4:$I$107, 5, FALSE)), ISERROR(VLOOKUP(C1384, Resultados_Reales!$A$4:$I$107, 6, FALSE)), VLOOKUP(C1384, Resultados_Reales!$A$4:$I$107, 5, FALSE)="", VLOOKUP(C1384, Resultados_Reales!$A$4:$I$107, 6, FALSE)=""), 0, IF(AND(VLOOKUP(C1384, Resultados_Reales!$A$4:$I$107, 5, FALSE)=G1384, VLOOKUP(C1384, Resultados_Reales!$A$4:$I$107, 6, FALSE)=H1384), Configuracion!$B$5, IF(SIGN(VLOOKUP(C1384, Resultados_Reales!$A$4:$I$107, 5, FALSE)-VLOOKUP(C1384, Resultados_Reales!$A$4:$I$107, 6, FALSE)) = SIGN(G1384-H1384), Configuracion!$B$4, 0)))</f>
        <v/>
      </c>
      <c r="L1384" s="11" t="n"/>
      <c r="M1384" s="11" t="n"/>
      <c r="N1384" s="11" t="n"/>
      <c r="O1384" s="11" t="n"/>
      <c r="P1384" s="11" t="n"/>
      <c r="Q1384" s="11" t="n"/>
    </row>
    <row r="1385">
      <c r="A1385" s="8">
        <f>B1385&amp;"_"&amp;C1385</f>
        <v/>
      </c>
      <c r="B1385" s="8" t="n"/>
      <c r="C1385" s="8" t="n"/>
      <c r="D1385" s="8" t="n"/>
      <c r="E1385" s="11" t="n"/>
      <c r="F1385" s="11" t="n"/>
      <c r="G1385" s="8" t="n"/>
      <c r="H1385" s="8" t="n"/>
      <c r="I1385" s="8" t="n"/>
      <c r="J1385" s="8" t="n"/>
      <c r="K1385" s="12">
        <f>IF(OR(ISERROR(VLOOKUP(C1385, Resultados_Reales!$A$4:$I$107, 5, FALSE)), ISERROR(VLOOKUP(C1385, Resultados_Reales!$A$4:$I$107, 6, FALSE)), VLOOKUP(C1385, Resultados_Reales!$A$4:$I$107, 5, FALSE)="", VLOOKUP(C1385, Resultados_Reales!$A$4:$I$107, 6, FALSE)=""), 0, IF(AND(VLOOKUP(C1385, Resultados_Reales!$A$4:$I$107, 5, FALSE)=G1385, VLOOKUP(C1385, Resultados_Reales!$A$4:$I$107, 6, FALSE)=H1385), Configuracion!$B$5, IF(SIGN(VLOOKUP(C1385, Resultados_Reales!$A$4:$I$107, 5, FALSE)-VLOOKUP(C1385, Resultados_Reales!$A$4:$I$107, 6, FALSE)) = SIGN(G1385-H1385), Configuracion!$B$4, 0)))</f>
        <v/>
      </c>
      <c r="L1385" s="11" t="n"/>
      <c r="M1385" s="11" t="n"/>
      <c r="N1385" s="11" t="n"/>
      <c r="O1385" s="11" t="n"/>
      <c r="P1385" s="11" t="n"/>
      <c r="Q1385" s="11" t="n"/>
    </row>
    <row r="1386">
      <c r="A1386" s="8">
        <f>B1386&amp;"_"&amp;C1386</f>
        <v/>
      </c>
      <c r="B1386" s="8" t="n"/>
      <c r="C1386" s="8" t="n"/>
      <c r="D1386" s="8" t="n"/>
      <c r="E1386" s="11" t="n"/>
      <c r="F1386" s="11" t="n"/>
      <c r="G1386" s="8" t="n"/>
      <c r="H1386" s="8" t="n"/>
      <c r="I1386" s="8" t="n"/>
      <c r="J1386" s="8" t="n"/>
      <c r="K1386" s="12">
        <f>IF(OR(ISERROR(VLOOKUP(C1386, Resultados_Reales!$A$4:$I$107, 5, FALSE)), ISERROR(VLOOKUP(C1386, Resultados_Reales!$A$4:$I$107, 6, FALSE)), VLOOKUP(C1386, Resultados_Reales!$A$4:$I$107, 5, FALSE)="", VLOOKUP(C1386, Resultados_Reales!$A$4:$I$107, 6, FALSE)=""), 0, IF(AND(VLOOKUP(C1386, Resultados_Reales!$A$4:$I$107, 5, FALSE)=G1386, VLOOKUP(C1386, Resultados_Reales!$A$4:$I$107, 6, FALSE)=H1386), Configuracion!$B$5, IF(SIGN(VLOOKUP(C1386, Resultados_Reales!$A$4:$I$107, 5, FALSE)-VLOOKUP(C1386, Resultados_Reales!$A$4:$I$107, 6, FALSE)) = SIGN(G1386-H1386), Configuracion!$B$4, 0)))</f>
        <v/>
      </c>
      <c r="L1386" s="11" t="n"/>
      <c r="M1386" s="11" t="n"/>
      <c r="N1386" s="11" t="n"/>
      <c r="O1386" s="11" t="n"/>
      <c r="P1386" s="11" t="n"/>
      <c r="Q1386" s="11" t="n"/>
    </row>
    <row r="1387">
      <c r="A1387" s="8">
        <f>B1387&amp;"_"&amp;C1387</f>
        <v/>
      </c>
      <c r="B1387" s="8" t="n"/>
      <c r="C1387" s="8" t="n"/>
      <c r="D1387" s="8" t="n"/>
      <c r="E1387" s="11" t="n"/>
      <c r="F1387" s="11" t="n"/>
      <c r="G1387" s="8" t="n"/>
      <c r="H1387" s="8" t="n"/>
      <c r="I1387" s="8" t="n"/>
      <c r="J1387" s="8" t="n"/>
      <c r="K1387" s="12">
        <f>IF(OR(ISERROR(VLOOKUP(C1387, Resultados_Reales!$A$4:$I$107, 5, FALSE)), ISERROR(VLOOKUP(C1387, Resultados_Reales!$A$4:$I$107, 6, FALSE)), VLOOKUP(C1387, Resultados_Reales!$A$4:$I$107, 5, FALSE)="", VLOOKUP(C1387, Resultados_Reales!$A$4:$I$107, 6, FALSE)=""), 0, IF(AND(VLOOKUP(C1387, Resultados_Reales!$A$4:$I$107, 5, FALSE)=G1387, VLOOKUP(C1387, Resultados_Reales!$A$4:$I$107, 6, FALSE)=H1387), Configuracion!$B$5, IF(SIGN(VLOOKUP(C1387, Resultados_Reales!$A$4:$I$107, 5, FALSE)-VLOOKUP(C1387, Resultados_Reales!$A$4:$I$107, 6, FALSE)) = SIGN(G1387-H1387), Configuracion!$B$4, 0)))</f>
        <v/>
      </c>
      <c r="L1387" s="11" t="n"/>
      <c r="M1387" s="11" t="n"/>
      <c r="N1387" s="11" t="n"/>
      <c r="O1387" s="11" t="n"/>
      <c r="P1387" s="11" t="n"/>
      <c r="Q1387" s="11" t="n"/>
    </row>
    <row r="1388">
      <c r="A1388" s="8">
        <f>B1388&amp;"_"&amp;C1388</f>
        <v/>
      </c>
      <c r="B1388" s="8" t="n"/>
      <c r="C1388" s="8" t="n"/>
      <c r="D1388" s="8" t="n"/>
      <c r="E1388" s="11" t="n"/>
      <c r="F1388" s="11" t="n"/>
      <c r="G1388" s="8" t="n"/>
      <c r="H1388" s="8" t="n"/>
      <c r="I1388" s="8" t="n"/>
      <c r="J1388" s="8" t="n"/>
      <c r="K1388" s="12">
        <f>IF(OR(ISERROR(VLOOKUP(C1388, Resultados_Reales!$A$4:$I$107, 5, FALSE)), ISERROR(VLOOKUP(C1388, Resultados_Reales!$A$4:$I$107, 6, FALSE)), VLOOKUP(C1388, Resultados_Reales!$A$4:$I$107, 5, FALSE)="", VLOOKUP(C1388, Resultados_Reales!$A$4:$I$107, 6, FALSE)=""), 0, IF(AND(VLOOKUP(C1388, Resultados_Reales!$A$4:$I$107, 5, FALSE)=G1388, VLOOKUP(C1388, Resultados_Reales!$A$4:$I$107, 6, FALSE)=H1388), Configuracion!$B$5, IF(SIGN(VLOOKUP(C1388, Resultados_Reales!$A$4:$I$107, 5, FALSE)-VLOOKUP(C1388, Resultados_Reales!$A$4:$I$107, 6, FALSE)) = SIGN(G1388-H1388), Configuracion!$B$4, 0)))</f>
        <v/>
      </c>
      <c r="L1388" s="11" t="n"/>
      <c r="M1388" s="11" t="n"/>
      <c r="N1388" s="11" t="n"/>
      <c r="O1388" s="11" t="n"/>
      <c r="P1388" s="11" t="n"/>
      <c r="Q1388" s="11" t="n"/>
    </row>
    <row r="1389">
      <c r="A1389" s="8">
        <f>B1389&amp;"_"&amp;C1389</f>
        <v/>
      </c>
      <c r="B1389" s="8" t="n"/>
      <c r="C1389" s="8" t="n"/>
      <c r="D1389" s="8" t="n"/>
      <c r="E1389" s="11" t="n"/>
      <c r="F1389" s="11" t="n"/>
      <c r="G1389" s="8" t="n"/>
      <c r="H1389" s="8" t="n"/>
      <c r="I1389" s="8" t="n"/>
      <c r="J1389" s="8" t="n"/>
      <c r="K1389" s="12">
        <f>IF(OR(ISERROR(VLOOKUP(C1389, Resultados_Reales!$A$4:$I$107, 5, FALSE)), ISERROR(VLOOKUP(C1389, Resultados_Reales!$A$4:$I$107, 6, FALSE)), VLOOKUP(C1389, Resultados_Reales!$A$4:$I$107, 5, FALSE)="", VLOOKUP(C1389, Resultados_Reales!$A$4:$I$107, 6, FALSE)=""), 0, IF(AND(VLOOKUP(C1389, Resultados_Reales!$A$4:$I$107, 5, FALSE)=G1389, VLOOKUP(C1389, Resultados_Reales!$A$4:$I$107, 6, FALSE)=H1389), Configuracion!$B$5, IF(SIGN(VLOOKUP(C1389, Resultados_Reales!$A$4:$I$107, 5, FALSE)-VLOOKUP(C1389, Resultados_Reales!$A$4:$I$107, 6, FALSE)) = SIGN(G1389-H1389), Configuracion!$B$4, 0)))</f>
        <v/>
      </c>
      <c r="L1389" s="11" t="n"/>
      <c r="M1389" s="11" t="n"/>
      <c r="N1389" s="11" t="n"/>
      <c r="O1389" s="11" t="n"/>
      <c r="P1389" s="11" t="n"/>
      <c r="Q1389" s="11" t="n"/>
    </row>
    <row r="1390">
      <c r="A1390" s="8">
        <f>B1390&amp;"_"&amp;C1390</f>
        <v/>
      </c>
      <c r="B1390" s="8" t="n"/>
      <c r="C1390" s="8" t="n"/>
      <c r="D1390" s="8" t="n"/>
      <c r="E1390" s="11" t="n"/>
      <c r="F1390" s="11" t="n"/>
      <c r="G1390" s="8" t="n"/>
      <c r="H1390" s="8" t="n"/>
      <c r="I1390" s="8" t="n"/>
      <c r="J1390" s="8" t="n"/>
      <c r="K1390" s="12">
        <f>IF(OR(ISERROR(VLOOKUP(C1390, Resultados_Reales!$A$4:$I$107, 5, FALSE)), ISERROR(VLOOKUP(C1390, Resultados_Reales!$A$4:$I$107, 6, FALSE)), VLOOKUP(C1390, Resultados_Reales!$A$4:$I$107, 5, FALSE)="", VLOOKUP(C1390, Resultados_Reales!$A$4:$I$107, 6, FALSE)=""), 0, IF(AND(VLOOKUP(C1390, Resultados_Reales!$A$4:$I$107, 5, FALSE)=G1390, VLOOKUP(C1390, Resultados_Reales!$A$4:$I$107, 6, FALSE)=H1390), Configuracion!$B$5, IF(SIGN(VLOOKUP(C1390, Resultados_Reales!$A$4:$I$107, 5, FALSE)-VLOOKUP(C1390, Resultados_Reales!$A$4:$I$107, 6, FALSE)) = SIGN(G1390-H1390), Configuracion!$B$4, 0)))</f>
        <v/>
      </c>
      <c r="L1390" s="11" t="n"/>
      <c r="M1390" s="11" t="n"/>
      <c r="N1390" s="11" t="n"/>
      <c r="O1390" s="11" t="n"/>
      <c r="P1390" s="11" t="n"/>
      <c r="Q1390" s="11" t="n"/>
    </row>
    <row r="1391">
      <c r="A1391" s="8">
        <f>B1391&amp;"_"&amp;C1391</f>
        <v/>
      </c>
      <c r="B1391" s="8" t="n"/>
      <c r="C1391" s="8" t="n"/>
      <c r="D1391" s="8" t="n"/>
      <c r="E1391" s="11" t="n"/>
      <c r="F1391" s="11" t="n"/>
      <c r="G1391" s="8" t="n"/>
      <c r="H1391" s="8" t="n"/>
      <c r="I1391" s="8" t="n"/>
      <c r="J1391" s="8" t="n"/>
      <c r="K1391" s="12">
        <f>IF(OR(ISERROR(VLOOKUP(C1391, Resultados_Reales!$A$4:$I$107, 5, FALSE)), ISERROR(VLOOKUP(C1391, Resultados_Reales!$A$4:$I$107, 6, FALSE)), VLOOKUP(C1391, Resultados_Reales!$A$4:$I$107, 5, FALSE)="", VLOOKUP(C1391, Resultados_Reales!$A$4:$I$107, 6, FALSE)=""), 0, IF(AND(VLOOKUP(C1391, Resultados_Reales!$A$4:$I$107, 5, FALSE)=G1391, VLOOKUP(C1391, Resultados_Reales!$A$4:$I$107, 6, FALSE)=H1391), Configuracion!$B$5, IF(SIGN(VLOOKUP(C1391, Resultados_Reales!$A$4:$I$107, 5, FALSE)-VLOOKUP(C1391, Resultados_Reales!$A$4:$I$107, 6, FALSE)) = SIGN(G1391-H1391), Configuracion!$B$4, 0)))</f>
        <v/>
      </c>
      <c r="L1391" s="11" t="n"/>
      <c r="M1391" s="11" t="n"/>
      <c r="N1391" s="11" t="n"/>
      <c r="O1391" s="11" t="n"/>
      <c r="P1391" s="11" t="n"/>
      <c r="Q1391" s="11" t="n"/>
    </row>
    <row r="1392">
      <c r="A1392" s="8">
        <f>B1392&amp;"_"&amp;C1392</f>
        <v/>
      </c>
      <c r="B1392" s="8" t="n"/>
      <c r="C1392" s="8" t="n"/>
      <c r="D1392" s="8" t="n"/>
      <c r="E1392" s="11" t="n"/>
      <c r="F1392" s="11" t="n"/>
      <c r="G1392" s="8" t="n"/>
      <c r="H1392" s="8" t="n"/>
      <c r="I1392" s="8" t="n"/>
      <c r="J1392" s="8" t="n"/>
      <c r="K1392" s="12">
        <f>IF(OR(ISERROR(VLOOKUP(C1392, Resultados_Reales!$A$4:$I$107, 5, FALSE)), ISERROR(VLOOKUP(C1392, Resultados_Reales!$A$4:$I$107, 6, FALSE)), VLOOKUP(C1392, Resultados_Reales!$A$4:$I$107, 5, FALSE)="", VLOOKUP(C1392, Resultados_Reales!$A$4:$I$107, 6, FALSE)=""), 0, IF(AND(VLOOKUP(C1392, Resultados_Reales!$A$4:$I$107, 5, FALSE)=G1392, VLOOKUP(C1392, Resultados_Reales!$A$4:$I$107, 6, FALSE)=H1392), Configuracion!$B$5, IF(SIGN(VLOOKUP(C1392, Resultados_Reales!$A$4:$I$107, 5, FALSE)-VLOOKUP(C1392, Resultados_Reales!$A$4:$I$107, 6, FALSE)) = SIGN(G1392-H1392), Configuracion!$B$4, 0)))</f>
        <v/>
      </c>
      <c r="L1392" s="11" t="n"/>
      <c r="M1392" s="11" t="n"/>
      <c r="N1392" s="11" t="n"/>
      <c r="O1392" s="11" t="n"/>
      <c r="P1392" s="11" t="n"/>
      <c r="Q1392" s="11" t="n"/>
    </row>
    <row r="1393">
      <c r="A1393" s="8">
        <f>B1393&amp;"_"&amp;C1393</f>
        <v/>
      </c>
      <c r="B1393" s="8" t="n"/>
      <c r="C1393" s="8" t="n"/>
      <c r="D1393" s="8" t="n"/>
      <c r="E1393" s="11" t="n"/>
      <c r="F1393" s="11" t="n"/>
      <c r="G1393" s="8" t="n"/>
      <c r="H1393" s="8" t="n"/>
      <c r="I1393" s="8" t="n"/>
      <c r="J1393" s="8" t="n"/>
      <c r="K1393" s="12">
        <f>IF(OR(ISERROR(VLOOKUP(C1393, Resultados_Reales!$A$4:$I$107, 5, FALSE)), ISERROR(VLOOKUP(C1393, Resultados_Reales!$A$4:$I$107, 6, FALSE)), VLOOKUP(C1393, Resultados_Reales!$A$4:$I$107, 5, FALSE)="", VLOOKUP(C1393, Resultados_Reales!$A$4:$I$107, 6, FALSE)=""), 0, IF(AND(VLOOKUP(C1393, Resultados_Reales!$A$4:$I$107, 5, FALSE)=G1393, VLOOKUP(C1393, Resultados_Reales!$A$4:$I$107, 6, FALSE)=H1393), Configuracion!$B$5, IF(SIGN(VLOOKUP(C1393, Resultados_Reales!$A$4:$I$107, 5, FALSE)-VLOOKUP(C1393, Resultados_Reales!$A$4:$I$107, 6, FALSE)) = SIGN(G1393-H1393), Configuracion!$B$4, 0)))</f>
        <v/>
      </c>
      <c r="L1393" s="11" t="n"/>
      <c r="M1393" s="11" t="n"/>
      <c r="N1393" s="11" t="n"/>
      <c r="O1393" s="11" t="n"/>
      <c r="P1393" s="11" t="n"/>
      <c r="Q1393" s="11" t="n"/>
    </row>
    <row r="1394">
      <c r="A1394" s="8">
        <f>B1394&amp;"_"&amp;C1394</f>
        <v/>
      </c>
      <c r="B1394" s="8" t="n"/>
      <c r="C1394" s="8" t="n"/>
      <c r="D1394" s="8" t="n"/>
      <c r="E1394" s="11" t="n"/>
      <c r="F1394" s="11" t="n"/>
      <c r="G1394" s="8" t="n"/>
      <c r="H1394" s="8" t="n"/>
      <c r="I1394" s="8" t="n"/>
      <c r="J1394" s="8" t="n"/>
      <c r="K1394" s="12">
        <f>IF(OR(ISERROR(VLOOKUP(C1394, Resultados_Reales!$A$4:$I$107, 5, FALSE)), ISERROR(VLOOKUP(C1394, Resultados_Reales!$A$4:$I$107, 6, FALSE)), VLOOKUP(C1394, Resultados_Reales!$A$4:$I$107, 5, FALSE)="", VLOOKUP(C1394, Resultados_Reales!$A$4:$I$107, 6, FALSE)=""), 0, IF(AND(VLOOKUP(C1394, Resultados_Reales!$A$4:$I$107, 5, FALSE)=G1394, VLOOKUP(C1394, Resultados_Reales!$A$4:$I$107, 6, FALSE)=H1394), Configuracion!$B$5, IF(SIGN(VLOOKUP(C1394, Resultados_Reales!$A$4:$I$107, 5, FALSE)-VLOOKUP(C1394, Resultados_Reales!$A$4:$I$107, 6, FALSE)) = SIGN(G1394-H1394), Configuracion!$B$4, 0)))</f>
        <v/>
      </c>
      <c r="L1394" s="11" t="n"/>
      <c r="M1394" s="11" t="n"/>
      <c r="N1394" s="11" t="n"/>
      <c r="O1394" s="11" t="n"/>
      <c r="P1394" s="11" t="n"/>
      <c r="Q1394" s="11" t="n"/>
    </row>
    <row r="1395">
      <c r="A1395" s="8">
        <f>B1395&amp;"_"&amp;C1395</f>
        <v/>
      </c>
      <c r="B1395" s="8" t="n"/>
      <c r="C1395" s="8" t="n"/>
      <c r="D1395" s="8" t="n"/>
      <c r="E1395" s="11" t="n"/>
      <c r="F1395" s="11" t="n"/>
      <c r="G1395" s="8" t="n"/>
      <c r="H1395" s="8" t="n"/>
      <c r="I1395" s="8" t="n"/>
      <c r="J1395" s="8" t="n"/>
      <c r="K1395" s="12">
        <f>IF(OR(ISERROR(VLOOKUP(C1395, Resultados_Reales!$A$4:$I$107, 5, FALSE)), ISERROR(VLOOKUP(C1395, Resultados_Reales!$A$4:$I$107, 6, FALSE)), VLOOKUP(C1395, Resultados_Reales!$A$4:$I$107, 5, FALSE)="", VLOOKUP(C1395, Resultados_Reales!$A$4:$I$107, 6, FALSE)=""), 0, IF(AND(VLOOKUP(C1395, Resultados_Reales!$A$4:$I$107, 5, FALSE)=G1395, VLOOKUP(C1395, Resultados_Reales!$A$4:$I$107, 6, FALSE)=H1395), Configuracion!$B$5, IF(SIGN(VLOOKUP(C1395, Resultados_Reales!$A$4:$I$107, 5, FALSE)-VLOOKUP(C1395, Resultados_Reales!$A$4:$I$107, 6, FALSE)) = SIGN(G1395-H1395), Configuracion!$B$4, 0)))</f>
        <v/>
      </c>
      <c r="L1395" s="11" t="n"/>
      <c r="M1395" s="11" t="n"/>
      <c r="N1395" s="11" t="n"/>
      <c r="O1395" s="11" t="n"/>
      <c r="P1395" s="11" t="n"/>
      <c r="Q1395" s="11" t="n"/>
    </row>
    <row r="1396">
      <c r="A1396" s="8">
        <f>B1396&amp;"_"&amp;C1396</f>
        <v/>
      </c>
      <c r="B1396" s="8" t="n"/>
      <c r="C1396" s="8" t="n"/>
      <c r="D1396" s="8" t="n"/>
      <c r="E1396" s="11" t="n"/>
      <c r="F1396" s="11" t="n"/>
      <c r="G1396" s="8" t="n"/>
      <c r="H1396" s="8" t="n"/>
      <c r="I1396" s="8" t="n"/>
      <c r="J1396" s="8" t="n"/>
      <c r="K1396" s="12">
        <f>IF(OR(ISERROR(VLOOKUP(C1396, Resultados_Reales!$A$4:$I$107, 5, FALSE)), ISERROR(VLOOKUP(C1396, Resultados_Reales!$A$4:$I$107, 6, FALSE)), VLOOKUP(C1396, Resultados_Reales!$A$4:$I$107, 5, FALSE)="", VLOOKUP(C1396, Resultados_Reales!$A$4:$I$107, 6, FALSE)=""), 0, IF(AND(VLOOKUP(C1396, Resultados_Reales!$A$4:$I$107, 5, FALSE)=G1396, VLOOKUP(C1396, Resultados_Reales!$A$4:$I$107, 6, FALSE)=H1396), Configuracion!$B$5, IF(SIGN(VLOOKUP(C1396, Resultados_Reales!$A$4:$I$107, 5, FALSE)-VLOOKUP(C1396, Resultados_Reales!$A$4:$I$107, 6, FALSE)) = SIGN(G1396-H1396), Configuracion!$B$4, 0)))</f>
        <v/>
      </c>
      <c r="L1396" s="11" t="n"/>
      <c r="M1396" s="11" t="n"/>
      <c r="N1396" s="11" t="n"/>
      <c r="O1396" s="11" t="n"/>
      <c r="P1396" s="11" t="n"/>
      <c r="Q1396" s="11" t="n"/>
    </row>
    <row r="1397">
      <c r="A1397" s="8">
        <f>B1397&amp;"_"&amp;C1397</f>
        <v/>
      </c>
      <c r="B1397" s="8" t="n"/>
      <c r="C1397" s="8" t="n"/>
      <c r="D1397" s="8" t="n"/>
      <c r="E1397" s="11" t="n"/>
      <c r="F1397" s="11" t="n"/>
      <c r="G1397" s="8" t="n"/>
      <c r="H1397" s="8" t="n"/>
      <c r="I1397" s="8" t="n"/>
      <c r="J1397" s="8" t="n"/>
      <c r="K1397" s="12">
        <f>IF(OR(ISERROR(VLOOKUP(C1397, Resultados_Reales!$A$4:$I$107, 5, FALSE)), ISERROR(VLOOKUP(C1397, Resultados_Reales!$A$4:$I$107, 6, FALSE)), VLOOKUP(C1397, Resultados_Reales!$A$4:$I$107, 5, FALSE)="", VLOOKUP(C1397, Resultados_Reales!$A$4:$I$107, 6, FALSE)=""), 0, IF(AND(VLOOKUP(C1397, Resultados_Reales!$A$4:$I$107, 5, FALSE)=G1397, VLOOKUP(C1397, Resultados_Reales!$A$4:$I$107, 6, FALSE)=H1397), Configuracion!$B$5, IF(SIGN(VLOOKUP(C1397, Resultados_Reales!$A$4:$I$107, 5, FALSE)-VLOOKUP(C1397, Resultados_Reales!$A$4:$I$107, 6, FALSE)) = SIGN(G1397-H1397), Configuracion!$B$4, 0)))</f>
        <v/>
      </c>
      <c r="L1397" s="11" t="n"/>
      <c r="M1397" s="11" t="n"/>
      <c r="N1397" s="11" t="n"/>
      <c r="O1397" s="11" t="n"/>
      <c r="P1397" s="11" t="n"/>
      <c r="Q1397" s="11" t="n"/>
    </row>
    <row r="1398">
      <c r="A1398" s="8">
        <f>B1398&amp;"_"&amp;C1398</f>
        <v/>
      </c>
      <c r="B1398" s="8" t="n"/>
      <c r="C1398" s="8" t="n"/>
      <c r="D1398" s="8" t="n"/>
      <c r="E1398" s="11" t="n"/>
      <c r="F1398" s="11" t="n"/>
      <c r="G1398" s="8" t="n"/>
      <c r="H1398" s="8" t="n"/>
      <c r="I1398" s="8" t="n"/>
      <c r="J1398" s="8" t="n"/>
      <c r="K1398" s="12">
        <f>IF(OR(ISERROR(VLOOKUP(C1398, Resultados_Reales!$A$4:$I$107, 5, FALSE)), ISERROR(VLOOKUP(C1398, Resultados_Reales!$A$4:$I$107, 6, FALSE)), VLOOKUP(C1398, Resultados_Reales!$A$4:$I$107, 5, FALSE)="", VLOOKUP(C1398, Resultados_Reales!$A$4:$I$107, 6, FALSE)=""), 0, IF(AND(VLOOKUP(C1398, Resultados_Reales!$A$4:$I$107, 5, FALSE)=G1398, VLOOKUP(C1398, Resultados_Reales!$A$4:$I$107, 6, FALSE)=H1398), Configuracion!$B$5, IF(SIGN(VLOOKUP(C1398, Resultados_Reales!$A$4:$I$107, 5, FALSE)-VLOOKUP(C1398, Resultados_Reales!$A$4:$I$107, 6, FALSE)) = SIGN(G1398-H1398), Configuracion!$B$4, 0)))</f>
        <v/>
      </c>
      <c r="L1398" s="11" t="n"/>
      <c r="M1398" s="11" t="n"/>
      <c r="N1398" s="11" t="n"/>
      <c r="O1398" s="11" t="n"/>
      <c r="P1398" s="11" t="n"/>
      <c r="Q1398" s="11" t="n"/>
    </row>
    <row r="1399">
      <c r="A1399" s="8">
        <f>B1399&amp;"_"&amp;C1399</f>
        <v/>
      </c>
      <c r="B1399" s="8" t="n"/>
      <c r="C1399" s="8" t="n"/>
      <c r="D1399" s="8" t="n"/>
      <c r="E1399" s="11" t="n"/>
      <c r="F1399" s="11" t="n"/>
      <c r="G1399" s="8" t="n"/>
      <c r="H1399" s="8" t="n"/>
      <c r="I1399" s="8" t="n"/>
      <c r="J1399" s="8" t="n"/>
      <c r="K1399" s="12">
        <f>IF(OR(ISERROR(VLOOKUP(C1399, Resultados_Reales!$A$4:$I$107, 5, FALSE)), ISERROR(VLOOKUP(C1399, Resultados_Reales!$A$4:$I$107, 6, FALSE)), VLOOKUP(C1399, Resultados_Reales!$A$4:$I$107, 5, FALSE)="", VLOOKUP(C1399, Resultados_Reales!$A$4:$I$107, 6, FALSE)=""), 0, IF(AND(VLOOKUP(C1399, Resultados_Reales!$A$4:$I$107, 5, FALSE)=G1399, VLOOKUP(C1399, Resultados_Reales!$A$4:$I$107, 6, FALSE)=H1399), Configuracion!$B$5, IF(SIGN(VLOOKUP(C1399, Resultados_Reales!$A$4:$I$107, 5, FALSE)-VLOOKUP(C1399, Resultados_Reales!$A$4:$I$107, 6, FALSE)) = SIGN(G1399-H1399), Configuracion!$B$4, 0)))</f>
        <v/>
      </c>
      <c r="L1399" s="11" t="n"/>
      <c r="M1399" s="11" t="n"/>
      <c r="N1399" s="11" t="n"/>
      <c r="O1399" s="11" t="n"/>
      <c r="P1399" s="11" t="n"/>
      <c r="Q1399" s="11" t="n"/>
    </row>
    <row r="1400">
      <c r="A1400" s="8">
        <f>B1400&amp;"_"&amp;C1400</f>
        <v/>
      </c>
      <c r="B1400" s="8" t="n"/>
      <c r="C1400" s="8" t="n"/>
      <c r="D1400" s="8" t="n"/>
      <c r="E1400" s="11" t="n"/>
      <c r="F1400" s="11" t="n"/>
      <c r="G1400" s="8" t="n"/>
      <c r="H1400" s="8" t="n"/>
      <c r="I1400" s="8" t="n"/>
      <c r="J1400" s="8" t="n"/>
      <c r="K1400" s="12">
        <f>IF(OR(ISERROR(VLOOKUP(C1400, Resultados_Reales!$A$4:$I$107, 5, FALSE)), ISERROR(VLOOKUP(C1400, Resultados_Reales!$A$4:$I$107, 6, FALSE)), VLOOKUP(C1400, Resultados_Reales!$A$4:$I$107, 5, FALSE)="", VLOOKUP(C1400, Resultados_Reales!$A$4:$I$107, 6, FALSE)=""), 0, IF(AND(VLOOKUP(C1400, Resultados_Reales!$A$4:$I$107, 5, FALSE)=G1400, VLOOKUP(C1400, Resultados_Reales!$A$4:$I$107, 6, FALSE)=H1400), Configuracion!$B$5, IF(SIGN(VLOOKUP(C1400, Resultados_Reales!$A$4:$I$107, 5, FALSE)-VLOOKUP(C1400, Resultados_Reales!$A$4:$I$107, 6, FALSE)) = SIGN(G1400-H1400), Configuracion!$B$4, 0)))</f>
        <v/>
      </c>
      <c r="L1400" s="11" t="n"/>
      <c r="M1400" s="11" t="n"/>
      <c r="N1400" s="11" t="n"/>
      <c r="O1400" s="11" t="n"/>
      <c r="P1400" s="11" t="n"/>
      <c r="Q1400" s="11" t="n"/>
    </row>
    <row r="1401">
      <c r="A1401" s="8">
        <f>B1401&amp;"_"&amp;C1401</f>
        <v/>
      </c>
      <c r="B1401" s="8" t="n"/>
      <c r="C1401" s="8" t="n"/>
      <c r="D1401" s="8" t="n"/>
      <c r="E1401" s="11" t="n"/>
      <c r="F1401" s="11" t="n"/>
      <c r="G1401" s="8" t="n"/>
      <c r="H1401" s="8" t="n"/>
      <c r="I1401" s="8" t="n"/>
      <c r="J1401" s="8" t="n"/>
      <c r="K1401" s="12">
        <f>IF(OR(ISERROR(VLOOKUP(C1401, Resultados_Reales!$A$4:$I$107, 5, FALSE)), ISERROR(VLOOKUP(C1401, Resultados_Reales!$A$4:$I$107, 6, FALSE)), VLOOKUP(C1401, Resultados_Reales!$A$4:$I$107, 5, FALSE)="", VLOOKUP(C1401, Resultados_Reales!$A$4:$I$107, 6, FALSE)=""), 0, IF(AND(VLOOKUP(C1401, Resultados_Reales!$A$4:$I$107, 5, FALSE)=G1401, VLOOKUP(C1401, Resultados_Reales!$A$4:$I$107, 6, FALSE)=H1401), Configuracion!$B$5, IF(SIGN(VLOOKUP(C1401, Resultados_Reales!$A$4:$I$107, 5, FALSE)-VLOOKUP(C1401, Resultados_Reales!$A$4:$I$107, 6, FALSE)) = SIGN(G1401-H1401), Configuracion!$B$4, 0)))</f>
        <v/>
      </c>
      <c r="L1401" s="11" t="n"/>
      <c r="M1401" s="11" t="n"/>
      <c r="N1401" s="11" t="n"/>
      <c r="O1401" s="11" t="n"/>
      <c r="P1401" s="11" t="n"/>
      <c r="Q1401" s="11" t="n"/>
    </row>
    <row r="1402">
      <c r="A1402" s="8">
        <f>B1402&amp;"_"&amp;C1402</f>
        <v/>
      </c>
      <c r="B1402" s="8" t="n"/>
      <c r="C1402" s="8" t="n"/>
      <c r="D1402" s="8" t="n"/>
      <c r="E1402" s="11" t="n"/>
      <c r="F1402" s="11" t="n"/>
      <c r="G1402" s="8" t="n"/>
      <c r="H1402" s="8" t="n"/>
      <c r="I1402" s="8" t="n"/>
      <c r="J1402" s="8" t="n"/>
      <c r="K1402" s="12">
        <f>IF(OR(ISERROR(VLOOKUP(C1402, Resultados_Reales!$A$4:$I$107, 5, FALSE)), ISERROR(VLOOKUP(C1402, Resultados_Reales!$A$4:$I$107, 6, FALSE)), VLOOKUP(C1402, Resultados_Reales!$A$4:$I$107, 5, FALSE)="", VLOOKUP(C1402, Resultados_Reales!$A$4:$I$107, 6, FALSE)=""), 0, IF(AND(VLOOKUP(C1402, Resultados_Reales!$A$4:$I$107, 5, FALSE)=G1402, VLOOKUP(C1402, Resultados_Reales!$A$4:$I$107, 6, FALSE)=H1402), Configuracion!$B$5, IF(SIGN(VLOOKUP(C1402, Resultados_Reales!$A$4:$I$107, 5, FALSE)-VLOOKUP(C1402, Resultados_Reales!$A$4:$I$107, 6, FALSE)) = SIGN(G1402-H1402), Configuracion!$B$4, 0)))</f>
        <v/>
      </c>
      <c r="L1402" s="11" t="n"/>
      <c r="M1402" s="11" t="n"/>
      <c r="N1402" s="11" t="n"/>
      <c r="O1402" s="11" t="n"/>
      <c r="P1402" s="11" t="n"/>
      <c r="Q1402" s="11" t="n"/>
    </row>
    <row r="1403">
      <c r="A1403" s="8">
        <f>B1403&amp;"_"&amp;C1403</f>
        <v/>
      </c>
      <c r="B1403" s="8" t="n"/>
      <c r="C1403" s="8" t="n"/>
      <c r="D1403" s="8" t="n"/>
      <c r="E1403" s="11" t="n"/>
      <c r="F1403" s="11" t="n"/>
      <c r="G1403" s="8" t="n"/>
      <c r="H1403" s="8" t="n"/>
      <c r="I1403" s="8" t="n"/>
      <c r="J1403" s="8" t="n"/>
      <c r="K1403" s="12">
        <f>IF(OR(ISERROR(VLOOKUP(C1403, Resultados_Reales!$A$4:$I$107, 5, FALSE)), ISERROR(VLOOKUP(C1403, Resultados_Reales!$A$4:$I$107, 6, FALSE)), VLOOKUP(C1403, Resultados_Reales!$A$4:$I$107, 5, FALSE)="", VLOOKUP(C1403, Resultados_Reales!$A$4:$I$107, 6, FALSE)=""), 0, IF(AND(VLOOKUP(C1403, Resultados_Reales!$A$4:$I$107, 5, FALSE)=G1403, VLOOKUP(C1403, Resultados_Reales!$A$4:$I$107, 6, FALSE)=H1403), Configuracion!$B$5, IF(SIGN(VLOOKUP(C1403, Resultados_Reales!$A$4:$I$107, 5, FALSE)-VLOOKUP(C1403, Resultados_Reales!$A$4:$I$107, 6, FALSE)) = SIGN(G1403-H1403), Configuracion!$B$4, 0)))</f>
        <v/>
      </c>
      <c r="L1403" s="11" t="n"/>
      <c r="M1403" s="11" t="n"/>
      <c r="N1403" s="11" t="n"/>
      <c r="O1403" s="11" t="n"/>
      <c r="P1403" s="11" t="n"/>
      <c r="Q1403" s="11" t="n"/>
    </row>
    <row r="1404">
      <c r="A1404" s="8">
        <f>B1404&amp;"_"&amp;C1404</f>
        <v/>
      </c>
      <c r="B1404" s="8" t="n"/>
      <c r="C1404" s="8" t="n"/>
      <c r="D1404" s="8" t="n"/>
      <c r="E1404" s="11" t="n"/>
      <c r="F1404" s="11" t="n"/>
      <c r="G1404" s="8" t="n"/>
      <c r="H1404" s="8" t="n"/>
      <c r="I1404" s="8" t="n"/>
      <c r="J1404" s="8" t="n"/>
      <c r="K1404" s="12">
        <f>IF(OR(ISERROR(VLOOKUP(C1404, Resultados_Reales!$A$4:$I$107, 5, FALSE)), ISERROR(VLOOKUP(C1404, Resultados_Reales!$A$4:$I$107, 6, FALSE)), VLOOKUP(C1404, Resultados_Reales!$A$4:$I$107, 5, FALSE)="", VLOOKUP(C1404, Resultados_Reales!$A$4:$I$107, 6, FALSE)=""), 0, IF(AND(VLOOKUP(C1404, Resultados_Reales!$A$4:$I$107, 5, FALSE)=G1404, VLOOKUP(C1404, Resultados_Reales!$A$4:$I$107, 6, FALSE)=H1404), Configuracion!$B$5, IF(SIGN(VLOOKUP(C1404, Resultados_Reales!$A$4:$I$107, 5, FALSE)-VLOOKUP(C1404, Resultados_Reales!$A$4:$I$107, 6, FALSE)) = SIGN(G1404-H1404), Configuracion!$B$4, 0)))</f>
        <v/>
      </c>
      <c r="L1404" s="11" t="n"/>
      <c r="M1404" s="11" t="n"/>
      <c r="N1404" s="11" t="n"/>
      <c r="O1404" s="11" t="n"/>
      <c r="P1404" s="11" t="n"/>
      <c r="Q1404" s="11" t="n"/>
    </row>
    <row r="1405">
      <c r="A1405" s="8">
        <f>B1405&amp;"_"&amp;C1405</f>
        <v/>
      </c>
      <c r="B1405" s="8" t="n"/>
      <c r="C1405" s="8" t="n"/>
      <c r="D1405" s="8" t="n"/>
      <c r="E1405" s="11" t="n"/>
      <c r="F1405" s="11" t="n"/>
      <c r="G1405" s="8" t="n"/>
      <c r="H1405" s="8" t="n"/>
      <c r="I1405" s="8" t="n"/>
      <c r="J1405" s="8" t="n"/>
      <c r="K1405" s="12">
        <f>IF(OR(ISERROR(VLOOKUP(C1405, Resultados_Reales!$A$4:$I$107, 5, FALSE)), ISERROR(VLOOKUP(C1405, Resultados_Reales!$A$4:$I$107, 6, FALSE)), VLOOKUP(C1405, Resultados_Reales!$A$4:$I$107, 5, FALSE)="", VLOOKUP(C1405, Resultados_Reales!$A$4:$I$107, 6, FALSE)=""), 0, IF(AND(VLOOKUP(C1405, Resultados_Reales!$A$4:$I$107, 5, FALSE)=G1405, VLOOKUP(C1405, Resultados_Reales!$A$4:$I$107, 6, FALSE)=H1405), Configuracion!$B$5, IF(SIGN(VLOOKUP(C1405, Resultados_Reales!$A$4:$I$107, 5, FALSE)-VLOOKUP(C1405, Resultados_Reales!$A$4:$I$107, 6, FALSE)) = SIGN(G1405-H1405), Configuracion!$B$4, 0)))</f>
        <v/>
      </c>
      <c r="L1405" s="11" t="n"/>
      <c r="M1405" s="11" t="n"/>
      <c r="N1405" s="11" t="n"/>
      <c r="O1405" s="11" t="n"/>
      <c r="P1405" s="11" t="n"/>
      <c r="Q1405" s="11" t="n"/>
    </row>
    <row r="1406">
      <c r="A1406" s="8">
        <f>B1406&amp;"_"&amp;C1406</f>
        <v/>
      </c>
      <c r="B1406" s="8" t="n"/>
      <c r="C1406" s="8" t="n"/>
      <c r="D1406" s="8" t="n"/>
      <c r="E1406" s="11" t="n"/>
      <c r="F1406" s="11" t="n"/>
      <c r="G1406" s="8" t="n"/>
      <c r="H1406" s="8" t="n"/>
      <c r="I1406" s="8" t="n"/>
      <c r="J1406" s="8" t="n"/>
      <c r="K1406" s="12">
        <f>IF(OR(ISERROR(VLOOKUP(C1406, Resultados_Reales!$A$4:$I$107, 5, FALSE)), ISERROR(VLOOKUP(C1406, Resultados_Reales!$A$4:$I$107, 6, FALSE)), VLOOKUP(C1406, Resultados_Reales!$A$4:$I$107, 5, FALSE)="", VLOOKUP(C1406, Resultados_Reales!$A$4:$I$107, 6, FALSE)=""), 0, IF(AND(VLOOKUP(C1406, Resultados_Reales!$A$4:$I$107, 5, FALSE)=G1406, VLOOKUP(C1406, Resultados_Reales!$A$4:$I$107, 6, FALSE)=H1406), Configuracion!$B$5, IF(SIGN(VLOOKUP(C1406, Resultados_Reales!$A$4:$I$107, 5, FALSE)-VLOOKUP(C1406, Resultados_Reales!$A$4:$I$107, 6, FALSE)) = SIGN(G1406-H1406), Configuracion!$B$4, 0)))</f>
        <v/>
      </c>
      <c r="L1406" s="11" t="n"/>
      <c r="M1406" s="11" t="n"/>
      <c r="N1406" s="11" t="n"/>
      <c r="O1406" s="11" t="n"/>
      <c r="P1406" s="11" t="n"/>
      <c r="Q1406" s="11" t="n"/>
    </row>
    <row r="1407">
      <c r="A1407" s="8">
        <f>B1407&amp;"_"&amp;C1407</f>
        <v/>
      </c>
      <c r="B1407" s="8" t="n"/>
      <c r="C1407" s="8" t="n"/>
      <c r="D1407" s="8" t="n"/>
      <c r="E1407" s="11" t="n"/>
      <c r="F1407" s="11" t="n"/>
      <c r="G1407" s="8" t="n"/>
      <c r="H1407" s="8" t="n"/>
      <c r="I1407" s="8" t="n"/>
      <c r="J1407" s="8" t="n"/>
      <c r="K1407" s="12">
        <f>IF(OR(ISERROR(VLOOKUP(C1407, Resultados_Reales!$A$4:$I$107, 5, FALSE)), ISERROR(VLOOKUP(C1407, Resultados_Reales!$A$4:$I$107, 6, FALSE)), VLOOKUP(C1407, Resultados_Reales!$A$4:$I$107, 5, FALSE)="", VLOOKUP(C1407, Resultados_Reales!$A$4:$I$107, 6, FALSE)=""), 0, IF(AND(VLOOKUP(C1407, Resultados_Reales!$A$4:$I$107, 5, FALSE)=G1407, VLOOKUP(C1407, Resultados_Reales!$A$4:$I$107, 6, FALSE)=H1407), Configuracion!$B$5, IF(SIGN(VLOOKUP(C1407, Resultados_Reales!$A$4:$I$107, 5, FALSE)-VLOOKUP(C1407, Resultados_Reales!$A$4:$I$107, 6, FALSE)) = SIGN(G1407-H1407), Configuracion!$B$4, 0)))</f>
        <v/>
      </c>
      <c r="L1407" s="11" t="n"/>
      <c r="M1407" s="11" t="n"/>
      <c r="N1407" s="11" t="n"/>
      <c r="O1407" s="11" t="n"/>
      <c r="P1407" s="11" t="n"/>
      <c r="Q1407" s="11" t="n"/>
    </row>
    <row r="1408">
      <c r="A1408" s="8">
        <f>B1408&amp;"_"&amp;C1408</f>
        <v/>
      </c>
      <c r="B1408" s="8" t="n"/>
      <c r="C1408" s="8" t="n"/>
      <c r="D1408" s="8" t="n"/>
      <c r="E1408" s="11" t="n"/>
      <c r="F1408" s="11" t="n"/>
      <c r="G1408" s="8" t="n"/>
      <c r="H1408" s="8" t="n"/>
      <c r="I1408" s="8" t="n"/>
      <c r="J1408" s="8" t="n"/>
      <c r="K1408" s="12">
        <f>IF(OR(ISERROR(VLOOKUP(C1408, Resultados_Reales!$A$4:$I$107, 5, FALSE)), ISERROR(VLOOKUP(C1408, Resultados_Reales!$A$4:$I$107, 6, FALSE)), VLOOKUP(C1408, Resultados_Reales!$A$4:$I$107, 5, FALSE)="", VLOOKUP(C1408, Resultados_Reales!$A$4:$I$107, 6, FALSE)=""), 0, IF(AND(VLOOKUP(C1408, Resultados_Reales!$A$4:$I$107, 5, FALSE)=G1408, VLOOKUP(C1408, Resultados_Reales!$A$4:$I$107, 6, FALSE)=H1408), Configuracion!$B$5, IF(SIGN(VLOOKUP(C1408, Resultados_Reales!$A$4:$I$107, 5, FALSE)-VLOOKUP(C1408, Resultados_Reales!$A$4:$I$107, 6, FALSE)) = SIGN(G1408-H1408), Configuracion!$B$4, 0)))</f>
        <v/>
      </c>
      <c r="L1408" s="11" t="n"/>
      <c r="M1408" s="11" t="n"/>
      <c r="N1408" s="11" t="n"/>
      <c r="O1408" s="11" t="n"/>
      <c r="P1408" s="11" t="n"/>
      <c r="Q1408" s="11" t="n"/>
    </row>
    <row r="1409">
      <c r="A1409" s="8">
        <f>B1409&amp;"_"&amp;C1409</f>
        <v/>
      </c>
      <c r="B1409" s="8" t="n"/>
      <c r="C1409" s="8" t="n"/>
      <c r="D1409" s="8" t="n"/>
      <c r="E1409" s="11" t="n"/>
      <c r="F1409" s="11" t="n"/>
      <c r="G1409" s="8" t="n"/>
      <c r="H1409" s="8" t="n"/>
      <c r="I1409" s="8" t="n"/>
      <c r="J1409" s="8" t="n"/>
      <c r="K1409" s="12">
        <f>IF(OR(ISERROR(VLOOKUP(C1409, Resultados_Reales!$A$4:$I$107, 5, FALSE)), ISERROR(VLOOKUP(C1409, Resultados_Reales!$A$4:$I$107, 6, FALSE)), VLOOKUP(C1409, Resultados_Reales!$A$4:$I$107, 5, FALSE)="", VLOOKUP(C1409, Resultados_Reales!$A$4:$I$107, 6, FALSE)=""), 0, IF(AND(VLOOKUP(C1409, Resultados_Reales!$A$4:$I$107, 5, FALSE)=G1409, VLOOKUP(C1409, Resultados_Reales!$A$4:$I$107, 6, FALSE)=H1409), Configuracion!$B$5, IF(SIGN(VLOOKUP(C1409, Resultados_Reales!$A$4:$I$107, 5, FALSE)-VLOOKUP(C1409, Resultados_Reales!$A$4:$I$107, 6, FALSE)) = SIGN(G1409-H1409), Configuracion!$B$4, 0)))</f>
        <v/>
      </c>
      <c r="L1409" s="11" t="n"/>
      <c r="M1409" s="11" t="n"/>
      <c r="N1409" s="11" t="n"/>
      <c r="O1409" s="11" t="n"/>
      <c r="P1409" s="11" t="n"/>
      <c r="Q1409" s="11" t="n"/>
    </row>
    <row r="1410">
      <c r="A1410" s="8">
        <f>B1410&amp;"_"&amp;C1410</f>
        <v/>
      </c>
      <c r="B1410" s="8" t="n"/>
      <c r="C1410" s="8" t="n"/>
      <c r="D1410" s="8" t="n"/>
      <c r="E1410" s="11" t="n"/>
      <c r="F1410" s="11" t="n"/>
      <c r="G1410" s="8" t="n"/>
      <c r="H1410" s="8" t="n"/>
      <c r="I1410" s="8" t="n"/>
      <c r="J1410" s="8" t="n"/>
      <c r="K1410" s="12">
        <f>IF(OR(ISERROR(VLOOKUP(C1410, Resultados_Reales!$A$4:$I$107, 5, FALSE)), ISERROR(VLOOKUP(C1410, Resultados_Reales!$A$4:$I$107, 6, FALSE)), VLOOKUP(C1410, Resultados_Reales!$A$4:$I$107, 5, FALSE)="", VLOOKUP(C1410, Resultados_Reales!$A$4:$I$107, 6, FALSE)=""), 0, IF(AND(VLOOKUP(C1410, Resultados_Reales!$A$4:$I$107, 5, FALSE)=G1410, VLOOKUP(C1410, Resultados_Reales!$A$4:$I$107, 6, FALSE)=H1410), Configuracion!$B$5, IF(SIGN(VLOOKUP(C1410, Resultados_Reales!$A$4:$I$107, 5, FALSE)-VLOOKUP(C1410, Resultados_Reales!$A$4:$I$107, 6, FALSE)) = SIGN(G1410-H1410), Configuracion!$B$4, 0)))</f>
        <v/>
      </c>
      <c r="L1410" s="11" t="n"/>
      <c r="M1410" s="11" t="n"/>
      <c r="N1410" s="11" t="n"/>
      <c r="O1410" s="11" t="n"/>
      <c r="P1410" s="11" t="n"/>
      <c r="Q1410" s="11" t="n"/>
    </row>
    <row r="1411">
      <c r="A1411" s="8">
        <f>B1411&amp;"_"&amp;C1411</f>
        <v/>
      </c>
      <c r="B1411" s="8" t="n"/>
      <c r="C1411" s="8" t="n"/>
      <c r="D1411" s="8" t="n"/>
      <c r="E1411" s="11" t="n"/>
      <c r="F1411" s="11" t="n"/>
      <c r="G1411" s="8" t="n"/>
      <c r="H1411" s="8" t="n"/>
      <c r="I1411" s="8" t="n"/>
      <c r="J1411" s="8" t="n"/>
      <c r="K1411" s="12">
        <f>IF(OR(ISERROR(VLOOKUP(C1411, Resultados_Reales!$A$4:$I$107, 5, FALSE)), ISERROR(VLOOKUP(C1411, Resultados_Reales!$A$4:$I$107, 6, FALSE)), VLOOKUP(C1411, Resultados_Reales!$A$4:$I$107, 5, FALSE)="", VLOOKUP(C1411, Resultados_Reales!$A$4:$I$107, 6, FALSE)=""), 0, IF(AND(VLOOKUP(C1411, Resultados_Reales!$A$4:$I$107, 5, FALSE)=G1411, VLOOKUP(C1411, Resultados_Reales!$A$4:$I$107, 6, FALSE)=H1411), Configuracion!$B$5, IF(SIGN(VLOOKUP(C1411, Resultados_Reales!$A$4:$I$107, 5, FALSE)-VLOOKUP(C1411, Resultados_Reales!$A$4:$I$107, 6, FALSE)) = SIGN(G1411-H1411), Configuracion!$B$4, 0)))</f>
        <v/>
      </c>
      <c r="L1411" s="11" t="n"/>
      <c r="M1411" s="11" t="n"/>
      <c r="N1411" s="11" t="n"/>
      <c r="O1411" s="11" t="n"/>
      <c r="P1411" s="11" t="n"/>
      <c r="Q1411" s="11" t="n"/>
    </row>
    <row r="1412">
      <c r="A1412" s="8">
        <f>B1412&amp;"_"&amp;C1412</f>
        <v/>
      </c>
      <c r="B1412" s="8" t="n"/>
      <c r="C1412" s="8" t="n"/>
      <c r="D1412" s="8" t="n"/>
      <c r="E1412" s="11" t="n"/>
      <c r="F1412" s="11" t="n"/>
      <c r="G1412" s="8" t="n"/>
      <c r="H1412" s="8" t="n"/>
      <c r="I1412" s="8" t="n"/>
      <c r="J1412" s="8" t="n"/>
      <c r="K1412" s="12">
        <f>IF(OR(ISERROR(VLOOKUP(C1412, Resultados_Reales!$A$4:$I$107, 5, FALSE)), ISERROR(VLOOKUP(C1412, Resultados_Reales!$A$4:$I$107, 6, FALSE)), VLOOKUP(C1412, Resultados_Reales!$A$4:$I$107, 5, FALSE)="", VLOOKUP(C1412, Resultados_Reales!$A$4:$I$107, 6, FALSE)=""), 0, IF(AND(VLOOKUP(C1412, Resultados_Reales!$A$4:$I$107, 5, FALSE)=G1412, VLOOKUP(C1412, Resultados_Reales!$A$4:$I$107, 6, FALSE)=H1412), Configuracion!$B$5, IF(SIGN(VLOOKUP(C1412, Resultados_Reales!$A$4:$I$107, 5, FALSE)-VLOOKUP(C1412, Resultados_Reales!$A$4:$I$107, 6, FALSE)) = SIGN(G1412-H1412), Configuracion!$B$4, 0)))</f>
        <v/>
      </c>
      <c r="L1412" s="11" t="n"/>
      <c r="M1412" s="11" t="n"/>
      <c r="N1412" s="11" t="n"/>
      <c r="O1412" s="11" t="n"/>
      <c r="P1412" s="11" t="n"/>
      <c r="Q1412" s="11" t="n"/>
    </row>
    <row r="1413">
      <c r="A1413" s="8">
        <f>B1413&amp;"_"&amp;C1413</f>
        <v/>
      </c>
      <c r="B1413" s="8" t="n"/>
      <c r="C1413" s="8" t="n"/>
      <c r="D1413" s="8" t="n"/>
      <c r="E1413" s="11" t="n"/>
      <c r="F1413" s="11" t="n"/>
      <c r="G1413" s="8" t="n"/>
      <c r="H1413" s="8" t="n"/>
      <c r="I1413" s="8" t="n"/>
      <c r="J1413" s="8" t="n"/>
      <c r="K1413" s="12">
        <f>IF(OR(ISERROR(VLOOKUP(C1413, Resultados_Reales!$A$4:$I$107, 5, FALSE)), ISERROR(VLOOKUP(C1413, Resultados_Reales!$A$4:$I$107, 6, FALSE)), VLOOKUP(C1413, Resultados_Reales!$A$4:$I$107, 5, FALSE)="", VLOOKUP(C1413, Resultados_Reales!$A$4:$I$107, 6, FALSE)=""), 0, IF(AND(VLOOKUP(C1413, Resultados_Reales!$A$4:$I$107, 5, FALSE)=G1413, VLOOKUP(C1413, Resultados_Reales!$A$4:$I$107, 6, FALSE)=H1413), Configuracion!$B$5, IF(SIGN(VLOOKUP(C1413, Resultados_Reales!$A$4:$I$107, 5, FALSE)-VLOOKUP(C1413, Resultados_Reales!$A$4:$I$107, 6, FALSE)) = SIGN(G1413-H1413), Configuracion!$B$4, 0)))</f>
        <v/>
      </c>
      <c r="L1413" s="11" t="n"/>
      <c r="M1413" s="11" t="n"/>
      <c r="N1413" s="11" t="n"/>
      <c r="O1413" s="11" t="n"/>
      <c r="P1413" s="11" t="n"/>
      <c r="Q1413" s="11" t="n"/>
    </row>
    <row r="1414">
      <c r="A1414" s="8">
        <f>B1414&amp;"_"&amp;C1414</f>
        <v/>
      </c>
      <c r="B1414" s="8" t="n"/>
      <c r="C1414" s="8" t="n"/>
      <c r="D1414" s="8" t="n"/>
      <c r="E1414" s="11" t="n"/>
      <c r="F1414" s="11" t="n"/>
      <c r="G1414" s="8" t="n"/>
      <c r="H1414" s="8" t="n"/>
      <c r="I1414" s="8" t="n"/>
      <c r="J1414" s="8" t="n"/>
      <c r="K1414" s="12">
        <f>IF(OR(ISERROR(VLOOKUP(C1414, Resultados_Reales!$A$4:$I$107, 5, FALSE)), ISERROR(VLOOKUP(C1414, Resultados_Reales!$A$4:$I$107, 6, FALSE)), VLOOKUP(C1414, Resultados_Reales!$A$4:$I$107, 5, FALSE)="", VLOOKUP(C1414, Resultados_Reales!$A$4:$I$107, 6, FALSE)=""), 0, IF(AND(VLOOKUP(C1414, Resultados_Reales!$A$4:$I$107, 5, FALSE)=G1414, VLOOKUP(C1414, Resultados_Reales!$A$4:$I$107, 6, FALSE)=H1414), Configuracion!$B$5, IF(SIGN(VLOOKUP(C1414, Resultados_Reales!$A$4:$I$107, 5, FALSE)-VLOOKUP(C1414, Resultados_Reales!$A$4:$I$107, 6, FALSE)) = SIGN(G1414-H1414), Configuracion!$B$4, 0)))</f>
        <v/>
      </c>
      <c r="L1414" s="11" t="n"/>
      <c r="M1414" s="11" t="n"/>
      <c r="N1414" s="11" t="n"/>
      <c r="O1414" s="11" t="n"/>
      <c r="P1414" s="11" t="n"/>
      <c r="Q1414" s="11" t="n"/>
    </row>
    <row r="1415">
      <c r="A1415" s="8">
        <f>B1415&amp;"_"&amp;C1415</f>
        <v/>
      </c>
      <c r="B1415" s="8" t="n"/>
      <c r="C1415" s="8" t="n"/>
      <c r="D1415" s="8" t="n"/>
      <c r="E1415" s="11" t="n"/>
      <c r="F1415" s="11" t="n"/>
      <c r="G1415" s="8" t="n"/>
      <c r="H1415" s="8" t="n"/>
      <c r="I1415" s="8" t="n"/>
      <c r="J1415" s="8" t="n"/>
      <c r="K1415" s="12">
        <f>IF(OR(ISERROR(VLOOKUP(C1415, Resultados_Reales!$A$4:$I$107, 5, FALSE)), ISERROR(VLOOKUP(C1415, Resultados_Reales!$A$4:$I$107, 6, FALSE)), VLOOKUP(C1415, Resultados_Reales!$A$4:$I$107, 5, FALSE)="", VLOOKUP(C1415, Resultados_Reales!$A$4:$I$107, 6, FALSE)=""), 0, IF(AND(VLOOKUP(C1415, Resultados_Reales!$A$4:$I$107, 5, FALSE)=G1415, VLOOKUP(C1415, Resultados_Reales!$A$4:$I$107, 6, FALSE)=H1415), Configuracion!$B$5, IF(SIGN(VLOOKUP(C1415, Resultados_Reales!$A$4:$I$107, 5, FALSE)-VLOOKUP(C1415, Resultados_Reales!$A$4:$I$107, 6, FALSE)) = SIGN(G1415-H1415), Configuracion!$B$4, 0)))</f>
        <v/>
      </c>
      <c r="L1415" s="11" t="n"/>
      <c r="M1415" s="11" t="n"/>
      <c r="N1415" s="11" t="n"/>
      <c r="O1415" s="11" t="n"/>
      <c r="P1415" s="11" t="n"/>
      <c r="Q1415" s="11" t="n"/>
    </row>
    <row r="1416">
      <c r="A1416" s="8">
        <f>B1416&amp;"_"&amp;C1416</f>
        <v/>
      </c>
      <c r="B1416" s="8" t="n"/>
      <c r="C1416" s="8" t="n"/>
      <c r="D1416" s="8" t="n"/>
      <c r="E1416" s="11" t="n"/>
      <c r="F1416" s="11" t="n"/>
      <c r="G1416" s="8" t="n"/>
      <c r="H1416" s="8" t="n"/>
      <c r="I1416" s="8" t="n"/>
      <c r="J1416" s="8" t="n"/>
      <c r="K1416" s="12">
        <f>IF(OR(ISERROR(VLOOKUP(C1416, Resultados_Reales!$A$4:$I$107, 5, FALSE)), ISERROR(VLOOKUP(C1416, Resultados_Reales!$A$4:$I$107, 6, FALSE)), VLOOKUP(C1416, Resultados_Reales!$A$4:$I$107, 5, FALSE)="", VLOOKUP(C1416, Resultados_Reales!$A$4:$I$107, 6, FALSE)=""), 0, IF(AND(VLOOKUP(C1416, Resultados_Reales!$A$4:$I$107, 5, FALSE)=G1416, VLOOKUP(C1416, Resultados_Reales!$A$4:$I$107, 6, FALSE)=H1416), Configuracion!$B$5, IF(SIGN(VLOOKUP(C1416, Resultados_Reales!$A$4:$I$107, 5, FALSE)-VLOOKUP(C1416, Resultados_Reales!$A$4:$I$107, 6, FALSE)) = SIGN(G1416-H1416), Configuracion!$B$4, 0)))</f>
        <v/>
      </c>
      <c r="L1416" s="11" t="n"/>
      <c r="M1416" s="11" t="n"/>
      <c r="N1416" s="11" t="n"/>
      <c r="O1416" s="11" t="n"/>
      <c r="P1416" s="11" t="n"/>
      <c r="Q1416" s="11" t="n"/>
    </row>
    <row r="1417">
      <c r="A1417" s="8">
        <f>B1417&amp;"_"&amp;C1417</f>
        <v/>
      </c>
      <c r="B1417" s="8" t="n"/>
      <c r="C1417" s="8" t="n"/>
      <c r="D1417" s="8" t="n"/>
      <c r="E1417" s="11" t="n"/>
      <c r="F1417" s="11" t="n"/>
      <c r="G1417" s="8" t="n"/>
      <c r="H1417" s="8" t="n"/>
      <c r="I1417" s="8" t="n"/>
      <c r="J1417" s="8" t="n"/>
      <c r="K1417" s="12">
        <f>IF(OR(ISERROR(VLOOKUP(C1417, Resultados_Reales!$A$4:$I$107, 5, FALSE)), ISERROR(VLOOKUP(C1417, Resultados_Reales!$A$4:$I$107, 6, FALSE)), VLOOKUP(C1417, Resultados_Reales!$A$4:$I$107, 5, FALSE)="", VLOOKUP(C1417, Resultados_Reales!$A$4:$I$107, 6, FALSE)=""), 0, IF(AND(VLOOKUP(C1417, Resultados_Reales!$A$4:$I$107, 5, FALSE)=G1417, VLOOKUP(C1417, Resultados_Reales!$A$4:$I$107, 6, FALSE)=H1417), Configuracion!$B$5, IF(SIGN(VLOOKUP(C1417, Resultados_Reales!$A$4:$I$107, 5, FALSE)-VLOOKUP(C1417, Resultados_Reales!$A$4:$I$107, 6, FALSE)) = SIGN(G1417-H1417), Configuracion!$B$4, 0)))</f>
        <v/>
      </c>
      <c r="L1417" s="11" t="n"/>
      <c r="M1417" s="11" t="n"/>
      <c r="N1417" s="11" t="n"/>
      <c r="O1417" s="11" t="n"/>
      <c r="P1417" s="11" t="n"/>
      <c r="Q1417" s="11" t="n"/>
    </row>
    <row r="1418">
      <c r="A1418" s="8">
        <f>B1418&amp;"_"&amp;C1418</f>
        <v/>
      </c>
      <c r="B1418" s="8" t="n"/>
      <c r="C1418" s="8" t="n"/>
      <c r="D1418" s="8" t="n"/>
      <c r="E1418" s="11" t="n"/>
      <c r="F1418" s="11" t="n"/>
      <c r="G1418" s="8" t="n"/>
      <c r="H1418" s="8" t="n"/>
      <c r="I1418" s="8" t="n"/>
      <c r="J1418" s="8" t="n"/>
      <c r="K1418" s="12">
        <f>IF(OR(ISERROR(VLOOKUP(C1418, Resultados_Reales!$A$4:$I$107, 5, FALSE)), ISERROR(VLOOKUP(C1418, Resultados_Reales!$A$4:$I$107, 6, FALSE)), VLOOKUP(C1418, Resultados_Reales!$A$4:$I$107, 5, FALSE)="", VLOOKUP(C1418, Resultados_Reales!$A$4:$I$107, 6, FALSE)=""), 0, IF(AND(VLOOKUP(C1418, Resultados_Reales!$A$4:$I$107, 5, FALSE)=G1418, VLOOKUP(C1418, Resultados_Reales!$A$4:$I$107, 6, FALSE)=H1418), Configuracion!$B$5, IF(SIGN(VLOOKUP(C1418, Resultados_Reales!$A$4:$I$107, 5, FALSE)-VLOOKUP(C1418, Resultados_Reales!$A$4:$I$107, 6, FALSE)) = SIGN(G1418-H1418), Configuracion!$B$4, 0)))</f>
        <v/>
      </c>
      <c r="L1418" s="11" t="n"/>
      <c r="M1418" s="11" t="n"/>
      <c r="N1418" s="11" t="n"/>
      <c r="O1418" s="11" t="n"/>
      <c r="P1418" s="11" t="n"/>
      <c r="Q1418" s="11" t="n"/>
    </row>
    <row r="1419">
      <c r="A1419" s="8">
        <f>B1419&amp;"_"&amp;C1419</f>
        <v/>
      </c>
      <c r="B1419" s="8" t="n"/>
      <c r="C1419" s="8" t="n"/>
      <c r="D1419" s="8" t="n"/>
      <c r="E1419" s="11" t="n"/>
      <c r="F1419" s="11" t="n"/>
      <c r="G1419" s="8" t="n"/>
      <c r="H1419" s="8" t="n"/>
      <c r="I1419" s="8" t="n"/>
      <c r="J1419" s="8" t="n"/>
      <c r="K1419" s="12">
        <f>IF(OR(ISERROR(VLOOKUP(C1419, Resultados_Reales!$A$4:$I$107, 5, FALSE)), ISERROR(VLOOKUP(C1419, Resultados_Reales!$A$4:$I$107, 6, FALSE)), VLOOKUP(C1419, Resultados_Reales!$A$4:$I$107, 5, FALSE)="", VLOOKUP(C1419, Resultados_Reales!$A$4:$I$107, 6, FALSE)=""), 0, IF(AND(VLOOKUP(C1419, Resultados_Reales!$A$4:$I$107, 5, FALSE)=G1419, VLOOKUP(C1419, Resultados_Reales!$A$4:$I$107, 6, FALSE)=H1419), Configuracion!$B$5, IF(SIGN(VLOOKUP(C1419, Resultados_Reales!$A$4:$I$107, 5, FALSE)-VLOOKUP(C1419, Resultados_Reales!$A$4:$I$107, 6, FALSE)) = SIGN(G1419-H1419), Configuracion!$B$4, 0)))</f>
        <v/>
      </c>
      <c r="L1419" s="11" t="n"/>
      <c r="M1419" s="11" t="n"/>
      <c r="N1419" s="11" t="n"/>
      <c r="O1419" s="11" t="n"/>
      <c r="P1419" s="11" t="n"/>
      <c r="Q1419" s="11" t="n"/>
    </row>
    <row r="1420">
      <c r="A1420" s="8">
        <f>B1420&amp;"_"&amp;C1420</f>
        <v/>
      </c>
      <c r="B1420" s="8" t="n"/>
      <c r="C1420" s="8" t="n"/>
      <c r="D1420" s="8" t="n"/>
      <c r="E1420" s="11" t="n"/>
      <c r="F1420" s="11" t="n"/>
      <c r="G1420" s="8" t="n"/>
      <c r="H1420" s="8" t="n"/>
      <c r="I1420" s="8" t="n"/>
      <c r="J1420" s="8" t="n"/>
      <c r="K1420" s="12">
        <f>IF(OR(ISERROR(VLOOKUP(C1420, Resultados_Reales!$A$4:$I$107, 5, FALSE)), ISERROR(VLOOKUP(C1420, Resultados_Reales!$A$4:$I$107, 6, FALSE)), VLOOKUP(C1420, Resultados_Reales!$A$4:$I$107, 5, FALSE)="", VLOOKUP(C1420, Resultados_Reales!$A$4:$I$107, 6, FALSE)=""), 0, IF(AND(VLOOKUP(C1420, Resultados_Reales!$A$4:$I$107, 5, FALSE)=G1420, VLOOKUP(C1420, Resultados_Reales!$A$4:$I$107, 6, FALSE)=H1420), Configuracion!$B$5, IF(SIGN(VLOOKUP(C1420, Resultados_Reales!$A$4:$I$107, 5, FALSE)-VLOOKUP(C1420, Resultados_Reales!$A$4:$I$107, 6, FALSE)) = SIGN(G1420-H1420), Configuracion!$B$4, 0)))</f>
        <v/>
      </c>
      <c r="L1420" s="11" t="n"/>
      <c r="M1420" s="11" t="n"/>
      <c r="N1420" s="11" t="n"/>
      <c r="O1420" s="11" t="n"/>
      <c r="P1420" s="11" t="n"/>
      <c r="Q1420" s="11" t="n"/>
    </row>
    <row r="1421">
      <c r="A1421" s="8">
        <f>B1421&amp;"_"&amp;C1421</f>
        <v/>
      </c>
      <c r="B1421" s="8" t="n"/>
      <c r="C1421" s="8" t="n"/>
      <c r="D1421" s="8" t="n"/>
      <c r="E1421" s="11" t="n"/>
      <c r="F1421" s="11" t="n"/>
      <c r="G1421" s="8" t="n"/>
      <c r="H1421" s="8" t="n"/>
      <c r="I1421" s="8" t="n"/>
      <c r="J1421" s="8" t="n"/>
      <c r="K1421" s="12">
        <f>IF(OR(ISERROR(VLOOKUP(C1421, Resultados_Reales!$A$4:$I$107, 5, FALSE)), ISERROR(VLOOKUP(C1421, Resultados_Reales!$A$4:$I$107, 6, FALSE)), VLOOKUP(C1421, Resultados_Reales!$A$4:$I$107, 5, FALSE)="", VLOOKUP(C1421, Resultados_Reales!$A$4:$I$107, 6, FALSE)=""), 0, IF(AND(VLOOKUP(C1421, Resultados_Reales!$A$4:$I$107, 5, FALSE)=G1421, VLOOKUP(C1421, Resultados_Reales!$A$4:$I$107, 6, FALSE)=H1421), Configuracion!$B$5, IF(SIGN(VLOOKUP(C1421, Resultados_Reales!$A$4:$I$107, 5, FALSE)-VLOOKUP(C1421, Resultados_Reales!$A$4:$I$107, 6, FALSE)) = SIGN(G1421-H1421), Configuracion!$B$4, 0)))</f>
        <v/>
      </c>
      <c r="L1421" s="11" t="n"/>
      <c r="M1421" s="11" t="n"/>
      <c r="N1421" s="11" t="n"/>
      <c r="O1421" s="11" t="n"/>
      <c r="P1421" s="11" t="n"/>
      <c r="Q1421" s="11" t="n"/>
    </row>
    <row r="1422">
      <c r="A1422" s="8">
        <f>B1422&amp;"_"&amp;C1422</f>
        <v/>
      </c>
      <c r="B1422" s="8" t="n"/>
      <c r="C1422" s="8" t="n"/>
      <c r="D1422" s="8" t="n"/>
      <c r="E1422" s="11" t="n"/>
      <c r="F1422" s="11" t="n"/>
      <c r="G1422" s="8" t="n"/>
      <c r="H1422" s="8" t="n"/>
      <c r="I1422" s="8" t="n"/>
      <c r="J1422" s="8" t="n"/>
      <c r="K1422" s="12">
        <f>IF(OR(ISERROR(VLOOKUP(C1422, Resultados_Reales!$A$4:$I$107, 5, FALSE)), ISERROR(VLOOKUP(C1422, Resultados_Reales!$A$4:$I$107, 6, FALSE)), VLOOKUP(C1422, Resultados_Reales!$A$4:$I$107, 5, FALSE)="", VLOOKUP(C1422, Resultados_Reales!$A$4:$I$107, 6, FALSE)=""), 0, IF(AND(VLOOKUP(C1422, Resultados_Reales!$A$4:$I$107, 5, FALSE)=G1422, VLOOKUP(C1422, Resultados_Reales!$A$4:$I$107, 6, FALSE)=H1422), Configuracion!$B$5, IF(SIGN(VLOOKUP(C1422, Resultados_Reales!$A$4:$I$107, 5, FALSE)-VLOOKUP(C1422, Resultados_Reales!$A$4:$I$107, 6, FALSE)) = SIGN(G1422-H1422), Configuracion!$B$4, 0)))</f>
        <v/>
      </c>
      <c r="L1422" s="11" t="n"/>
      <c r="M1422" s="11" t="n"/>
      <c r="N1422" s="11" t="n"/>
      <c r="O1422" s="11" t="n"/>
      <c r="P1422" s="11" t="n"/>
      <c r="Q1422" s="11" t="n"/>
    </row>
    <row r="1423">
      <c r="A1423" s="8">
        <f>B1423&amp;"_"&amp;C1423</f>
        <v/>
      </c>
      <c r="B1423" s="8" t="n"/>
      <c r="C1423" s="8" t="n"/>
      <c r="D1423" s="8" t="n"/>
      <c r="E1423" s="11" t="n"/>
      <c r="F1423" s="11" t="n"/>
      <c r="G1423" s="8" t="n"/>
      <c r="H1423" s="8" t="n"/>
      <c r="I1423" s="8" t="n"/>
      <c r="J1423" s="8" t="n"/>
      <c r="K1423" s="12">
        <f>IF(OR(ISERROR(VLOOKUP(C1423, Resultados_Reales!$A$4:$I$107, 5, FALSE)), ISERROR(VLOOKUP(C1423, Resultados_Reales!$A$4:$I$107, 6, FALSE)), VLOOKUP(C1423, Resultados_Reales!$A$4:$I$107, 5, FALSE)="", VLOOKUP(C1423, Resultados_Reales!$A$4:$I$107, 6, FALSE)=""), 0, IF(AND(VLOOKUP(C1423, Resultados_Reales!$A$4:$I$107, 5, FALSE)=G1423, VLOOKUP(C1423, Resultados_Reales!$A$4:$I$107, 6, FALSE)=H1423), Configuracion!$B$5, IF(SIGN(VLOOKUP(C1423, Resultados_Reales!$A$4:$I$107, 5, FALSE)-VLOOKUP(C1423, Resultados_Reales!$A$4:$I$107, 6, FALSE)) = SIGN(G1423-H1423), Configuracion!$B$4, 0)))</f>
        <v/>
      </c>
      <c r="L1423" s="11" t="n"/>
      <c r="M1423" s="11" t="n"/>
      <c r="N1423" s="11" t="n"/>
      <c r="O1423" s="11" t="n"/>
      <c r="P1423" s="11" t="n"/>
      <c r="Q1423" s="11" t="n"/>
    </row>
    <row r="1424">
      <c r="A1424" s="8">
        <f>B1424&amp;"_"&amp;C1424</f>
        <v/>
      </c>
      <c r="B1424" s="8" t="n"/>
      <c r="C1424" s="8" t="n"/>
      <c r="D1424" s="8" t="n"/>
      <c r="E1424" s="11" t="n"/>
      <c r="F1424" s="11" t="n"/>
      <c r="G1424" s="8" t="n"/>
      <c r="H1424" s="8" t="n"/>
      <c r="I1424" s="8" t="n"/>
      <c r="J1424" s="8" t="n"/>
      <c r="K1424" s="12">
        <f>IF(OR(ISERROR(VLOOKUP(C1424, Resultados_Reales!$A$4:$I$107, 5, FALSE)), ISERROR(VLOOKUP(C1424, Resultados_Reales!$A$4:$I$107, 6, FALSE)), VLOOKUP(C1424, Resultados_Reales!$A$4:$I$107, 5, FALSE)="", VLOOKUP(C1424, Resultados_Reales!$A$4:$I$107, 6, FALSE)=""), 0, IF(AND(VLOOKUP(C1424, Resultados_Reales!$A$4:$I$107, 5, FALSE)=G1424, VLOOKUP(C1424, Resultados_Reales!$A$4:$I$107, 6, FALSE)=H1424), Configuracion!$B$5, IF(SIGN(VLOOKUP(C1424, Resultados_Reales!$A$4:$I$107, 5, FALSE)-VLOOKUP(C1424, Resultados_Reales!$A$4:$I$107, 6, FALSE)) = SIGN(G1424-H1424), Configuracion!$B$4, 0)))</f>
        <v/>
      </c>
      <c r="L1424" s="11" t="n"/>
      <c r="M1424" s="11" t="n"/>
      <c r="N1424" s="11" t="n"/>
      <c r="O1424" s="11" t="n"/>
      <c r="P1424" s="11" t="n"/>
      <c r="Q1424" s="11" t="n"/>
    </row>
    <row r="1425">
      <c r="A1425" s="8">
        <f>B1425&amp;"_"&amp;C1425</f>
        <v/>
      </c>
      <c r="B1425" s="8" t="n"/>
      <c r="C1425" s="8" t="n"/>
      <c r="D1425" s="8" t="n"/>
      <c r="E1425" s="11" t="n"/>
      <c r="F1425" s="11" t="n"/>
      <c r="G1425" s="8" t="n"/>
      <c r="H1425" s="8" t="n"/>
      <c r="I1425" s="8" t="n"/>
      <c r="J1425" s="8" t="n"/>
      <c r="K1425" s="12">
        <f>IF(OR(ISERROR(VLOOKUP(C1425, Resultados_Reales!$A$4:$I$107, 5, FALSE)), ISERROR(VLOOKUP(C1425, Resultados_Reales!$A$4:$I$107, 6, FALSE)), VLOOKUP(C1425, Resultados_Reales!$A$4:$I$107, 5, FALSE)="", VLOOKUP(C1425, Resultados_Reales!$A$4:$I$107, 6, FALSE)=""), 0, IF(AND(VLOOKUP(C1425, Resultados_Reales!$A$4:$I$107, 5, FALSE)=G1425, VLOOKUP(C1425, Resultados_Reales!$A$4:$I$107, 6, FALSE)=H1425), Configuracion!$B$5, IF(SIGN(VLOOKUP(C1425, Resultados_Reales!$A$4:$I$107, 5, FALSE)-VLOOKUP(C1425, Resultados_Reales!$A$4:$I$107, 6, FALSE)) = SIGN(G1425-H1425), Configuracion!$B$4, 0)))</f>
        <v/>
      </c>
      <c r="L1425" s="11" t="n"/>
      <c r="M1425" s="11" t="n"/>
      <c r="N1425" s="11" t="n"/>
      <c r="O1425" s="11" t="n"/>
      <c r="P1425" s="11" t="n"/>
      <c r="Q1425" s="11" t="n"/>
    </row>
    <row r="1426">
      <c r="A1426" s="8">
        <f>B1426&amp;"_"&amp;C1426</f>
        <v/>
      </c>
      <c r="B1426" s="8" t="n"/>
      <c r="C1426" s="8" t="n"/>
      <c r="D1426" s="8" t="n"/>
      <c r="E1426" s="11" t="n"/>
      <c r="F1426" s="11" t="n"/>
      <c r="G1426" s="8" t="n"/>
      <c r="H1426" s="8" t="n"/>
      <c r="I1426" s="8" t="n"/>
      <c r="J1426" s="8" t="n"/>
      <c r="K1426" s="12">
        <f>IF(OR(ISERROR(VLOOKUP(C1426, Resultados_Reales!$A$4:$I$107, 5, FALSE)), ISERROR(VLOOKUP(C1426, Resultados_Reales!$A$4:$I$107, 6, FALSE)), VLOOKUP(C1426, Resultados_Reales!$A$4:$I$107, 5, FALSE)="", VLOOKUP(C1426, Resultados_Reales!$A$4:$I$107, 6, FALSE)=""), 0, IF(AND(VLOOKUP(C1426, Resultados_Reales!$A$4:$I$107, 5, FALSE)=G1426, VLOOKUP(C1426, Resultados_Reales!$A$4:$I$107, 6, FALSE)=H1426), Configuracion!$B$5, IF(SIGN(VLOOKUP(C1426, Resultados_Reales!$A$4:$I$107, 5, FALSE)-VLOOKUP(C1426, Resultados_Reales!$A$4:$I$107, 6, FALSE)) = SIGN(G1426-H1426), Configuracion!$B$4, 0)))</f>
        <v/>
      </c>
      <c r="L1426" s="11" t="n"/>
      <c r="M1426" s="11" t="n"/>
      <c r="N1426" s="11" t="n"/>
      <c r="O1426" s="11" t="n"/>
      <c r="P1426" s="11" t="n"/>
      <c r="Q1426" s="11" t="n"/>
    </row>
    <row r="1427">
      <c r="A1427" s="8">
        <f>B1427&amp;"_"&amp;C1427</f>
        <v/>
      </c>
      <c r="B1427" s="8" t="n"/>
      <c r="C1427" s="8" t="n"/>
      <c r="D1427" s="8" t="n"/>
      <c r="E1427" s="11" t="n"/>
      <c r="F1427" s="11" t="n"/>
      <c r="G1427" s="8" t="n"/>
      <c r="H1427" s="8" t="n"/>
      <c r="I1427" s="8" t="n"/>
      <c r="J1427" s="8" t="n"/>
      <c r="K1427" s="12">
        <f>IF(OR(ISERROR(VLOOKUP(C1427, Resultados_Reales!$A$4:$I$107, 5, FALSE)), ISERROR(VLOOKUP(C1427, Resultados_Reales!$A$4:$I$107, 6, FALSE)), VLOOKUP(C1427, Resultados_Reales!$A$4:$I$107, 5, FALSE)="", VLOOKUP(C1427, Resultados_Reales!$A$4:$I$107, 6, FALSE)=""), 0, IF(AND(VLOOKUP(C1427, Resultados_Reales!$A$4:$I$107, 5, FALSE)=G1427, VLOOKUP(C1427, Resultados_Reales!$A$4:$I$107, 6, FALSE)=H1427), Configuracion!$B$5, IF(SIGN(VLOOKUP(C1427, Resultados_Reales!$A$4:$I$107, 5, FALSE)-VLOOKUP(C1427, Resultados_Reales!$A$4:$I$107, 6, FALSE)) = SIGN(G1427-H1427), Configuracion!$B$4, 0)))</f>
        <v/>
      </c>
      <c r="L1427" s="11" t="n"/>
      <c r="M1427" s="11" t="n"/>
      <c r="N1427" s="11" t="n"/>
      <c r="O1427" s="11" t="n"/>
      <c r="P1427" s="11" t="n"/>
      <c r="Q1427" s="11" t="n"/>
    </row>
    <row r="1428">
      <c r="A1428" s="8">
        <f>B1428&amp;"_"&amp;C1428</f>
        <v/>
      </c>
      <c r="B1428" s="8" t="n"/>
      <c r="C1428" s="8" t="n"/>
      <c r="D1428" s="8" t="n"/>
      <c r="E1428" s="11" t="n"/>
      <c r="F1428" s="11" t="n"/>
      <c r="G1428" s="8" t="n"/>
      <c r="H1428" s="8" t="n"/>
      <c r="I1428" s="8" t="n"/>
      <c r="J1428" s="8" t="n"/>
      <c r="K1428" s="12">
        <f>IF(OR(ISERROR(VLOOKUP(C1428, Resultados_Reales!$A$4:$I$107, 5, FALSE)), ISERROR(VLOOKUP(C1428, Resultados_Reales!$A$4:$I$107, 6, FALSE)), VLOOKUP(C1428, Resultados_Reales!$A$4:$I$107, 5, FALSE)="", VLOOKUP(C1428, Resultados_Reales!$A$4:$I$107, 6, FALSE)=""), 0, IF(AND(VLOOKUP(C1428, Resultados_Reales!$A$4:$I$107, 5, FALSE)=G1428, VLOOKUP(C1428, Resultados_Reales!$A$4:$I$107, 6, FALSE)=H1428), Configuracion!$B$5, IF(SIGN(VLOOKUP(C1428, Resultados_Reales!$A$4:$I$107, 5, FALSE)-VLOOKUP(C1428, Resultados_Reales!$A$4:$I$107, 6, FALSE)) = SIGN(G1428-H1428), Configuracion!$B$4, 0)))</f>
        <v/>
      </c>
      <c r="L1428" s="11" t="n"/>
      <c r="M1428" s="11" t="n"/>
      <c r="N1428" s="11" t="n"/>
      <c r="O1428" s="11" t="n"/>
      <c r="P1428" s="11" t="n"/>
      <c r="Q1428" s="11" t="n"/>
    </row>
    <row r="1429">
      <c r="A1429" s="8">
        <f>B1429&amp;"_"&amp;C1429</f>
        <v/>
      </c>
      <c r="B1429" s="8" t="n"/>
      <c r="C1429" s="8" t="n"/>
      <c r="D1429" s="8" t="n"/>
      <c r="E1429" s="11" t="n"/>
      <c r="F1429" s="11" t="n"/>
      <c r="G1429" s="8" t="n"/>
      <c r="H1429" s="8" t="n"/>
      <c r="I1429" s="8" t="n"/>
      <c r="J1429" s="8" t="n"/>
      <c r="K1429" s="12">
        <f>IF(OR(ISERROR(VLOOKUP(C1429, Resultados_Reales!$A$4:$I$107, 5, FALSE)), ISERROR(VLOOKUP(C1429, Resultados_Reales!$A$4:$I$107, 6, FALSE)), VLOOKUP(C1429, Resultados_Reales!$A$4:$I$107, 5, FALSE)="", VLOOKUP(C1429, Resultados_Reales!$A$4:$I$107, 6, FALSE)=""), 0, IF(AND(VLOOKUP(C1429, Resultados_Reales!$A$4:$I$107, 5, FALSE)=G1429, VLOOKUP(C1429, Resultados_Reales!$A$4:$I$107, 6, FALSE)=H1429), Configuracion!$B$5, IF(SIGN(VLOOKUP(C1429, Resultados_Reales!$A$4:$I$107, 5, FALSE)-VLOOKUP(C1429, Resultados_Reales!$A$4:$I$107, 6, FALSE)) = SIGN(G1429-H1429), Configuracion!$B$4, 0)))</f>
        <v/>
      </c>
      <c r="L1429" s="11" t="n"/>
      <c r="M1429" s="11" t="n"/>
      <c r="N1429" s="11" t="n"/>
      <c r="O1429" s="11" t="n"/>
      <c r="P1429" s="11" t="n"/>
      <c r="Q1429" s="11" t="n"/>
    </row>
    <row r="1430">
      <c r="A1430" s="8">
        <f>B1430&amp;"_"&amp;C1430</f>
        <v/>
      </c>
      <c r="B1430" s="8" t="n"/>
      <c r="C1430" s="8" t="n"/>
      <c r="D1430" s="8" t="n"/>
      <c r="E1430" s="11" t="n"/>
      <c r="F1430" s="11" t="n"/>
      <c r="G1430" s="8" t="n"/>
      <c r="H1430" s="8" t="n"/>
      <c r="I1430" s="8" t="n"/>
      <c r="J1430" s="8" t="n"/>
      <c r="K1430" s="12">
        <f>IF(OR(ISERROR(VLOOKUP(C1430, Resultados_Reales!$A$4:$I$107, 5, FALSE)), ISERROR(VLOOKUP(C1430, Resultados_Reales!$A$4:$I$107, 6, FALSE)), VLOOKUP(C1430, Resultados_Reales!$A$4:$I$107, 5, FALSE)="", VLOOKUP(C1430, Resultados_Reales!$A$4:$I$107, 6, FALSE)=""), 0, IF(AND(VLOOKUP(C1430, Resultados_Reales!$A$4:$I$107, 5, FALSE)=G1430, VLOOKUP(C1430, Resultados_Reales!$A$4:$I$107, 6, FALSE)=H1430), Configuracion!$B$5, IF(SIGN(VLOOKUP(C1430, Resultados_Reales!$A$4:$I$107, 5, FALSE)-VLOOKUP(C1430, Resultados_Reales!$A$4:$I$107, 6, FALSE)) = SIGN(G1430-H1430), Configuracion!$B$4, 0)))</f>
        <v/>
      </c>
      <c r="L1430" s="11" t="n"/>
      <c r="M1430" s="11" t="n"/>
      <c r="N1430" s="11" t="n"/>
      <c r="O1430" s="11" t="n"/>
      <c r="P1430" s="11" t="n"/>
      <c r="Q1430" s="11" t="n"/>
    </row>
    <row r="1431">
      <c r="A1431" s="8">
        <f>B1431&amp;"_"&amp;C1431</f>
        <v/>
      </c>
      <c r="B1431" s="8" t="n"/>
      <c r="C1431" s="8" t="n"/>
      <c r="D1431" s="8" t="n"/>
      <c r="E1431" s="11" t="n"/>
      <c r="F1431" s="11" t="n"/>
      <c r="G1431" s="8" t="n"/>
      <c r="H1431" s="8" t="n"/>
      <c r="I1431" s="8" t="n"/>
      <c r="J1431" s="8" t="n"/>
      <c r="K1431" s="12">
        <f>IF(OR(ISERROR(VLOOKUP(C1431, Resultados_Reales!$A$4:$I$107, 5, FALSE)), ISERROR(VLOOKUP(C1431, Resultados_Reales!$A$4:$I$107, 6, FALSE)), VLOOKUP(C1431, Resultados_Reales!$A$4:$I$107, 5, FALSE)="", VLOOKUP(C1431, Resultados_Reales!$A$4:$I$107, 6, FALSE)=""), 0, IF(AND(VLOOKUP(C1431, Resultados_Reales!$A$4:$I$107, 5, FALSE)=G1431, VLOOKUP(C1431, Resultados_Reales!$A$4:$I$107, 6, FALSE)=H1431), Configuracion!$B$5, IF(SIGN(VLOOKUP(C1431, Resultados_Reales!$A$4:$I$107, 5, FALSE)-VLOOKUP(C1431, Resultados_Reales!$A$4:$I$107, 6, FALSE)) = SIGN(G1431-H1431), Configuracion!$B$4, 0)))</f>
        <v/>
      </c>
      <c r="L1431" s="11" t="n"/>
      <c r="M1431" s="11" t="n"/>
      <c r="N1431" s="11" t="n"/>
      <c r="O1431" s="11" t="n"/>
      <c r="P1431" s="11" t="n"/>
      <c r="Q1431" s="11" t="n"/>
    </row>
    <row r="1432">
      <c r="A1432" s="8">
        <f>B1432&amp;"_"&amp;C1432</f>
        <v/>
      </c>
      <c r="B1432" s="8" t="n"/>
      <c r="C1432" s="8" t="n"/>
      <c r="D1432" s="8" t="n"/>
      <c r="E1432" s="11" t="n"/>
      <c r="F1432" s="11" t="n"/>
      <c r="G1432" s="8" t="n"/>
      <c r="H1432" s="8" t="n"/>
      <c r="I1432" s="8" t="n"/>
      <c r="J1432" s="8" t="n"/>
      <c r="K1432" s="12">
        <f>IF(OR(ISERROR(VLOOKUP(C1432, Resultados_Reales!$A$4:$I$107, 5, FALSE)), ISERROR(VLOOKUP(C1432, Resultados_Reales!$A$4:$I$107, 6, FALSE)), VLOOKUP(C1432, Resultados_Reales!$A$4:$I$107, 5, FALSE)="", VLOOKUP(C1432, Resultados_Reales!$A$4:$I$107, 6, FALSE)=""), 0, IF(AND(VLOOKUP(C1432, Resultados_Reales!$A$4:$I$107, 5, FALSE)=G1432, VLOOKUP(C1432, Resultados_Reales!$A$4:$I$107, 6, FALSE)=H1432), Configuracion!$B$5, IF(SIGN(VLOOKUP(C1432, Resultados_Reales!$A$4:$I$107, 5, FALSE)-VLOOKUP(C1432, Resultados_Reales!$A$4:$I$107, 6, FALSE)) = SIGN(G1432-H1432), Configuracion!$B$4, 0)))</f>
        <v/>
      </c>
      <c r="L1432" s="11" t="n"/>
      <c r="M1432" s="11" t="n"/>
      <c r="N1432" s="11" t="n"/>
      <c r="O1432" s="11" t="n"/>
      <c r="P1432" s="11" t="n"/>
      <c r="Q1432" s="11" t="n"/>
    </row>
    <row r="1433">
      <c r="A1433" s="8">
        <f>B1433&amp;"_"&amp;C1433</f>
        <v/>
      </c>
      <c r="B1433" s="8" t="n"/>
      <c r="C1433" s="8" t="n"/>
      <c r="D1433" s="8" t="n"/>
      <c r="E1433" s="11" t="n"/>
      <c r="F1433" s="11" t="n"/>
      <c r="G1433" s="8" t="n"/>
      <c r="H1433" s="8" t="n"/>
      <c r="I1433" s="8" t="n"/>
      <c r="J1433" s="8" t="n"/>
      <c r="K1433" s="12">
        <f>IF(OR(ISERROR(VLOOKUP(C1433, Resultados_Reales!$A$4:$I$107, 5, FALSE)), ISERROR(VLOOKUP(C1433, Resultados_Reales!$A$4:$I$107, 6, FALSE)), VLOOKUP(C1433, Resultados_Reales!$A$4:$I$107, 5, FALSE)="", VLOOKUP(C1433, Resultados_Reales!$A$4:$I$107, 6, FALSE)=""), 0, IF(AND(VLOOKUP(C1433, Resultados_Reales!$A$4:$I$107, 5, FALSE)=G1433, VLOOKUP(C1433, Resultados_Reales!$A$4:$I$107, 6, FALSE)=H1433), Configuracion!$B$5, IF(SIGN(VLOOKUP(C1433, Resultados_Reales!$A$4:$I$107, 5, FALSE)-VLOOKUP(C1433, Resultados_Reales!$A$4:$I$107, 6, FALSE)) = SIGN(G1433-H1433), Configuracion!$B$4, 0)))</f>
        <v/>
      </c>
      <c r="L1433" s="11" t="n"/>
      <c r="M1433" s="11" t="n"/>
      <c r="N1433" s="11" t="n"/>
      <c r="O1433" s="11" t="n"/>
      <c r="P1433" s="11" t="n"/>
      <c r="Q1433" s="11" t="n"/>
    </row>
    <row r="1434">
      <c r="A1434" s="8">
        <f>B1434&amp;"_"&amp;C1434</f>
        <v/>
      </c>
      <c r="B1434" s="8" t="n"/>
      <c r="C1434" s="8" t="n"/>
      <c r="D1434" s="8" t="n"/>
      <c r="E1434" s="11" t="n"/>
      <c r="F1434" s="11" t="n"/>
      <c r="G1434" s="8" t="n"/>
      <c r="H1434" s="8" t="n"/>
      <c r="I1434" s="8" t="n"/>
      <c r="J1434" s="8" t="n"/>
      <c r="K1434" s="12">
        <f>IF(OR(ISERROR(VLOOKUP(C1434, Resultados_Reales!$A$4:$I$107, 5, FALSE)), ISERROR(VLOOKUP(C1434, Resultados_Reales!$A$4:$I$107, 6, FALSE)), VLOOKUP(C1434, Resultados_Reales!$A$4:$I$107, 5, FALSE)="", VLOOKUP(C1434, Resultados_Reales!$A$4:$I$107, 6, FALSE)=""), 0, IF(AND(VLOOKUP(C1434, Resultados_Reales!$A$4:$I$107, 5, FALSE)=G1434, VLOOKUP(C1434, Resultados_Reales!$A$4:$I$107, 6, FALSE)=H1434), Configuracion!$B$5, IF(SIGN(VLOOKUP(C1434, Resultados_Reales!$A$4:$I$107, 5, FALSE)-VLOOKUP(C1434, Resultados_Reales!$A$4:$I$107, 6, FALSE)) = SIGN(G1434-H1434), Configuracion!$B$4, 0)))</f>
        <v/>
      </c>
      <c r="L1434" s="11" t="n"/>
      <c r="M1434" s="11" t="n"/>
      <c r="N1434" s="11" t="n"/>
      <c r="O1434" s="11" t="n"/>
      <c r="P1434" s="11" t="n"/>
      <c r="Q1434" s="11" t="n"/>
    </row>
    <row r="1435">
      <c r="A1435" s="8">
        <f>B1435&amp;"_"&amp;C1435</f>
        <v/>
      </c>
      <c r="B1435" s="8" t="n"/>
      <c r="C1435" s="8" t="n"/>
      <c r="D1435" s="8" t="n"/>
      <c r="E1435" s="11" t="n"/>
      <c r="F1435" s="11" t="n"/>
      <c r="G1435" s="8" t="n"/>
      <c r="H1435" s="8" t="n"/>
      <c r="I1435" s="8" t="n"/>
      <c r="J1435" s="8" t="n"/>
      <c r="K1435" s="12">
        <f>IF(OR(ISERROR(VLOOKUP(C1435, Resultados_Reales!$A$4:$I$107, 5, FALSE)), ISERROR(VLOOKUP(C1435, Resultados_Reales!$A$4:$I$107, 6, FALSE)), VLOOKUP(C1435, Resultados_Reales!$A$4:$I$107, 5, FALSE)="", VLOOKUP(C1435, Resultados_Reales!$A$4:$I$107, 6, FALSE)=""), 0, IF(AND(VLOOKUP(C1435, Resultados_Reales!$A$4:$I$107, 5, FALSE)=G1435, VLOOKUP(C1435, Resultados_Reales!$A$4:$I$107, 6, FALSE)=H1435), Configuracion!$B$5, IF(SIGN(VLOOKUP(C1435, Resultados_Reales!$A$4:$I$107, 5, FALSE)-VLOOKUP(C1435, Resultados_Reales!$A$4:$I$107, 6, FALSE)) = SIGN(G1435-H1435), Configuracion!$B$4, 0)))</f>
        <v/>
      </c>
      <c r="L1435" s="11" t="n"/>
      <c r="M1435" s="11" t="n"/>
      <c r="N1435" s="11" t="n"/>
      <c r="O1435" s="11" t="n"/>
      <c r="P1435" s="11" t="n"/>
      <c r="Q1435" s="11" t="n"/>
    </row>
    <row r="1436">
      <c r="A1436" s="8">
        <f>B1436&amp;"_"&amp;C1436</f>
        <v/>
      </c>
      <c r="B1436" s="8" t="n"/>
      <c r="C1436" s="8" t="n"/>
      <c r="D1436" s="8" t="n"/>
      <c r="E1436" s="11" t="n"/>
      <c r="F1436" s="11" t="n"/>
      <c r="G1436" s="8" t="n"/>
      <c r="H1436" s="8" t="n"/>
      <c r="I1436" s="8" t="n"/>
      <c r="J1436" s="8" t="n"/>
      <c r="K1436" s="12">
        <f>IF(OR(ISERROR(VLOOKUP(C1436, Resultados_Reales!$A$4:$I$107, 5, FALSE)), ISERROR(VLOOKUP(C1436, Resultados_Reales!$A$4:$I$107, 6, FALSE)), VLOOKUP(C1436, Resultados_Reales!$A$4:$I$107, 5, FALSE)="", VLOOKUP(C1436, Resultados_Reales!$A$4:$I$107, 6, FALSE)=""), 0, IF(AND(VLOOKUP(C1436, Resultados_Reales!$A$4:$I$107, 5, FALSE)=G1436, VLOOKUP(C1436, Resultados_Reales!$A$4:$I$107, 6, FALSE)=H1436), Configuracion!$B$5, IF(SIGN(VLOOKUP(C1436, Resultados_Reales!$A$4:$I$107, 5, FALSE)-VLOOKUP(C1436, Resultados_Reales!$A$4:$I$107, 6, FALSE)) = SIGN(G1436-H1436), Configuracion!$B$4, 0)))</f>
        <v/>
      </c>
      <c r="L1436" s="11" t="n"/>
      <c r="M1436" s="11" t="n"/>
      <c r="N1436" s="11" t="n"/>
      <c r="O1436" s="11" t="n"/>
      <c r="P1436" s="11" t="n"/>
      <c r="Q1436" s="11" t="n"/>
    </row>
    <row r="1437">
      <c r="A1437" s="8">
        <f>B1437&amp;"_"&amp;C1437</f>
        <v/>
      </c>
      <c r="B1437" s="8" t="n"/>
      <c r="C1437" s="8" t="n"/>
      <c r="D1437" s="8" t="n"/>
      <c r="E1437" s="11" t="n"/>
      <c r="F1437" s="11" t="n"/>
      <c r="G1437" s="8" t="n"/>
      <c r="H1437" s="8" t="n"/>
      <c r="I1437" s="8" t="n"/>
      <c r="J1437" s="8" t="n"/>
      <c r="K1437" s="12">
        <f>IF(OR(ISERROR(VLOOKUP(C1437, Resultados_Reales!$A$4:$I$107, 5, FALSE)), ISERROR(VLOOKUP(C1437, Resultados_Reales!$A$4:$I$107, 6, FALSE)), VLOOKUP(C1437, Resultados_Reales!$A$4:$I$107, 5, FALSE)="", VLOOKUP(C1437, Resultados_Reales!$A$4:$I$107, 6, FALSE)=""), 0, IF(AND(VLOOKUP(C1437, Resultados_Reales!$A$4:$I$107, 5, FALSE)=G1437, VLOOKUP(C1437, Resultados_Reales!$A$4:$I$107, 6, FALSE)=H1437), Configuracion!$B$5, IF(SIGN(VLOOKUP(C1437, Resultados_Reales!$A$4:$I$107, 5, FALSE)-VLOOKUP(C1437, Resultados_Reales!$A$4:$I$107, 6, FALSE)) = SIGN(G1437-H1437), Configuracion!$B$4, 0)))</f>
        <v/>
      </c>
      <c r="L1437" s="11" t="n"/>
      <c r="M1437" s="11" t="n"/>
      <c r="N1437" s="11" t="n"/>
      <c r="O1437" s="11" t="n"/>
      <c r="P1437" s="11" t="n"/>
      <c r="Q1437" s="11" t="n"/>
    </row>
    <row r="1438">
      <c r="A1438" s="8">
        <f>B1438&amp;"_"&amp;C1438</f>
        <v/>
      </c>
      <c r="B1438" s="8" t="n"/>
      <c r="C1438" s="8" t="n"/>
      <c r="D1438" s="8" t="n"/>
      <c r="E1438" s="11" t="n"/>
      <c r="F1438" s="11" t="n"/>
      <c r="G1438" s="8" t="n"/>
      <c r="H1438" s="8" t="n"/>
      <c r="I1438" s="8" t="n"/>
      <c r="J1438" s="8" t="n"/>
      <c r="K1438" s="12">
        <f>IF(OR(ISERROR(VLOOKUP(C1438, Resultados_Reales!$A$4:$I$107, 5, FALSE)), ISERROR(VLOOKUP(C1438, Resultados_Reales!$A$4:$I$107, 6, FALSE)), VLOOKUP(C1438, Resultados_Reales!$A$4:$I$107, 5, FALSE)="", VLOOKUP(C1438, Resultados_Reales!$A$4:$I$107, 6, FALSE)=""), 0, IF(AND(VLOOKUP(C1438, Resultados_Reales!$A$4:$I$107, 5, FALSE)=G1438, VLOOKUP(C1438, Resultados_Reales!$A$4:$I$107, 6, FALSE)=H1438), Configuracion!$B$5, IF(SIGN(VLOOKUP(C1438, Resultados_Reales!$A$4:$I$107, 5, FALSE)-VLOOKUP(C1438, Resultados_Reales!$A$4:$I$107, 6, FALSE)) = SIGN(G1438-H1438), Configuracion!$B$4, 0)))</f>
        <v/>
      </c>
      <c r="L1438" s="11" t="n"/>
      <c r="M1438" s="11" t="n"/>
      <c r="N1438" s="11" t="n"/>
      <c r="O1438" s="11" t="n"/>
      <c r="P1438" s="11" t="n"/>
      <c r="Q1438" s="11" t="n"/>
    </row>
    <row r="1439">
      <c r="A1439" s="8">
        <f>B1439&amp;"_"&amp;C1439</f>
        <v/>
      </c>
      <c r="B1439" s="8" t="n"/>
      <c r="C1439" s="8" t="n"/>
      <c r="D1439" s="8" t="n"/>
      <c r="E1439" s="11" t="n"/>
      <c r="F1439" s="11" t="n"/>
      <c r="G1439" s="8" t="n"/>
      <c r="H1439" s="8" t="n"/>
      <c r="I1439" s="8" t="n"/>
      <c r="J1439" s="8" t="n"/>
      <c r="K1439" s="12">
        <f>IF(OR(ISERROR(VLOOKUP(C1439, Resultados_Reales!$A$4:$I$107, 5, FALSE)), ISERROR(VLOOKUP(C1439, Resultados_Reales!$A$4:$I$107, 6, FALSE)), VLOOKUP(C1439, Resultados_Reales!$A$4:$I$107, 5, FALSE)="", VLOOKUP(C1439, Resultados_Reales!$A$4:$I$107, 6, FALSE)=""), 0, IF(AND(VLOOKUP(C1439, Resultados_Reales!$A$4:$I$107, 5, FALSE)=G1439, VLOOKUP(C1439, Resultados_Reales!$A$4:$I$107, 6, FALSE)=H1439), Configuracion!$B$5, IF(SIGN(VLOOKUP(C1439, Resultados_Reales!$A$4:$I$107, 5, FALSE)-VLOOKUP(C1439, Resultados_Reales!$A$4:$I$107, 6, FALSE)) = SIGN(G1439-H1439), Configuracion!$B$4, 0)))</f>
        <v/>
      </c>
      <c r="L1439" s="11" t="n"/>
      <c r="M1439" s="11" t="n"/>
      <c r="N1439" s="11" t="n"/>
      <c r="O1439" s="11" t="n"/>
      <c r="P1439" s="11" t="n"/>
      <c r="Q1439" s="11" t="n"/>
    </row>
    <row r="1440">
      <c r="A1440" s="8">
        <f>B1440&amp;"_"&amp;C1440</f>
        <v/>
      </c>
      <c r="B1440" s="8" t="n"/>
      <c r="C1440" s="8" t="n"/>
      <c r="D1440" s="8" t="n"/>
      <c r="E1440" s="11" t="n"/>
      <c r="F1440" s="11" t="n"/>
      <c r="G1440" s="8" t="n"/>
      <c r="H1440" s="8" t="n"/>
      <c r="I1440" s="8" t="n"/>
      <c r="J1440" s="8" t="n"/>
      <c r="K1440" s="12">
        <f>IF(OR(ISERROR(VLOOKUP(C1440, Resultados_Reales!$A$4:$I$107, 5, FALSE)), ISERROR(VLOOKUP(C1440, Resultados_Reales!$A$4:$I$107, 6, FALSE)), VLOOKUP(C1440, Resultados_Reales!$A$4:$I$107, 5, FALSE)="", VLOOKUP(C1440, Resultados_Reales!$A$4:$I$107, 6, FALSE)=""), 0, IF(AND(VLOOKUP(C1440, Resultados_Reales!$A$4:$I$107, 5, FALSE)=G1440, VLOOKUP(C1440, Resultados_Reales!$A$4:$I$107, 6, FALSE)=H1440), Configuracion!$B$5, IF(SIGN(VLOOKUP(C1440, Resultados_Reales!$A$4:$I$107, 5, FALSE)-VLOOKUP(C1440, Resultados_Reales!$A$4:$I$107, 6, FALSE)) = SIGN(G1440-H1440), Configuracion!$B$4, 0)))</f>
        <v/>
      </c>
      <c r="L1440" s="11" t="n"/>
      <c r="M1440" s="11" t="n"/>
      <c r="N1440" s="11" t="n"/>
      <c r="O1440" s="11" t="n"/>
      <c r="P1440" s="11" t="n"/>
      <c r="Q1440" s="11" t="n"/>
    </row>
    <row r="1441">
      <c r="A1441" s="8">
        <f>B1441&amp;"_"&amp;C1441</f>
        <v/>
      </c>
      <c r="B1441" s="8" t="n"/>
      <c r="C1441" s="8" t="n"/>
      <c r="D1441" s="8" t="n"/>
      <c r="E1441" s="11" t="n"/>
      <c r="F1441" s="11" t="n"/>
      <c r="G1441" s="8" t="n"/>
      <c r="H1441" s="8" t="n"/>
      <c r="I1441" s="8" t="n"/>
      <c r="J1441" s="8" t="n"/>
      <c r="K1441" s="12">
        <f>IF(OR(ISERROR(VLOOKUP(C1441, Resultados_Reales!$A$4:$I$107, 5, FALSE)), ISERROR(VLOOKUP(C1441, Resultados_Reales!$A$4:$I$107, 6, FALSE)), VLOOKUP(C1441, Resultados_Reales!$A$4:$I$107, 5, FALSE)="", VLOOKUP(C1441, Resultados_Reales!$A$4:$I$107, 6, FALSE)=""), 0, IF(AND(VLOOKUP(C1441, Resultados_Reales!$A$4:$I$107, 5, FALSE)=G1441, VLOOKUP(C1441, Resultados_Reales!$A$4:$I$107, 6, FALSE)=H1441), Configuracion!$B$5, IF(SIGN(VLOOKUP(C1441, Resultados_Reales!$A$4:$I$107, 5, FALSE)-VLOOKUP(C1441, Resultados_Reales!$A$4:$I$107, 6, FALSE)) = SIGN(G1441-H1441), Configuracion!$B$4, 0)))</f>
        <v/>
      </c>
      <c r="L1441" s="11" t="n"/>
      <c r="M1441" s="11" t="n"/>
      <c r="N1441" s="11" t="n"/>
      <c r="O1441" s="11" t="n"/>
      <c r="P1441" s="11" t="n"/>
      <c r="Q1441" s="11" t="n"/>
    </row>
    <row r="1442">
      <c r="A1442" s="8">
        <f>B1442&amp;"_"&amp;C1442</f>
        <v/>
      </c>
      <c r="B1442" s="8" t="n"/>
      <c r="C1442" s="8" t="n"/>
      <c r="D1442" s="8" t="n"/>
      <c r="E1442" s="11" t="n"/>
      <c r="F1442" s="11" t="n"/>
      <c r="G1442" s="8" t="n"/>
      <c r="H1442" s="8" t="n"/>
      <c r="I1442" s="8" t="n"/>
      <c r="J1442" s="8" t="n"/>
      <c r="K1442" s="12">
        <f>IF(OR(ISERROR(VLOOKUP(C1442, Resultados_Reales!$A$4:$I$107, 5, FALSE)), ISERROR(VLOOKUP(C1442, Resultados_Reales!$A$4:$I$107, 6, FALSE)), VLOOKUP(C1442, Resultados_Reales!$A$4:$I$107, 5, FALSE)="", VLOOKUP(C1442, Resultados_Reales!$A$4:$I$107, 6, FALSE)=""), 0, IF(AND(VLOOKUP(C1442, Resultados_Reales!$A$4:$I$107, 5, FALSE)=G1442, VLOOKUP(C1442, Resultados_Reales!$A$4:$I$107, 6, FALSE)=H1442), Configuracion!$B$5, IF(SIGN(VLOOKUP(C1442, Resultados_Reales!$A$4:$I$107, 5, FALSE)-VLOOKUP(C1442, Resultados_Reales!$A$4:$I$107, 6, FALSE)) = SIGN(G1442-H1442), Configuracion!$B$4, 0)))</f>
        <v/>
      </c>
      <c r="L1442" s="11" t="n"/>
      <c r="M1442" s="11" t="n"/>
      <c r="N1442" s="11" t="n"/>
      <c r="O1442" s="11" t="n"/>
      <c r="P1442" s="11" t="n"/>
      <c r="Q1442" s="11" t="n"/>
    </row>
    <row r="1443">
      <c r="A1443" s="8">
        <f>B1443&amp;"_"&amp;C1443</f>
        <v/>
      </c>
      <c r="B1443" s="8" t="n"/>
      <c r="C1443" s="8" t="n"/>
      <c r="D1443" s="8" t="n"/>
      <c r="E1443" s="11" t="n"/>
      <c r="F1443" s="11" t="n"/>
      <c r="G1443" s="8" t="n"/>
      <c r="H1443" s="8" t="n"/>
      <c r="I1443" s="8" t="n"/>
      <c r="J1443" s="8" t="n"/>
      <c r="K1443" s="12">
        <f>IF(OR(ISERROR(VLOOKUP(C1443, Resultados_Reales!$A$4:$I$107, 5, FALSE)), ISERROR(VLOOKUP(C1443, Resultados_Reales!$A$4:$I$107, 6, FALSE)), VLOOKUP(C1443, Resultados_Reales!$A$4:$I$107, 5, FALSE)="", VLOOKUP(C1443, Resultados_Reales!$A$4:$I$107, 6, FALSE)=""), 0, IF(AND(VLOOKUP(C1443, Resultados_Reales!$A$4:$I$107, 5, FALSE)=G1443, VLOOKUP(C1443, Resultados_Reales!$A$4:$I$107, 6, FALSE)=H1443), Configuracion!$B$5, IF(SIGN(VLOOKUP(C1443, Resultados_Reales!$A$4:$I$107, 5, FALSE)-VLOOKUP(C1443, Resultados_Reales!$A$4:$I$107, 6, FALSE)) = SIGN(G1443-H1443), Configuracion!$B$4, 0)))</f>
        <v/>
      </c>
      <c r="L1443" s="11" t="n"/>
      <c r="M1443" s="11" t="n"/>
      <c r="N1443" s="11" t="n"/>
      <c r="O1443" s="11" t="n"/>
      <c r="P1443" s="11" t="n"/>
      <c r="Q1443" s="11" t="n"/>
    </row>
    <row r="1444">
      <c r="A1444" s="8">
        <f>B1444&amp;"_"&amp;C1444</f>
        <v/>
      </c>
      <c r="B1444" s="8" t="n"/>
      <c r="C1444" s="8" t="n"/>
      <c r="D1444" s="8" t="n"/>
      <c r="E1444" s="11" t="n"/>
      <c r="F1444" s="11" t="n"/>
      <c r="G1444" s="8" t="n"/>
      <c r="H1444" s="8" t="n"/>
      <c r="I1444" s="8" t="n"/>
      <c r="J1444" s="8" t="n"/>
      <c r="K1444" s="12">
        <f>IF(OR(ISERROR(VLOOKUP(C1444, Resultados_Reales!$A$4:$I$107, 5, FALSE)), ISERROR(VLOOKUP(C1444, Resultados_Reales!$A$4:$I$107, 6, FALSE)), VLOOKUP(C1444, Resultados_Reales!$A$4:$I$107, 5, FALSE)="", VLOOKUP(C1444, Resultados_Reales!$A$4:$I$107, 6, FALSE)=""), 0, IF(AND(VLOOKUP(C1444, Resultados_Reales!$A$4:$I$107, 5, FALSE)=G1444, VLOOKUP(C1444, Resultados_Reales!$A$4:$I$107, 6, FALSE)=H1444), Configuracion!$B$5, IF(SIGN(VLOOKUP(C1444, Resultados_Reales!$A$4:$I$107, 5, FALSE)-VLOOKUP(C1444, Resultados_Reales!$A$4:$I$107, 6, FALSE)) = SIGN(G1444-H1444), Configuracion!$B$4, 0)))</f>
        <v/>
      </c>
      <c r="L1444" s="11" t="n"/>
      <c r="M1444" s="11" t="n"/>
      <c r="N1444" s="11" t="n"/>
      <c r="O1444" s="11" t="n"/>
      <c r="P1444" s="11" t="n"/>
      <c r="Q1444" s="11" t="n"/>
    </row>
    <row r="1445">
      <c r="A1445" s="8">
        <f>B1445&amp;"_"&amp;C1445</f>
        <v/>
      </c>
      <c r="B1445" s="8" t="n"/>
      <c r="C1445" s="8" t="n"/>
      <c r="D1445" s="8" t="n"/>
      <c r="E1445" s="11" t="n"/>
      <c r="F1445" s="11" t="n"/>
      <c r="G1445" s="8" t="n"/>
      <c r="H1445" s="8" t="n"/>
      <c r="I1445" s="8" t="n"/>
      <c r="J1445" s="8" t="n"/>
      <c r="K1445" s="12">
        <f>IF(OR(ISERROR(VLOOKUP(C1445, Resultados_Reales!$A$4:$I$107, 5, FALSE)), ISERROR(VLOOKUP(C1445, Resultados_Reales!$A$4:$I$107, 6, FALSE)), VLOOKUP(C1445, Resultados_Reales!$A$4:$I$107, 5, FALSE)="", VLOOKUP(C1445, Resultados_Reales!$A$4:$I$107, 6, FALSE)=""), 0, IF(AND(VLOOKUP(C1445, Resultados_Reales!$A$4:$I$107, 5, FALSE)=G1445, VLOOKUP(C1445, Resultados_Reales!$A$4:$I$107, 6, FALSE)=H1445), Configuracion!$B$5, IF(SIGN(VLOOKUP(C1445, Resultados_Reales!$A$4:$I$107, 5, FALSE)-VLOOKUP(C1445, Resultados_Reales!$A$4:$I$107, 6, FALSE)) = SIGN(G1445-H1445), Configuracion!$B$4, 0)))</f>
        <v/>
      </c>
      <c r="L1445" s="11" t="n"/>
      <c r="M1445" s="11" t="n"/>
      <c r="N1445" s="11" t="n"/>
      <c r="O1445" s="11" t="n"/>
      <c r="P1445" s="11" t="n"/>
      <c r="Q1445" s="11" t="n"/>
    </row>
    <row r="1446">
      <c r="A1446" s="8">
        <f>B1446&amp;"_"&amp;C1446</f>
        <v/>
      </c>
      <c r="B1446" s="8" t="n"/>
      <c r="C1446" s="8" t="n"/>
      <c r="D1446" s="8" t="n"/>
      <c r="E1446" s="11" t="n"/>
      <c r="F1446" s="11" t="n"/>
      <c r="G1446" s="8" t="n"/>
      <c r="H1446" s="8" t="n"/>
      <c r="I1446" s="8" t="n"/>
      <c r="J1446" s="8" t="n"/>
      <c r="K1446" s="12">
        <f>IF(OR(ISERROR(VLOOKUP(C1446, Resultados_Reales!$A$4:$I$107, 5, FALSE)), ISERROR(VLOOKUP(C1446, Resultados_Reales!$A$4:$I$107, 6, FALSE)), VLOOKUP(C1446, Resultados_Reales!$A$4:$I$107, 5, FALSE)="", VLOOKUP(C1446, Resultados_Reales!$A$4:$I$107, 6, FALSE)=""), 0, IF(AND(VLOOKUP(C1446, Resultados_Reales!$A$4:$I$107, 5, FALSE)=G1446, VLOOKUP(C1446, Resultados_Reales!$A$4:$I$107, 6, FALSE)=H1446), Configuracion!$B$5, IF(SIGN(VLOOKUP(C1446, Resultados_Reales!$A$4:$I$107, 5, FALSE)-VLOOKUP(C1446, Resultados_Reales!$A$4:$I$107, 6, FALSE)) = SIGN(G1446-H1446), Configuracion!$B$4, 0)))</f>
        <v/>
      </c>
      <c r="L1446" s="11" t="n"/>
      <c r="M1446" s="11" t="n"/>
      <c r="N1446" s="11" t="n"/>
      <c r="O1446" s="11" t="n"/>
      <c r="P1446" s="11" t="n"/>
      <c r="Q1446" s="11" t="n"/>
    </row>
    <row r="1447">
      <c r="A1447" s="8">
        <f>B1447&amp;"_"&amp;C1447</f>
        <v/>
      </c>
      <c r="B1447" s="8" t="n"/>
      <c r="C1447" s="8" t="n"/>
      <c r="D1447" s="8" t="n"/>
      <c r="E1447" s="11" t="n"/>
      <c r="F1447" s="11" t="n"/>
      <c r="G1447" s="8" t="n"/>
      <c r="H1447" s="8" t="n"/>
      <c r="I1447" s="8" t="n"/>
      <c r="J1447" s="8" t="n"/>
      <c r="K1447" s="12">
        <f>IF(OR(ISERROR(VLOOKUP(C1447, Resultados_Reales!$A$4:$I$107, 5, FALSE)), ISERROR(VLOOKUP(C1447, Resultados_Reales!$A$4:$I$107, 6, FALSE)), VLOOKUP(C1447, Resultados_Reales!$A$4:$I$107, 5, FALSE)="", VLOOKUP(C1447, Resultados_Reales!$A$4:$I$107, 6, FALSE)=""), 0, IF(AND(VLOOKUP(C1447, Resultados_Reales!$A$4:$I$107, 5, FALSE)=G1447, VLOOKUP(C1447, Resultados_Reales!$A$4:$I$107, 6, FALSE)=H1447), Configuracion!$B$5, IF(SIGN(VLOOKUP(C1447, Resultados_Reales!$A$4:$I$107, 5, FALSE)-VLOOKUP(C1447, Resultados_Reales!$A$4:$I$107, 6, FALSE)) = SIGN(G1447-H1447), Configuracion!$B$4, 0)))</f>
        <v/>
      </c>
      <c r="L1447" s="11" t="n"/>
      <c r="M1447" s="11" t="n"/>
      <c r="N1447" s="11" t="n"/>
      <c r="O1447" s="11" t="n"/>
      <c r="P1447" s="11" t="n"/>
      <c r="Q1447" s="11" t="n"/>
    </row>
    <row r="1448">
      <c r="A1448" s="8">
        <f>B1448&amp;"_"&amp;C1448</f>
        <v/>
      </c>
      <c r="B1448" s="8" t="n"/>
      <c r="C1448" s="8" t="n"/>
      <c r="D1448" s="8" t="n"/>
      <c r="E1448" s="11" t="n"/>
      <c r="F1448" s="11" t="n"/>
      <c r="G1448" s="8" t="n"/>
      <c r="H1448" s="8" t="n"/>
      <c r="I1448" s="8" t="n"/>
      <c r="J1448" s="8" t="n"/>
      <c r="K1448" s="12">
        <f>IF(OR(ISERROR(VLOOKUP(C1448, Resultados_Reales!$A$4:$I$107, 5, FALSE)), ISERROR(VLOOKUP(C1448, Resultados_Reales!$A$4:$I$107, 6, FALSE)), VLOOKUP(C1448, Resultados_Reales!$A$4:$I$107, 5, FALSE)="", VLOOKUP(C1448, Resultados_Reales!$A$4:$I$107, 6, FALSE)=""), 0, IF(AND(VLOOKUP(C1448, Resultados_Reales!$A$4:$I$107, 5, FALSE)=G1448, VLOOKUP(C1448, Resultados_Reales!$A$4:$I$107, 6, FALSE)=H1448), Configuracion!$B$5, IF(SIGN(VLOOKUP(C1448, Resultados_Reales!$A$4:$I$107, 5, FALSE)-VLOOKUP(C1448, Resultados_Reales!$A$4:$I$107, 6, FALSE)) = SIGN(G1448-H1448), Configuracion!$B$4, 0)))</f>
        <v/>
      </c>
      <c r="L1448" s="11" t="n"/>
      <c r="M1448" s="11" t="n"/>
      <c r="N1448" s="11" t="n"/>
      <c r="O1448" s="11" t="n"/>
      <c r="P1448" s="11" t="n"/>
      <c r="Q1448" s="11" t="n"/>
    </row>
    <row r="1449">
      <c r="A1449" s="8">
        <f>B1449&amp;"_"&amp;C1449</f>
        <v/>
      </c>
      <c r="B1449" s="8" t="n"/>
      <c r="C1449" s="8" t="n"/>
      <c r="D1449" s="8" t="n"/>
      <c r="E1449" s="11" t="n"/>
      <c r="F1449" s="11" t="n"/>
      <c r="G1449" s="8" t="n"/>
      <c r="H1449" s="8" t="n"/>
      <c r="I1449" s="8" t="n"/>
      <c r="J1449" s="8" t="n"/>
      <c r="K1449" s="12">
        <f>IF(OR(ISERROR(VLOOKUP(C1449, Resultados_Reales!$A$4:$I$107, 5, FALSE)), ISERROR(VLOOKUP(C1449, Resultados_Reales!$A$4:$I$107, 6, FALSE)), VLOOKUP(C1449, Resultados_Reales!$A$4:$I$107, 5, FALSE)="", VLOOKUP(C1449, Resultados_Reales!$A$4:$I$107, 6, FALSE)=""), 0, IF(AND(VLOOKUP(C1449, Resultados_Reales!$A$4:$I$107, 5, FALSE)=G1449, VLOOKUP(C1449, Resultados_Reales!$A$4:$I$107, 6, FALSE)=H1449), Configuracion!$B$5, IF(SIGN(VLOOKUP(C1449, Resultados_Reales!$A$4:$I$107, 5, FALSE)-VLOOKUP(C1449, Resultados_Reales!$A$4:$I$107, 6, FALSE)) = SIGN(G1449-H1449), Configuracion!$B$4, 0)))</f>
        <v/>
      </c>
      <c r="L1449" s="11" t="n"/>
      <c r="M1449" s="11" t="n"/>
      <c r="N1449" s="11" t="n"/>
      <c r="O1449" s="11" t="n"/>
      <c r="P1449" s="11" t="n"/>
      <c r="Q1449" s="11" t="n"/>
    </row>
    <row r="1450">
      <c r="A1450" s="8">
        <f>B1450&amp;"_"&amp;C1450</f>
        <v/>
      </c>
      <c r="B1450" s="8" t="n"/>
      <c r="C1450" s="8" t="n"/>
      <c r="D1450" s="8" t="n"/>
      <c r="E1450" s="11" t="n"/>
      <c r="F1450" s="11" t="n"/>
      <c r="G1450" s="8" t="n"/>
      <c r="H1450" s="8" t="n"/>
      <c r="I1450" s="8" t="n"/>
      <c r="J1450" s="8" t="n"/>
      <c r="K1450" s="12">
        <f>IF(OR(ISERROR(VLOOKUP(C1450, Resultados_Reales!$A$4:$I$107, 5, FALSE)), ISERROR(VLOOKUP(C1450, Resultados_Reales!$A$4:$I$107, 6, FALSE)), VLOOKUP(C1450, Resultados_Reales!$A$4:$I$107, 5, FALSE)="", VLOOKUP(C1450, Resultados_Reales!$A$4:$I$107, 6, FALSE)=""), 0, IF(AND(VLOOKUP(C1450, Resultados_Reales!$A$4:$I$107, 5, FALSE)=G1450, VLOOKUP(C1450, Resultados_Reales!$A$4:$I$107, 6, FALSE)=H1450), Configuracion!$B$5, IF(SIGN(VLOOKUP(C1450, Resultados_Reales!$A$4:$I$107, 5, FALSE)-VLOOKUP(C1450, Resultados_Reales!$A$4:$I$107, 6, FALSE)) = SIGN(G1450-H1450), Configuracion!$B$4, 0)))</f>
        <v/>
      </c>
      <c r="L1450" s="11" t="n"/>
      <c r="M1450" s="11" t="n"/>
      <c r="N1450" s="11" t="n"/>
      <c r="O1450" s="11" t="n"/>
      <c r="P1450" s="11" t="n"/>
      <c r="Q1450" s="11" t="n"/>
    </row>
    <row r="1451">
      <c r="A1451" s="8">
        <f>B1451&amp;"_"&amp;C1451</f>
        <v/>
      </c>
      <c r="B1451" s="8" t="n"/>
      <c r="C1451" s="8" t="n"/>
      <c r="D1451" s="8" t="n"/>
      <c r="E1451" s="11" t="n"/>
      <c r="F1451" s="11" t="n"/>
      <c r="G1451" s="8" t="n"/>
      <c r="H1451" s="8" t="n"/>
      <c r="I1451" s="8" t="n"/>
      <c r="J1451" s="8" t="n"/>
      <c r="K1451" s="12">
        <f>IF(OR(ISERROR(VLOOKUP(C1451, Resultados_Reales!$A$4:$I$107, 5, FALSE)), ISERROR(VLOOKUP(C1451, Resultados_Reales!$A$4:$I$107, 6, FALSE)), VLOOKUP(C1451, Resultados_Reales!$A$4:$I$107, 5, FALSE)="", VLOOKUP(C1451, Resultados_Reales!$A$4:$I$107, 6, FALSE)=""), 0, IF(AND(VLOOKUP(C1451, Resultados_Reales!$A$4:$I$107, 5, FALSE)=G1451, VLOOKUP(C1451, Resultados_Reales!$A$4:$I$107, 6, FALSE)=H1451), Configuracion!$B$5, IF(SIGN(VLOOKUP(C1451, Resultados_Reales!$A$4:$I$107, 5, FALSE)-VLOOKUP(C1451, Resultados_Reales!$A$4:$I$107, 6, FALSE)) = SIGN(G1451-H1451), Configuracion!$B$4, 0)))</f>
        <v/>
      </c>
      <c r="L1451" s="11" t="n"/>
      <c r="M1451" s="11" t="n"/>
      <c r="N1451" s="11" t="n"/>
      <c r="O1451" s="11" t="n"/>
      <c r="P1451" s="11" t="n"/>
      <c r="Q1451" s="11" t="n"/>
    </row>
    <row r="1452">
      <c r="A1452" s="8">
        <f>B1452&amp;"_"&amp;C1452</f>
        <v/>
      </c>
      <c r="B1452" s="8" t="n"/>
      <c r="C1452" s="8" t="n"/>
      <c r="D1452" s="8" t="n"/>
      <c r="E1452" s="11" t="n"/>
      <c r="F1452" s="11" t="n"/>
      <c r="G1452" s="8" t="n"/>
      <c r="H1452" s="8" t="n"/>
      <c r="I1452" s="8" t="n"/>
      <c r="J1452" s="8" t="n"/>
      <c r="K1452" s="12">
        <f>IF(OR(ISERROR(VLOOKUP(C1452, Resultados_Reales!$A$4:$I$107, 5, FALSE)), ISERROR(VLOOKUP(C1452, Resultados_Reales!$A$4:$I$107, 6, FALSE)), VLOOKUP(C1452, Resultados_Reales!$A$4:$I$107, 5, FALSE)="", VLOOKUP(C1452, Resultados_Reales!$A$4:$I$107, 6, FALSE)=""), 0, IF(AND(VLOOKUP(C1452, Resultados_Reales!$A$4:$I$107, 5, FALSE)=G1452, VLOOKUP(C1452, Resultados_Reales!$A$4:$I$107, 6, FALSE)=H1452), Configuracion!$B$5, IF(SIGN(VLOOKUP(C1452, Resultados_Reales!$A$4:$I$107, 5, FALSE)-VLOOKUP(C1452, Resultados_Reales!$A$4:$I$107, 6, FALSE)) = SIGN(G1452-H1452), Configuracion!$B$4, 0)))</f>
        <v/>
      </c>
      <c r="L1452" s="11" t="n"/>
      <c r="M1452" s="11" t="n"/>
      <c r="N1452" s="11" t="n"/>
      <c r="O1452" s="11" t="n"/>
      <c r="P1452" s="11" t="n"/>
      <c r="Q1452" s="11" t="n"/>
    </row>
    <row r="1453">
      <c r="A1453" s="8">
        <f>B1453&amp;"_"&amp;C1453</f>
        <v/>
      </c>
      <c r="B1453" s="8" t="n"/>
      <c r="C1453" s="8" t="n"/>
      <c r="D1453" s="8" t="n"/>
      <c r="E1453" s="11" t="n"/>
      <c r="F1453" s="11" t="n"/>
      <c r="G1453" s="8" t="n"/>
      <c r="H1453" s="8" t="n"/>
      <c r="I1453" s="8" t="n"/>
      <c r="J1453" s="8" t="n"/>
      <c r="K1453" s="12">
        <f>IF(OR(ISERROR(VLOOKUP(C1453, Resultados_Reales!$A$4:$I$107, 5, FALSE)), ISERROR(VLOOKUP(C1453, Resultados_Reales!$A$4:$I$107, 6, FALSE)), VLOOKUP(C1453, Resultados_Reales!$A$4:$I$107, 5, FALSE)="", VLOOKUP(C1453, Resultados_Reales!$A$4:$I$107, 6, FALSE)=""), 0, IF(AND(VLOOKUP(C1453, Resultados_Reales!$A$4:$I$107, 5, FALSE)=G1453, VLOOKUP(C1453, Resultados_Reales!$A$4:$I$107, 6, FALSE)=H1453), Configuracion!$B$5, IF(SIGN(VLOOKUP(C1453, Resultados_Reales!$A$4:$I$107, 5, FALSE)-VLOOKUP(C1453, Resultados_Reales!$A$4:$I$107, 6, FALSE)) = SIGN(G1453-H1453), Configuracion!$B$4, 0)))</f>
        <v/>
      </c>
      <c r="L1453" s="11" t="n"/>
      <c r="M1453" s="11" t="n"/>
      <c r="N1453" s="11" t="n"/>
      <c r="O1453" s="11" t="n"/>
      <c r="P1453" s="11" t="n"/>
      <c r="Q1453" s="11" t="n"/>
    </row>
    <row r="1454">
      <c r="A1454" s="8">
        <f>B1454&amp;"_"&amp;C1454</f>
        <v/>
      </c>
      <c r="B1454" s="8" t="n"/>
      <c r="C1454" s="8" t="n"/>
      <c r="D1454" s="8" t="n"/>
      <c r="E1454" s="11" t="n"/>
      <c r="F1454" s="11" t="n"/>
      <c r="G1454" s="8" t="n"/>
      <c r="H1454" s="8" t="n"/>
      <c r="I1454" s="8" t="n"/>
      <c r="J1454" s="8" t="n"/>
      <c r="K1454" s="12">
        <f>IF(OR(ISERROR(VLOOKUP(C1454, Resultados_Reales!$A$4:$I$107, 5, FALSE)), ISERROR(VLOOKUP(C1454, Resultados_Reales!$A$4:$I$107, 6, FALSE)), VLOOKUP(C1454, Resultados_Reales!$A$4:$I$107, 5, FALSE)="", VLOOKUP(C1454, Resultados_Reales!$A$4:$I$107, 6, FALSE)=""), 0, IF(AND(VLOOKUP(C1454, Resultados_Reales!$A$4:$I$107, 5, FALSE)=G1454, VLOOKUP(C1454, Resultados_Reales!$A$4:$I$107, 6, FALSE)=H1454), Configuracion!$B$5, IF(SIGN(VLOOKUP(C1454, Resultados_Reales!$A$4:$I$107, 5, FALSE)-VLOOKUP(C1454, Resultados_Reales!$A$4:$I$107, 6, FALSE)) = SIGN(G1454-H1454), Configuracion!$B$4, 0)))</f>
        <v/>
      </c>
      <c r="L1454" s="11" t="n"/>
      <c r="M1454" s="11" t="n"/>
      <c r="N1454" s="11" t="n"/>
      <c r="O1454" s="11" t="n"/>
      <c r="P1454" s="11" t="n"/>
      <c r="Q1454" s="11" t="n"/>
    </row>
    <row r="1455">
      <c r="A1455" s="8">
        <f>B1455&amp;"_"&amp;C1455</f>
        <v/>
      </c>
      <c r="B1455" s="8" t="n"/>
      <c r="C1455" s="8" t="n"/>
      <c r="D1455" s="8" t="n"/>
      <c r="E1455" s="11" t="n"/>
      <c r="F1455" s="11" t="n"/>
      <c r="G1455" s="8" t="n"/>
      <c r="H1455" s="8" t="n"/>
      <c r="I1455" s="8" t="n"/>
      <c r="J1455" s="8" t="n"/>
      <c r="K1455" s="12">
        <f>IF(OR(ISERROR(VLOOKUP(C1455, Resultados_Reales!$A$4:$I$107, 5, FALSE)), ISERROR(VLOOKUP(C1455, Resultados_Reales!$A$4:$I$107, 6, FALSE)), VLOOKUP(C1455, Resultados_Reales!$A$4:$I$107, 5, FALSE)="", VLOOKUP(C1455, Resultados_Reales!$A$4:$I$107, 6, FALSE)=""), 0, IF(AND(VLOOKUP(C1455, Resultados_Reales!$A$4:$I$107, 5, FALSE)=G1455, VLOOKUP(C1455, Resultados_Reales!$A$4:$I$107, 6, FALSE)=H1455), Configuracion!$B$5, IF(SIGN(VLOOKUP(C1455, Resultados_Reales!$A$4:$I$107, 5, FALSE)-VLOOKUP(C1455, Resultados_Reales!$A$4:$I$107, 6, FALSE)) = SIGN(G1455-H1455), Configuracion!$B$4, 0)))</f>
        <v/>
      </c>
      <c r="L1455" s="11" t="n"/>
      <c r="M1455" s="11" t="n"/>
      <c r="N1455" s="11" t="n"/>
      <c r="O1455" s="11" t="n"/>
      <c r="P1455" s="11" t="n"/>
      <c r="Q1455" s="11" t="n"/>
    </row>
    <row r="1456">
      <c r="A1456" s="8">
        <f>B1456&amp;"_"&amp;C1456</f>
        <v/>
      </c>
      <c r="B1456" s="8" t="n"/>
      <c r="C1456" s="8" t="n"/>
      <c r="D1456" s="8" t="n"/>
      <c r="E1456" s="11" t="n"/>
      <c r="F1456" s="11" t="n"/>
      <c r="G1456" s="8" t="n"/>
      <c r="H1456" s="8" t="n"/>
      <c r="I1456" s="8" t="n"/>
      <c r="J1456" s="8" t="n"/>
      <c r="K1456" s="12">
        <f>IF(OR(ISERROR(VLOOKUP(C1456, Resultados_Reales!$A$4:$I$107, 5, FALSE)), ISERROR(VLOOKUP(C1456, Resultados_Reales!$A$4:$I$107, 6, FALSE)), VLOOKUP(C1456, Resultados_Reales!$A$4:$I$107, 5, FALSE)="", VLOOKUP(C1456, Resultados_Reales!$A$4:$I$107, 6, FALSE)=""), 0, IF(AND(VLOOKUP(C1456, Resultados_Reales!$A$4:$I$107, 5, FALSE)=G1456, VLOOKUP(C1456, Resultados_Reales!$A$4:$I$107, 6, FALSE)=H1456), Configuracion!$B$5, IF(SIGN(VLOOKUP(C1456, Resultados_Reales!$A$4:$I$107, 5, FALSE)-VLOOKUP(C1456, Resultados_Reales!$A$4:$I$107, 6, FALSE)) = SIGN(G1456-H1456), Configuracion!$B$4, 0)))</f>
        <v/>
      </c>
      <c r="L1456" s="11" t="n"/>
      <c r="M1456" s="11" t="n"/>
      <c r="N1456" s="11" t="n"/>
      <c r="O1456" s="11" t="n"/>
      <c r="P1456" s="11" t="n"/>
      <c r="Q1456" s="11" t="n"/>
    </row>
    <row r="1457">
      <c r="A1457" s="8">
        <f>B1457&amp;"_"&amp;C1457</f>
        <v/>
      </c>
      <c r="B1457" s="8" t="n"/>
      <c r="C1457" s="8" t="n"/>
      <c r="D1457" s="8" t="n"/>
      <c r="E1457" s="11" t="n"/>
      <c r="F1457" s="11" t="n"/>
      <c r="G1457" s="8" t="n"/>
      <c r="H1457" s="8" t="n"/>
      <c r="I1457" s="8" t="n"/>
      <c r="J1457" s="8" t="n"/>
      <c r="K1457" s="12">
        <f>IF(OR(ISERROR(VLOOKUP(C1457, Resultados_Reales!$A$4:$I$107, 5, FALSE)), ISERROR(VLOOKUP(C1457, Resultados_Reales!$A$4:$I$107, 6, FALSE)), VLOOKUP(C1457, Resultados_Reales!$A$4:$I$107, 5, FALSE)="", VLOOKUP(C1457, Resultados_Reales!$A$4:$I$107, 6, FALSE)=""), 0, IF(AND(VLOOKUP(C1457, Resultados_Reales!$A$4:$I$107, 5, FALSE)=G1457, VLOOKUP(C1457, Resultados_Reales!$A$4:$I$107, 6, FALSE)=H1457), Configuracion!$B$5, IF(SIGN(VLOOKUP(C1457, Resultados_Reales!$A$4:$I$107, 5, FALSE)-VLOOKUP(C1457, Resultados_Reales!$A$4:$I$107, 6, FALSE)) = SIGN(G1457-H1457), Configuracion!$B$4, 0)))</f>
        <v/>
      </c>
      <c r="L1457" s="11" t="n"/>
      <c r="M1457" s="11" t="n"/>
      <c r="N1457" s="11" t="n"/>
      <c r="O1457" s="11" t="n"/>
      <c r="P1457" s="11" t="n"/>
      <c r="Q1457" s="11" t="n"/>
    </row>
    <row r="1458">
      <c r="A1458" s="8">
        <f>B1458&amp;"_"&amp;C1458</f>
        <v/>
      </c>
      <c r="B1458" s="8" t="n"/>
      <c r="C1458" s="8" t="n"/>
      <c r="D1458" s="8" t="n"/>
      <c r="E1458" s="11" t="n"/>
      <c r="F1458" s="11" t="n"/>
      <c r="G1458" s="8" t="n"/>
      <c r="H1458" s="8" t="n"/>
      <c r="I1458" s="8" t="n"/>
      <c r="J1458" s="8" t="n"/>
      <c r="K1458" s="12">
        <f>IF(OR(ISERROR(VLOOKUP(C1458, Resultados_Reales!$A$4:$I$107, 5, FALSE)), ISERROR(VLOOKUP(C1458, Resultados_Reales!$A$4:$I$107, 6, FALSE)), VLOOKUP(C1458, Resultados_Reales!$A$4:$I$107, 5, FALSE)="", VLOOKUP(C1458, Resultados_Reales!$A$4:$I$107, 6, FALSE)=""), 0, IF(AND(VLOOKUP(C1458, Resultados_Reales!$A$4:$I$107, 5, FALSE)=G1458, VLOOKUP(C1458, Resultados_Reales!$A$4:$I$107, 6, FALSE)=H1458), Configuracion!$B$5, IF(SIGN(VLOOKUP(C1458, Resultados_Reales!$A$4:$I$107, 5, FALSE)-VLOOKUP(C1458, Resultados_Reales!$A$4:$I$107, 6, FALSE)) = SIGN(G1458-H1458), Configuracion!$B$4, 0)))</f>
        <v/>
      </c>
      <c r="L1458" s="11" t="n"/>
      <c r="M1458" s="11" t="n"/>
      <c r="N1458" s="11" t="n"/>
      <c r="O1458" s="11" t="n"/>
      <c r="P1458" s="11" t="n"/>
      <c r="Q1458" s="11" t="n"/>
    </row>
    <row r="1459">
      <c r="A1459" s="8">
        <f>B1459&amp;"_"&amp;C1459</f>
        <v/>
      </c>
      <c r="B1459" s="8" t="n"/>
      <c r="C1459" s="8" t="n"/>
      <c r="D1459" s="8" t="n"/>
      <c r="E1459" s="11" t="n"/>
      <c r="F1459" s="11" t="n"/>
      <c r="G1459" s="8" t="n"/>
      <c r="H1459" s="8" t="n"/>
      <c r="I1459" s="8" t="n"/>
      <c r="J1459" s="8" t="n"/>
      <c r="K1459" s="12">
        <f>IF(OR(ISERROR(VLOOKUP(C1459, Resultados_Reales!$A$4:$I$107, 5, FALSE)), ISERROR(VLOOKUP(C1459, Resultados_Reales!$A$4:$I$107, 6, FALSE)), VLOOKUP(C1459, Resultados_Reales!$A$4:$I$107, 5, FALSE)="", VLOOKUP(C1459, Resultados_Reales!$A$4:$I$107, 6, FALSE)=""), 0, IF(AND(VLOOKUP(C1459, Resultados_Reales!$A$4:$I$107, 5, FALSE)=G1459, VLOOKUP(C1459, Resultados_Reales!$A$4:$I$107, 6, FALSE)=H1459), Configuracion!$B$5, IF(SIGN(VLOOKUP(C1459, Resultados_Reales!$A$4:$I$107, 5, FALSE)-VLOOKUP(C1459, Resultados_Reales!$A$4:$I$107, 6, FALSE)) = SIGN(G1459-H1459), Configuracion!$B$4, 0)))</f>
        <v/>
      </c>
      <c r="L1459" s="11" t="n"/>
      <c r="M1459" s="11" t="n"/>
      <c r="N1459" s="11" t="n"/>
      <c r="O1459" s="11" t="n"/>
      <c r="P1459" s="11" t="n"/>
      <c r="Q1459" s="11" t="n"/>
    </row>
    <row r="1460">
      <c r="A1460" s="8">
        <f>B1460&amp;"_"&amp;C1460</f>
        <v/>
      </c>
      <c r="B1460" s="8" t="n"/>
      <c r="C1460" s="8" t="n"/>
      <c r="D1460" s="8" t="n"/>
      <c r="E1460" s="11" t="n"/>
      <c r="F1460" s="11" t="n"/>
      <c r="G1460" s="8" t="n"/>
      <c r="H1460" s="8" t="n"/>
      <c r="I1460" s="8" t="n"/>
      <c r="J1460" s="8" t="n"/>
      <c r="K1460" s="12">
        <f>IF(OR(ISERROR(VLOOKUP(C1460, Resultados_Reales!$A$4:$I$107, 5, FALSE)), ISERROR(VLOOKUP(C1460, Resultados_Reales!$A$4:$I$107, 6, FALSE)), VLOOKUP(C1460, Resultados_Reales!$A$4:$I$107, 5, FALSE)="", VLOOKUP(C1460, Resultados_Reales!$A$4:$I$107, 6, FALSE)=""), 0, IF(AND(VLOOKUP(C1460, Resultados_Reales!$A$4:$I$107, 5, FALSE)=G1460, VLOOKUP(C1460, Resultados_Reales!$A$4:$I$107, 6, FALSE)=H1460), Configuracion!$B$5, IF(SIGN(VLOOKUP(C1460, Resultados_Reales!$A$4:$I$107, 5, FALSE)-VLOOKUP(C1460, Resultados_Reales!$A$4:$I$107, 6, FALSE)) = SIGN(G1460-H1460), Configuracion!$B$4, 0)))</f>
        <v/>
      </c>
      <c r="L1460" s="11" t="n"/>
      <c r="M1460" s="11" t="n"/>
      <c r="N1460" s="11" t="n"/>
      <c r="O1460" s="11" t="n"/>
      <c r="P1460" s="11" t="n"/>
      <c r="Q1460" s="11" t="n"/>
    </row>
    <row r="1461">
      <c r="A1461" s="8">
        <f>B1461&amp;"_"&amp;C1461</f>
        <v/>
      </c>
      <c r="B1461" s="8" t="n"/>
      <c r="C1461" s="8" t="n"/>
      <c r="D1461" s="8" t="n"/>
      <c r="E1461" s="11" t="n"/>
      <c r="F1461" s="11" t="n"/>
      <c r="G1461" s="8" t="n"/>
      <c r="H1461" s="8" t="n"/>
      <c r="I1461" s="8" t="n"/>
      <c r="J1461" s="8" t="n"/>
      <c r="K1461" s="12">
        <f>IF(OR(ISERROR(VLOOKUP(C1461, Resultados_Reales!$A$4:$I$107, 5, FALSE)), ISERROR(VLOOKUP(C1461, Resultados_Reales!$A$4:$I$107, 6, FALSE)), VLOOKUP(C1461, Resultados_Reales!$A$4:$I$107, 5, FALSE)="", VLOOKUP(C1461, Resultados_Reales!$A$4:$I$107, 6, FALSE)=""), 0, IF(AND(VLOOKUP(C1461, Resultados_Reales!$A$4:$I$107, 5, FALSE)=G1461, VLOOKUP(C1461, Resultados_Reales!$A$4:$I$107, 6, FALSE)=H1461), Configuracion!$B$5, IF(SIGN(VLOOKUP(C1461, Resultados_Reales!$A$4:$I$107, 5, FALSE)-VLOOKUP(C1461, Resultados_Reales!$A$4:$I$107, 6, FALSE)) = SIGN(G1461-H1461), Configuracion!$B$4, 0)))</f>
        <v/>
      </c>
      <c r="L1461" s="11" t="n"/>
      <c r="M1461" s="11" t="n"/>
      <c r="N1461" s="11" t="n"/>
      <c r="O1461" s="11" t="n"/>
      <c r="P1461" s="11" t="n"/>
      <c r="Q1461" s="11" t="n"/>
    </row>
    <row r="1462">
      <c r="A1462" s="8">
        <f>B1462&amp;"_"&amp;C1462</f>
        <v/>
      </c>
      <c r="B1462" s="8" t="n"/>
      <c r="C1462" s="8" t="n"/>
      <c r="D1462" s="8" t="n"/>
      <c r="E1462" s="11" t="n"/>
      <c r="F1462" s="11" t="n"/>
      <c r="G1462" s="8" t="n"/>
      <c r="H1462" s="8" t="n"/>
      <c r="I1462" s="8" t="n"/>
      <c r="J1462" s="8" t="n"/>
      <c r="K1462" s="12">
        <f>IF(OR(ISERROR(VLOOKUP(C1462, Resultados_Reales!$A$4:$I$107, 5, FALSE)), ISERROR(VLOOKUP(C1462, Resultados_Reales!$A$4:$I$107, 6, FALSE)), VLOOKUP(C1462, Resultados_Reales!$A$4:$I$107, 5, FALSE)="", VLOOKUP(C1462, Resultados_Reales!$A$4:$I$107, 6, FALSE)=""), 0, IF(AND(VLOOKUP(C1462, Resultados_Reales!$A$4:$I$107, 5, FALSE)=G1462, VLOOKUP(C1462, Resultados_Reales!$A$4:$I$107, 6, FALSE)=H1462), Configuracion!$B$5, IF(SIGN(VLOOKUP(C1462, Resultados_Reales!$A$4:$I$107, 5, FALSE)-VLOOKUP(C1462, Resultados_Reales!$A$4:$I$107, 6, FALSE)) = SIGN(G1462-H1462), Configuracion!$B$4, 0)))</f>
        <v/>
      </c>
      <c r="L1462" s="11" t="n"/>
      <c r="M1462" s="11" t="n"/>
      <c r="N1462" s="11" t="n"/>
      <c r="O1462" s="11" t="n"/>
      <c r="P1462" s="11" t="n"/>
      <c r="Q1462" s="11" t="n"/>
    </row>
    <row r="1463">
      <c r="A1463" s="8">
        <f>B1463&amp;"_"&amp;C1463</f>
        <v/>
      </c>
      <c r="B1463" s="8" t="n"/>
      <c r="C1463" s="8" t="n"/>
      <c r="D1463" s="8" t="n"/>
      <c r="E1463" s="11" t="n"/>
      <c r="F1463" s="11" t="n"/>
      <c r="G1463" s="8" t="n"/>
      <c r="H1463" s="8" t="n"/>
      <c r="I1463" s="8" t="n"/>
      <c r="J1463" s="8" t="n"/>
      <c r="K1463" s="12">
        <f>IF(OR(ISERROR(VLOOKUP(C1463, Resultados_Reales!$A$4:$I$107, 5, FALSE)), ISERROR(VLOOKUP(C1463, Resultados_Reales!$A$4:$I$107, 6, FALSE)), VLOOKUP(C1463, Resultados_Reales!$A$4:$I$107, 5, FALSE)="", VLOOKUP(C1463, Resultados_Reales!$A$4:$I$107, 6, FALSE)=""), 0, IF(AND(VLOOKUP(C1463, Resultados_Reales!$A$4:$I$107, 5, FALSE)=G1463, VLOOKUP(C1463, Resultados_Reales!$A$4:$I$107, 6, FALSE)=H1463), Configuracion!$B$5, IF(SIGN(VLOOKUP(C1463, Resultados_Reales!$A$4:$I$107, 5, FALSE)-VLOOKUP(C1463, Resultados_Reales!$A$4:$I$107, 6, FALSE)) = SIGN(G1463-H1463), Configuracion!$B$4, 0)))</f>
        <v/>
      </c>
      <c r="L1463" s="11" t="n"/>
      <c r="M1463" s="11" t="n"/>
      <c r="N1463" s="11" t="n"/>
      <c r="O1463" s="11" t="n"/>
      <c r="P1463" s="11" t="n"/>
      <c r="Q1463" s="11" t="n"/>
    </row>
    <row r="1464">
      <c r="A1464" s="8">
        <f>B1464&amp;"_"&amp;C1464</f>
        <v/>
      </c>
      <c r="B1464" s="8" t="n"/>
      <c r="C1464" s="8" t="n"/>
      <c r="D1464" s="8" t="n"/>
      <c r="E1464" s="11" t="n"/>
      <c r="F1464" s="11" t="n"/>
      <c r="G1464" s="8" t="n"/>
      <c r="H1464" s="8" t="n"/>
      <c r="I1464" s="8" t="n"/>
      <c r="J1464" s="8" t="n"/>
      <c r="K1464" s="12">
        <f>IF(OR(ISERROR(VLOOKUP(C1464, Resultados_Reales!$A$4:$I$107, 5, FALSE)), ISERROR(VLOOKUP(C1464, Resultados_Reales!$A$4:$I$107, 6, FALSE)), VLOOKUP(C1464, Resultados_Reales!$A$4:$I$107, 5, FALSE)="", VLOOKUP(C1464, Resultados_Reales!$A$4:$I$107, 6, FALSE)=""), 0, IF(AND(VLOOKUP(C1464, Resultados_Reales!$A$4:$I$107, 5, FALSE)=G1464, VLOOKUP(C1464, Resultados_Reales!$A$4:$I$107, 6, FALSE)=H1464), Configuracion!$B$5, IF(SIGN(VLOOKUP(C1464, Resultados_Reales!$A$4:$I$107, 5, FALSE)-VLOOKUP(C1464, Resultados_Reales!$A$4:$I$107, 6, FALSE)) = SIGN(G1464-H1464), Configuracion!$B$4, 0)))</f>
        <v/>
      </c>
      <c r="L1464" s="11" t="n"/>
      <c r="M1464" s="11" t="n"/>
      <c r="N1464" s="11" t="n"/>
      <c r="O1464" s="11" t="n"/>
      <c r="P1464" s="11" t="n"/>
      <c r="Q1464" s="11" t="n"/>
    </row>
    <row r="1465">
      <c r="A1465" s="8">
        <f>B1465&amp;"_"&amp;C1465</f>
        <v/>
      </c>
      <c r="B1465" s="8" t="n"/>
      <c r="C1465" s="8" t="n"/>
      <c r="D1465" s="8" t="n"/>
      <c r="E1465" s="11" t="n"/>
      <c r="F1465" s="11" t="n"/>
      <c r="G1465" s="8" t="n"/>
      <c r="H1465" s="8" t="n"/>
      <c r="I1465" s="8" t="n"/>
      <c r="J1465" s="8" t="n"/>
      <c r="K1465" s="12">
        <f>IF(OR(ISERROR(VLOOKUP(C1465, Resultados_Reales!$A$4:$I$107, 5, FALSE)), ISERROR(VLOOKUP(C1465, Resultados_Reales!$A$4:$I$107, 6, FALSE)), VLOOKUP(C1465, Resultados_Reales!$A$4:$I$107, 5, FALSE)="", VLOOKUP(C1465, Resultados_Reales!$A$4:$I$107, 6, FALSE)=""), 0, IF(AND(VLOOKUP(C1465, Resultados_Reales!$A$4:$I$107, 5, FALSE)=G1465, VLOOKUP(C1465, Resultados_Reales!$A$4:$I$107, 6, FALSE)=H1465), Configuracion!$B$5, IF(SIGN(VLOOKUP(C1465, Resultados_Reales!$A$4:$I$107, 5, FALSE)-VLOOKUP(C1465, Resultados_Reales!$A$4:$I$107, 6, FALSE)) = SIGN(G1465-H1465), Configuracion!$B$4, 0)))</f>
        <v/>
      </c>
      <c r="L1465" s="11" t="n"/>
      <c r="M1465" s="11" t="n"/>
      <c r="N1465" s="11" t="n"/>
      <c r="O1465" s="11" t="n"/>
      <c r="P1465" s="11" t="n"/>
      <c r="Q1465" s="11" t="n"/>
    </row>
    <row r="1466">
      <c r="A1466" s="8">
        <f>B1466&amp;"_"&amp;C1466</f>
        <v/>
      </c>
      <c r="B1466" s="8" t="n"/>
      <c r="C1466" s="8" t="n"/>
      <c r="D1466" s="8" t="n"/>
      <c r="E1466" s="11" t="n"/>
      <c r="F1466" s="11" t="n"/>
      <c r="G1466" s="8" t="n"/>
      <c r="H1466" s="8" t="n"/>
      <c r="I1466" s="8" t="n"/>
      <c r="J1466" s="8" t="n"/>
      <c r="K1466" s="12">
        <f>IF(OR(ISERROR(VLOOKUP(C1466, Resultados_Reales!$A$4:$I$107, 5, FALSE)), ISERROR(VLOOKUP(C1466, Resultados_Reales!$A$4:$I$107, 6, FALSE)), VLOOKUP(C1466, Resultados_Reales!$A$4:$I$107, 5, FALSE)="", VLOOKUP(C1466, Resultados_Reales!$A$4:$I$107, 6, FALSE)=""), 0, IF(AND(VLOOKUP(C1466, Resultados_Reales!$A$4:$I$107, 5, FALSE)=G1466, VLOOKUP(C1466, Resultados_Reales!$A$4:$I$107, 6, FALSE)=H1466), Configuracion!$B$5, IF(SIGN(VLOOKUP(C1466, Resultados_Reales!$A$4:$I$107, 5, FALSE)-VLOOKUP(C1466, Resultados_Reales!$A$4:$I$107, 6, FALSE)) = SIGN(G1466-H1466), Configuracion!$B$4, 0)))</f>
        <v/>
      </c>
      <c r="L1466" s="11" t="n"/>
      <c r="M1466" s="11" t="n"/>
      <c r="N1466" s="11" t="n"/>
      <c r="O1466" s="11" t="n"/>
      <c r="P1466" s="11" t="n"/>
      <c r="Q1466" s="11" t="n"/>
    </row>
    <row r="1467">
      <c r="A1467" s="8">
        <f>B1467&amp;"_"&amp;C1467</f>
        <v/>
      </c>
      <c r="B1467" s="8" t="n"/>
      <c r="C1467" s="8" t="n"/>
      <c r="D1467" s="8" t="n"/>
      <c r="E1467" s="11" t="n"/>
      <c r="F1467" s="11" t="n"/>
      <c r="G1467" s="8" t="n"/>
      <c r="H1467" s="8" t="n"/>
      <c r="I1467" s="8" t="n"/>
      <c r="J1467" s="8" t="n"/>
      <c r="K1467" s="12">
        <f>IF(OR(ISERROR(VLOOKUP(C1467, Resultados_Reales!$A$4:$I$107, 5, FALSE)), ISERROR(VLOOKUP(C1467, Resultados_Reales!$A$4:$I$107, 6, FALSE)), VLOOKUP(C1467, Resultados_Reales!$A$4:$I$107, 5, FALSE)="", VLOOKUP(C1467, Resultados_Reales!$A$4:$I$107, 6, FALSE)=""), 0, IF(AND(VLOOKUP(C1467, Resultados_Reales!$A$4:$I$107, 5, FALSE)=G1467, VLOOKUP(C1467, Resultados_Reales!$A$4:$I$107, 6, FALSE)=H1467), Configuracion!$B$5, IF(SIGN(VLOOKUP(C1467, Resultados_Reales!$A$4:$I$107, 5, FALSE)-VLOOKUP(C1467, Resultados_Reales!$A$4:$I$107, 6, FALSE)) = SIGN(G1467-H1467), Configuracion!$B$4, 0)))</f>
        <v/>
      </c>
      <c r="L1467" s="11" t="n"/>
      <c r="M1467" s="11" t="n"/>
      <c r="N1467" s="11" t="n"/>
      <c r="O1467" s="11" t="n"/>
      <c r="P1467" s="11" t="n"/>
      <c r="Q1467" s="11" t="n"/>
    </row>
    <row r="1468">
      <c r="A1468" s="8">
        <f>B1468&amp;"_"&amp;C1468</f>
        <v/>
      </c>
      <c r="B1468" s="8" t="n"/>
      <c r="C1468" s="8" t="n"/>
      <c r="D1468" s="8" t="n"/>
      <c r="E1468" s="11" t="n"/>
      <c r="F1468" s="11" t="n"/>
      <c r="G1468" s="8" t="n"/>
      <c r="H1468" s="8" t="n"/>
      <c r="I1468" s="8" t="n"/>
      <c r="J1468" s="8" t="n"/>
      <c r="K1468" s="12">
        <f>IF(OR(ISERROR(VLOOKUP(C1468, Resultados_Reales!$A$4:$I$107, 5, FALSE)), ISERROR(VLOOKUP(C1468, Resultados_Reales!$A$4:$I$107, 6, FALSE)), VLOOKUP(C1468, Resultados_Reales!$A$4:$I$107, 5, FALSE)="", VLOOKUP(C1468, Resultados_Reales!$A$4:$I$107, 6, FALSE)=""), 0, IF(AND(VLOOKUP(C1468, Resultados_Reales!$A$4:$I$107, 5, FALSE)=G1468, VLOOKUP(C1468, Resultados_Reales!$A$4:$I$107, 6, FALSE)=H1468), Configuracion!$B$5, IF(SIGN(VLOOKUP(C1468, Resultados_Reales!$A$4:$I$107, 5, FALSE)-VLOOKUP(C1468, Resultados_Reales!$A$4:$I$107, 6, FALSE)) = SIGN(G1468-H1468), Configuracion!$B$4, 0)))</f>
        <v/>
      </c>
      <c r="L1468" s="11" t="n"/>
      <c r="M1468" s="11" t="n"/>
      <c r="N1468" s="11" t="n"/>
      <c r="O1468" s="11" t="n"/>
      <c r="P1468" s="11" t="n"/>
      <c r="Q1468" s="11" t="n"/>
    </row>
    <row r="1469">
      <c r="A1469" s="8">
        <f>B1469&amp;"_"&amp;C1469</f>
        <v/>
      </c>
      <c r="B1469" s="8" t="n"/>
      <c r="C1469" s="8" t="n"/>
      <c r="D1469" s="8" t="n"/>
      <c r="E1469" s="11" t="n"/>
      <c r="F1469" s="11" t="n"/>
      <c r="G1469" s="8" t="n"/>
      <c r="H1469" s="8" t="n"/>
      <c r="I1469" s="8" t="n"/>
      <c r="J1469" s="8" t="n"/>
      <c r="K1469" s="12">
        <f>IF(OR(ISERROR(VLOOKUP(C1469, Resultados_Reales!$A$4:$I$107, 5, FALSE)), ISERROR(VLOOKUP(C1469, Resultados_Reales!$A$4:$I$107, 6, FALSE)), VLOOKUP(C1469, Resultados_Reales!$A$4:$I$107, 5, FALSE)="", VLOOKUP(C1469, Resultados_Reales!$A$4:$I$107, 6, FALSE)=""), 0, IF(AND(VLOOKUP(C1469, Resultados_Reales!$A$4:$I$107, 5, FALSE)=G1469, VLOOKUP(C1469, Resultados_Reales!$A$4:$I$107, 6, FALSE)=H1469), Configuracion!$B$5, IF(SIGN(VLOOKUP(C1469, Resultados_Reales!$A$4:$I$107, 5, FALSE)-VLOOKUP(C1469, Resultados_Reales!$A$4:$I$107, 6, FALSE)) = SIGN(G1469-H1469), Configuracion!$B$4, 0)))</f>
        <v/>
      </c>
      <c r="L1469" s="11" t="n"/>
      <c r="M1469" s="11" t="n"/>
      <c r="N1469" s="11" t="n"/>
      <c r="O1469" s="11" t="n"/>
      <c r="P1469" s="11" t="n"/>
      <c r="Q1469" s="11" t="n"/>
    </row>
    <row r="1470">
      <c r="A1470" s="8">
        <f>B1470&amp;"_"&amp;C1470</f>
        <v/>
      </c>
      <c r="B1470" s="8" t="n"/>
      <c r="C1470" s="8" t="n"/>
      <c r="D1470" s="8" t="n"/>
      <c r="E1470" s="11" t="n"/>
      <c r="F1470" s="11" t="n"/>
      <c r="G1470" s="8" t="n"/>
      <c r="H1470" s="8" t="n"/>
      <c r="I1470" s="8" t="n"/>
      <c r="J1470" s="8" t="n"/>
      <c r="K1470" s="12">
        <f>IF(OR(ISERROR(VLOOKUP(C1470, Resultados_Reales!$A$4:$I$107, 5, FALSE)), ISERROR(VLOOKUP(C1470, Resultados_Reales!$A$4:$I$107, 6, FALSE)), VLOOKUP(C1470, Resultados_Reales!$A$4:$I$107, 5, FALSE)="", VLOOKUP(C1470, Resultados_Reales!$A$4:$I$107, 6, FALSE)=""), 0, IF(AND(VLOOKUP(C1470, Resultados_Reales!$A$4:$I$107, 5, FALSE)=G1470, VLOOKUP(C1470, Resultados_Reales!$A$4:$I$107, 6, FALSE)=H1470), Configuracion!$B$5, IF(SIGN(VLOOKUP(C1470, Resultados_Reales!$A$4:$I$107, 5, FALSE)-VLOOKUP(C1470, Resultados_Reales!$A$4:$I$107, 6, FALSE)) = SIGN(G1470-H1470), Configuracion!$B$4, 0)))</f>
        <v/>
      </c>
      <c r="L1470" s="11" t="n"/>
      <c r="M1470" s="11" t="n"/>
      <c r="N1470" s="11" t="n"/>
      <c r="O1470" s="11" t="n"/>
      <c r="P1470" s="11" t="n"/>
      <c r="Q1470" s="11" t="n"/>
    </row>
    <row r="1471">
      <c r="A1471" s="8">
        <f>B1471&amp;"_"&amp;C1471</f>
        <v/>
      </c>
      <c r="B1471" s="8" t="n"/>
      <c r="C1471" s="8" t="n"/>
      <c r="D1471" s="8" t="n"/>
      <c r="E1471" s="11" t="n"/>
      <c r="F1471" s="11" t="n"/>
      <c r="G1471" s="8" t="n"/>
      <c r="H1471" s="8" t="n"/>
      <c r="I1471" s="8" t="n"/>
      <c r="J1471" s="8" t="n"/>
      <c r="K1471" s="12">
        <f>IF(OR(ISERROR(VLOOKUP(C1471, Resultados_Reales!$A$4:$I$107, 5, FALSE)), ISERROR(VLOOKUP(C1471, Resultados_Reales!$A$4:$I$107, 6, FALSE)), VLOOKUP(C1471, Resultados_Reales!$A$4:$I$107, 5, FALSE)="", VLOOKUP(C1471, Resultados_Reales!$A$4:$I$107, 6, FALSE)=""), 0, IF(AND(VLOOKUP(C1471, Resultados_Reales!$A$4:$I$107, 5, FALSE)=G1471, VLOOKUP(C1471, Resultados_Reales!$A$4:$I$107, 6, FALSE)=H1471), Configuracion!$B$5, IF(SIGN(VLOOKUP(C1471, Resultados_Reales!$A$4:$I$107, 5, FALSE)-VLOOKUP(C1471, Resultados_Reales!$A$4:$I$107, 6, FALSE)) = SIGN(G1471-H1471), Configuracion!$B$4, 0)))</f>
        <v/>
      </c>
      <c r="L1471" s="11" t="n"/>
      <c r="M1471" s="11" t="n"/>
      <c r="N1471" s="11" t="n"/>
      <c r="O1471" s="11" t="n"/>
      <c r="P1471" s="11" t="n"/>
      <c r="Q1471" s="11" t="n"/>
    </row>
    <row r="1472">
      <c r="A1472" s="8">
        <f>B1472&amp;"_"&amp;C1472</f>
        <v/>
      </c>
      <c r="B1472" s="8" t="n"/>
      <c r="C1472" s="8" t="n"/>
      <c r="D1472" s="8" t="n"/>
      <c r="E1472" s="11" t="n"/>
      <c r="F1472" s="11" t="n"/>
      <c r="G1472" s="8" t="n"/>
      <c r="H1472" s="8" t="n"/>
      <c r="I1472" s="8" t="n"/>
      <c r="J1472" s="8" t="n"/>
      <c r="K1472" s="12">
        <f>IF(OR(ISERROR(VLOOKUP(C1472, Resultados_Reales!$A$4:$I$107, 5, FALSE)), ISERROR(VLOOKUP(C1472, Resultados_Reales!$A$4:$I$107, 6, FALSE)), VLOOKUP(C1472, Resultados_Reales!$A$4:$I$107, 5, FALSE)="", VLOOKUP(C1472, Resultados_Reales!$A$4:$I$107, 6, FALSE)=""), 0, IF(AND(VLOOKUP(C1472, Resultados_Reales!$A$4:$I$107, 5, FALSE)=G1472, VLOOKUP(C1472, Resultados_Reales!$A$4:$I$107, 6, FALSE)=H1472), Configuracion!$B$5, IF(SIGN(VLOOKUP(C1472, Resultados_Reales!$A$4:$I$107, 5, FALSE)-VLOOKUP(C1472, Resultados_Reales!$A$4:$I$107, 6, FALSE)) = SIGN(G1472-H1472), Configuracion!$B$4, 0)))</f>
        <v/>
      </c>
      <c r="L1472" s="11" t="n"/>
      <c r="M1472" s="11" t="n"/>
      <c r="N1472" s="11" t="n"/>
      <c r="O1472" s="11" t="n"/>
      <c r="P1472" s="11" t="n"/>
      <c r="Q1472" s="11" t="n"/>
    </row>
    <row r="1473">
      <c r="A1473" s="8">
        <f>B1473&amp;"_"&amp;C1473</f>
        <v/>
      </c>
      <c r="B1473" s="8" t="n"/>
      <c r="C1473" s="8" t="n"/>
      <c r="D1473" s="8" t="n"/>
      <c r="E1473" s="11" t="n"/>
      <c r="F1473" s="11" t="n"/>
      <c r="G1473" s="8" t="n"/>
      <c r="H1473" s="8" t="n"/>
      <c r="I1473" s="8" t="n"/>
      <c r="J1473" s="8" t="n"/>
      <c r="K1473" s="12">
        <f>IF(OR(ISERROR(VLOOKUP(C1473, Resultados_Reales!$A$4:$I$107, 5, FALSE)), ISERROR(VLOOKUP(C1473, Resultados_Reales!$A$4:$I$107, 6, FALSE)), VLOOKUP(C1473, Resultados_Reales!$A$4:$I$107, 5, FALSE)="", VLOOKUP(C1473, Resultados_Reales!$A$4:$I$107, 6, FALSE)=""), 0, IF(AND(VLOOKUP(C1473, Resultados_Reales!$A$4:$I$107, 5, FALSE)=G1473, VLOOKUP(C1473, Resultados_Reales!$A$4:$I$107, 6, FALSE)=H1473), Configuracion!$B$5, IF(SIGN(VLOOKUP(C1473, Resultados_Reales!$A$4:$I$107, 5, FALSE)-VLOOKUP(C1473, Resultados_Reales!$A$4:$I$107, 6, FALSE)) = SIGN(G1473-H1473), Configuracion!$B$4, 0)))</f>
        <v/>
      </c>
      <c r="L1473" s="11" t="n"/>
      <c r="M1473" s="11" t="n"/>
      <c r="N1473" s="11" t="n"/>
      <c r="O1473" s="11" t="n"/>
      <c r="P1473" s="11" t="n"/>
      <c r="Q1473" s="11" t="n"/>
    </row>
    <row r="1474">
      <c r="A1474" s="8">
        <f>B1474&amp;"_"&amp;C1474</f>
        <v/>
      </c>
      <c r="B1474" s="8" t="n"/>
      <c r="C1474" s="8" t="n"/>
      <c r="D1474" s="8" t="n"/>
      <c r="E1474" s="11" t="n"/>
      <c r="F1474" s="11" t="n"/>
      <c r="G1474" s="8" t="n"/>
      <c r="H1474" s="8" t="n"/>
      <c r="I1474" s="8" t="n"/>
      <c r="J1474" s="8" t="n"/>
      <c r="K1474" s="12">
        <f>IF(OR(ISERROR(VLOOKUP(C1474, Resultados_Reales!$A$4:$I$107, 5, FALSE)), ISERROR(VLOOKUP(C1474, Resultados_Reales!$A$4:$I$107, 6, FALSE)), VLOOKUP(C1474, Resultados_Reales!$A$4:$I$107, 5, FALSE)="", VLOOKUP(C1474, Resultados_Reales!$A$4:$I$107, 6, FALSE)=""), 0, IF(AND(VLOOKUP(C1474, Resultados_Reales!$A$4:$I$107, 5, FALSE)=G1474, VLOOKUP(C1474, Resultados_Reales!$A$4:$I$107, 6, FALSE)=H1474), Configuracion!$B$5, IF(SIGN(VLOOKUP(C1474, Resultados_Reales!$A$4:$I$107, 5, FALSE)-VLOOKUP(C1474, Resultados_Reales!$A$4:$I$107, 6, FALSE)) = SIGN(G1474-H1474), Configuracion!$B$4, 0)))</f>
        <v/>
      </c>
      <c r="L1474" s="11" t="n"/>
      <c r="M1474" s="11" t="n"/>
      <c r="N1474" s="11" t="n"/>
      <c r="O1474" s="11" t="n"/>
      <c r="P1474" s="11" t="n"/>
      <c r="Q1474" s="11" t="n"/>
    </row>
    <row r="1475">
      <c r="A1475" s="8">
        <f>B1475&amp;"_"&amp;C1475</f>
        <v/>
      </c>
      <c r="B1475" s="8" t="n"/>
      <c r="C1475" s="8" t="n"/>
      <c r="D1475" s="8" t="n"/>
      <c r="E1475" s="11" t="n"/>
      <c r="F1475" s="11" t="n"/>
      <c r="G1475" s="8" t="n"/>
      <c r="H1475" s="8" t="n"/>
      <c r="I1475" s="8" t="n"/>
      <c r="J1475" s="8" t="n"/>
      <c r="K1475" s="12">
        <f>IF(OR(ISERROR(VLOOKUP(C1475, Resultados_Reales!$A$4:$I$107, 5, FALSE)), ISERROR(VLOOKUP(C1475, Resultados_Reales!$A$4:$I$107, 6, FALSE)), VLOOKUP(C1475, Resultados_Reales!$A$4:$I$107, 5, FALSE)="", VLOOKUP(C1475, Resultados_Reales!$A$4:$I$107, 6, FALSE)=""), 0, IF(AND(VLOOKUP(C1475, Resultados_Reales!$A$4:$I$107, 5, FALSE)=G1475, VLOOKUP(C1475, Resultados_Reales!$A$4:$I$107, 6, FALSE)=H1475), Configuracion!$B$5, IF(SIGN(VLOOKUP(C1475, Resultados_Reales!$A$4:$I$107, 5, FALSE)-VLOOKUP(C1475, Resultados_Reales!$A$4:$I$107, 6, FALSE)) = SIGN(G1475-H1475), Configuracion!$B$4, 0)))</f>
        <v/>
      </c>
      <c r="L1475" s="11" t="n"/>
      <c r="M1475" s="11" t="n"/>
      <c r="N1475" s="11" t="n"/>
      <c r="O1475" s="11" t="n"/>
      <c r="P1475" s="11" t="n"/>
      <c r="Q1475" s="11" t="n"/>
    </row>
    <row r="1476">
      <c r="A1476" s="8">
        <f>B1476&amp;"_"&amp;C1476</f>
        <v/>
      </c>
      <c r="B1476" s="8" t="n"/>
      <c r="C1476" s="8" t="n"/>
      <c r="D1476" s="8" t="n"/>
      <c r="E1476" s="11" t="n"/>
      <c r="F1476" s="11" t="n"/>
      <c r="G1476" s="8" t="n"/>
      <c r="H1476" s="8" t="n"/>
      <c r="I1476" s="8" t="n"/>
      <c r="J1476" s="8" t="n"/>
      <c r="K1476" s="12">
        <f>IF(OR(ISERROR(VLOOKUP(C1476, Resultados_Reales!$A$4:$I$107, 5, FALSE)), ISERROR(VLOOKUP(C1476, Resultados_Reales!$A$4:$I$107, 6, FALSE)), VLOOKUP(C1476, Resultados_Reales!$A$4:$I$107, 5, FALSE)="", VLOOKUP(C1476, Resultados_Reales!$A$4:$I$107, 6, FALSE)=""), 0, IF(AND(VLOOKUP(C1476, Resultados_Reales!$A$4:$I$107, 5, FALSE)=G1476, VLOOKUP(C1476, Resultados_Reales!$A$4:$I$107, 6, FALSE)=H1476), Configuracion!$B$5, IF(SIGN(VLOOKUP(C1476, Resultados_Reales!$A$4:$I$107, 5, FALSE)-VLOOKUP(C1476, Resultados_Reales!$A$4:$I$107, 6, FALSE)) = SIGN(G1476-H1476), Configuracion!$B$4, 0)))</f>
        <v/>
      </c>
      <c r="L1476" s="11" t="n"/>
      <c r="M1476" s="11" t="n"/>
      <c r="N1476" s="11" t="n"/>
      <c r="O1476" s="11" t="n"/>
      <c r="P1476" s="11" t="n"/>
      <c r="Q1476" s="11" t="n"/>
    </row>
    <row r="1477">
      <c r="A1477" s="8">
        <f>B1477&amp;"_"&amp;C1477</f>
        <v/>
      </c>
      <c r="B1477" s="8" t="n"/>
      <c r="C1477" s="8" t="n"/>
      <c r="D1477" s="8" t="n"/>
      <c r="E1477" s="11" t="n"/>
      <c r="F1477" s="11" t="n"/>
      <c r="G1477" s="8" t="n"/>
      <c r="H1477" s="8" t="n"/>
      <c r="I1477" s="8" t="n"/>
      <c r="J1477" s="8" t="n"/>
      <c r="K1477" s="12">
        <f>IF(OR(ISERROR(VLOOKUP(C1477, Resultados_Reales!$A$4:$I$107, 5, FALSE)), ISERROR(VLOOKUP(C1477, Resultados_Reales!$A$4:$I$107, 6, FALSE)), VLOOKUP(C1477, Resultados_Reales!$A$4:$I$107, 5, FALSE)="", VLOOKUP(C1477, Resultados_Reales!$A$4:$I$107, 6, FALSE)=""), 0, IF(AND(VLOOKUP(C1477, Resultados_Reales!$A$4:$I$107, 5, FALSE)=G1477, VLOOKUP(C1477, Resultados_Reales!$A$4:$I$107, 6, FALSE)=H1477), Configuracion!$B$5, IF(SIGN(VLOOKUP(C1477, Resultados_Reales!$A$4:$I$107, 5, FALSE)-VLOOKUP(C1477, Resultados_Reales!$A$4:$I$107, 6, FALSE)) = SIGN(G1477-H1477), Configuracion!$B$4, 0)))</f>
        <v/>
      </c>
      <c r="L1477" s="11" t="n"/>
      <c r="M1477" s="11" t="n"/>
      <c r="N1477" s="11" t="n"/>
      <c r="O1477" s="11" t="n"/>
      <c r="P1477" s="11" t="n"/>
      <c r="Q1477" s="11" t="n"/>
    </row>
    <row r="1478">
      <c r="A1478" s="8">
        <f>B1478&amp;"_"&amp;C1478</f>
        <v/>
      </c>
      <c r="B1478" s="8" t="n"/>
      <c r="C1478" s="8" t="n"/>
      <c r="D1478" s="8" t="n"/>
      <c r="E1478" s="11" t="n"/>
      <c r="F1478" s="11" t="n"/>
      <c r="G1478" s="8" t="n"/>
      <c r="H1478" s="8" t="n"/>
      <c r="I1478" s="8" t="n"/>
      <c r="J1478" s="8" t="n"/>
      <c r="K1478" s="12">
        <f>IF(OR(ISERROR(VLOOKUP(C1478, Resultados_Reales!$A$4:$I$107, 5, FALSE)), ISERROR(VLOOKUP(C1478, Resultados_Reales!$A$4:$I$107, 6, FALSE)), VLOOKUP(C1478, Resultados_Reales!$A$4:$I$107, 5, FALSE)="", VLOOKUP(C1478, Resultados_Reales!$A$4:$I$107, 6, FALSE)=""), 0, IF(AND(VLOOKUP(C1478, Resultados_Reales!$A$4:$I$107, 5, FALSE)=G1478, VLOOKUP(C1478, Resultados_Reales!$A$4:$I$107, 6, FALSE)=H1478), Configuracion!$B$5, IF(SIGN(VLOOKUP(C1478, Resultados_Reales!$A$4:$I$107, 5, FALSE)-VLOOKUP(C1478, Resultados_Reales!$A$4:$I$107, 6, FALSE)) = SIGN(G1478-H1478), Configuracion!$B$4, 0)))</f>
        <v/>
      </c>
      <c r="L1478" s="11" t="n"/>
      <c r="M1478" s="11" t="n"/>
      <c r="N1478" s="11" t="n"/>
      <c r="O1478" s="11" t="n"/>
      <c r="P1478" s="11" t="n"/>
      <c r="Q1478" s="11" t="n"/>
    </row>
    <row r="1479">
      <c r="A1479" s="8">
        <f>B1479&amp;"_"&amp;C1479</f>
        <v/>
      </c>
      <c r="B1479" s="8" t="n"/>
      <c r="C1479" s="8" t="n"/>
      <c r="D1479" s="8" t="n"/>
      <c r="E1479" s="11" t="n"/>
      <c r="F1479" s="11" t="n"/>
      <c r="G1479" s="8" t="n"/>
      <c r="H1479" s="8" t="n"/>
      <c r="I1479" s="8" t="n"/>
      <c r="J1479" s="8" t="n"/>
      <c r="K1479" s="12">
        <f>IF(OR(ISERROR(VLOOKUP(C1479, Resultados_Reales!$A$4:$I$107, 5, FALSE)), ISERROR(VLOOKUP(C1479, Resultados_Reales!$A$4:$I$107, 6, FALSE)), VLOOKUP(C1479, Resultados_Reales!$A$4:$I$107, 5, FALSE)="", VLOOKUP(C1479, Resultados_Reales!$A$4:$I$107, 6, FALSE)=""), 0, IF(AND(VLOOKUP(C1479, Resultados_Reales!$A$4:$I$107, 5, FALSE)=G1479, VLOOKUP(C1479, Resultados_Reales!$A$4:$I$107, 6, FALSE)=H1479), Configuracion!$B$5, IF(SIGN(VLOOKUP(C1479, Resultados_Reales!$A$4:$I$107, 5, FALSE)-VLOOKUP(C1479, Resultados_Reales!$A$4:$I$107, 6, FALSE)) = SIGN(G1479-H1479), Configuracion!$B$4, 0)))</f>
        <v/>
      </c>
      <c r="L1479" s="11" t="n"/>
      <c r="M1479" s="11" t="n"/>
      <c r="N1479" s="11" t="n"/>
      <c r="O1479" s="11" t="n"/>
      <c r="P1479" s="11" t="n"/>
      <c r="Q1479" s="11" t="n"/>
    </row>
    <row r="1480">
      <c r="A1480" s="8">
        <f>B1480&amp;"_"&amp;C1480</f>
        <v/>
      </c>
      <c r="B1480" s="8" t="n"/>
      <c r="C1480" s="8" t="n"/>
      <c r="D1480" s="8" t="n"/>
      <c r="E1480" s="11" t="n"/>
      <c r="F1480" s="11" t="n"/>
      <c r="G1480" s="8" t="n"/>
      <c r="H1480" s="8" t="n"/>
      <c r="I1480" s="8" t="n"/>
      <c r="J1480" s="8" t="n"/>
      <c r="K1480" s="12">
        <f>IF(OR(ISERROR(VLOOKUP(C1480, Resultados_Reales!$A$4:$I$107, 5, FALSE)), ISERROR(VLOOKUP(C1480, Resultados_Reales!$A$4:$I$107, 6, FALSE)), VLOOKUP(C1480, Resultados_Reales!$A$4:$I$107, 5, FALSE)="", VLOOKUP(C1480, Resultados_Reales!$A$4:$I$107, 6, FALSE)=""), 0, IF(AND(VLOOKUP(C1480, Resultados_Reales!$A$4:$I$107, 5, FALSE)=G1480, VLOOKUP(C1480, Resultados_Reales!$A$4:$I$107, 6, FALSE)=H1480), Configuracion!$B$5, IF(SIGN(VLOOKUP(C1480, Resultados_Reales!$A$4:$I$107, 5, FALSE)-VLOOKUP(C1480, Resultados_Reales!$A$4:$I$107, 6, FALSE)) = SIGN(G1480-H1480), Configuracion!$B$4, 0)))</f>
        <v/>
      </c>
      <c r="L1480" s="11" t="n"/>
      <c r="M1480" s="11" t="n"/>
      <c r="N1480" s="11" t="n"/>
      <c r="O1480" s="11" t="n"/>
      <c r="P1480" s="11" t="n"/>
      <c r="Q1480" s="11" t="n"/>
    </row>
    <row r="1481">
      <c r="A1481" s="8">
        <f>B1481&amp;"_"&amp;C1481</f>
        <v/>
      </c>
      <c r="B1481" s="8" t="n"/>
      <c r="C1481" s="8" t="n"/>
      <c r="D1481" s="8" t="n"/>
      <c r="E1481" s="11" t="n"/>
      <c r="F1481" s="11" t="n"/>
      <c r="G1481" s="8" t="n"/>
      <c r="H1481" s="8" t="n"/>
      <c r="I1481" s="8" t="n"/>
      <c r="J1481" s="8" t="n"/>
      <c r="K1481" s="12">
        <f>IF(OR(ISERROR(VLOOKUP(C1481, Resultados_Reales!$A$4:$I$107, 5, FALSE)), ISERROR(VLOOKUP(C1481, Resultados_Reales!$A$4:$I$107, 6, FALSE)), VLOOKUP(C1481, Resultados_Reales!$A$4:$I$107, 5, FALSE)="", VLOOKUP(C1481, Resultados_Reales!$A$4:$I$107, 6, FALSE)=""), 0, IF(AND(VLOOKUP(C1481, Resultados_Reales!$A$4:$I$107, 5, FALSE)=G1481, VLOOKUP(C1481, Resultados_Reales!$A$4:$I$107, 6, FALSE)=H1481), Configuracion!$B$5, IF(SIGN(VLOOKUP(C1481, Resultados_Reales!$A$4:$I$107, 5, FALSE)-VLOOKUP(C1481, Resultados_Reales!$A$4:$I$107, 6, FALSE)) = SIGN(G1481-H1481), Configuracion!$B$4, 0)))</f>
        <v/>
      </c>
      <c r="L1481" s="11" t="n"/>
      <c r="M1481" s="11" t="n"/>
      <c r="N1481" s="11" t="n"/>
      <c r="O1481" s="11" t="n"/>
      <c r="P1481" s="11" t="n"/>
      <c r="Q1481" s="11" t="n"/>
    </row>
    <row r="1482">
      <c r="A1482" s="8">
        <f>B1482&amp;"_"&amp;C1482</f>
        <v/>
      </c>
      <c r="B1482" s="8" t="n"/>
      <c r="C1482" s="8" t="n"/>
      <c r="D1482" s="8" t="n"/>
      <c r="E1482" s="11" t="n"/>
      <c r="F1482" s="11" t="n"/>
      <c r="G1482" s="8" t="n"/>
      <c r="H1482" s="8" t="n"/>
      <c r="I1482" s="8" t="n"/>
      <c r="J1482" s="8" t="n"/>
      <c r="K1482" s="12">
        <f>IF(OR(ISERROR(VLOOKUP(C1482, Resultados_Reales!$A$4:$I$107, 5, FALSE)), ISERROR(VLOOKUP(C1482, Resultados_Reales!$A$4:$I$107, 6, FALSE)), VLOOKUP(C1482, Resultados_Reales!$A$4:$I$107, 5, FALSE)="", VLOOKUP(C1482, Resultados_Reales!$A$4:$I$107, 6, FALSE)=""), 0, IF(AND(VLOOKUP(C1482, Resultados_Reales!$A$4:$I$107, 5, FALSE)=G1482, VLOOKUP(C1482, Resultados_Reales!$A$4:$I$107, 6, FALSE)=H1482), Configuracion!$B$5, IF(SIGN(VLOOKUP(C1482, Resultados_Reales!$A$4:$I$107, 5, FALSE)-VLOOKUP(C1482, Resultados_Reales!$A$4:$I$107, 6, FALSE)) = SIGN(G1482-H1482), Configuracion!$B$4, 0)))</f>
        <v/>
      </c>
      <c r="L1482" s="11" t="n"/>
      <c r="M1482" s="11" t="n"/>
      <c r="N1482" s="11" t="n"/>
      <c r="O1482" s="11" t="n"/>
      <c r="P1482" s="11" t="n"/>
      <c r="Q1482" s="11" t="n"/>
    </row>
    <row r="1483">
      <c r="A1483" s="8">
        <f>B1483&amp;"_"&amp;C1483</f>
        <v/>
      </c>
      <c r="B1483" s="8" t="n"/>
      <c r="C1483" s="8" t="n"/>
      <c r="D1483" s="8" t="n"/>
      <c r="E1483" s="11" t="n"/>
      <c r="F1483" s="11" t="n"/>
      <c r="G1483" s="8" t="n"/>
      <c r="H1483" s="8" t="n"/>
      <c r="I1483" s="8" t="n"/>
      <c r="J1483" s="8" t="n"/>
      <c r="K1483" s="12">
        <f>IF(OR(ISERROR(VLOOKUP(C1483, Resultados_Reales!$A$4:$I$107, 5, FALSE)), ISERROR(VLOOKUP(C1483, Resultados_Reales!$A$4:$I$107, 6, FALSE)), VLOOKUP(C1483, Resultados_Reales!$A$4:$I$107, 5, FALSE)="", VLOOKUP(C1483, Resultados_Reales!$A$4:$I$107, 6, FALSE)=""), 0, IF(AND(VLOOKUP(C1483, Resultados_Reales!$A$4:$I$107, 5, FALSE)=G1483, VLOOKUP(C1483, Resultados_Reales!$A$4:$I$107, 6, FALSE)=H1483), Configuracion!$B$5, IF(SIGN(VLOOKUP(C1483, Resultados_Reales!$A$4:$I$107, 5, FALSE)-VLOOKUP(C1483, Resultados_Reales!$A$4:$I$107, 6, FALSE)) = SIGN(G1483-H1483), Configuracion!$B$4, 0)))</f>
        <v/>
      </c>
      <c r="L1483" s="11" t="n"/>
      <c r="M1483" s="11" t="n"/>
      <c r="N1483" s="11" t="n"/>
      <c r="O1483" s="11" t="n"/>
      <c r="P1483" s="11" t="n"/>
      <c r="Q1483" s="11" t="n"/>
    </row>
    <row r="1484">
      <c r="A1484" s="8">
        <f>B1484&amp;"_"&amp;C1484</f>
        <v/>
      </c>
      <c r="B1484" s="8" t="n"/>
      <c r="C1484" s="8" t="n"/>
      <c r="D1484" s="8" t="n"/>
      <c r="E1484" s="11" t="n"/>
      <c r="F1484" s="11" t="n"/>
      <c r="G1484" s="8" t="n"/>
      <c r="H1484" s="8" t="n"/>
      <c r="I1484" s="8" t="n"/>
      <c r="J1484" s="8" t="n"/>
      <c r="K1484" s="12">
        <f>IF(OR(ISERROR(VLOOKUP(C1484, Resultados_Reales!$A$4:$I$107, 5, FALSE)), ISERROR(VLOOKUP(C1484, Resultados_Reales!$A$4:$I$107, 6, FALSE)), VLOOKUP(C1484, Resultados_Reales!$A$4:$I$107, 5, FALSE)="", VLOOKUP(C1484, Resultados_Reales!$A$4:$I$107, 6, FALSE)=""), 0, IF(AND(VLOOKUP(C1484, Resultados_Reales!$A$4:$I$107, 5, FALSE)=G1484, VLOOKUP(C1484, Resultados_Reales!$A$4:$I$107, 6, FALSE)=H1484), Configuracion!$B$5, IF(SIGN(VLOOKUP(C1484, Resultados_Reales!$A$4:$I$107, 5, FALSE)-VLOOKUP(C1484, Resultados_Reales!$A$4:$I$107, 6, FALSE)) = SIGN(G1484-H1484), Configuracion!$B$4, 0)))</f>
        <v/>
      </c>
      <c r="L1484" s="11" t="n"/>
      <c r="M1484" s="11" t="n"/>
      <c r="N1484" s="11" t="n"/>
      <c r="O1484" s="11" t="n"/>
      <c r="P1484" s="11" t="n"/>
      <c r="Q1484" s="11" t="n"/>
    </row>
    <row r="1485">
      <c r="A1485" s="8">
        <f>B1485&amp;"_"&amp;C1485</f>
        <v/>
      </c>
      <c r="B1485" s="8" t="n"/>
      <c r="C1485" s="8" t="n"/>
      <c r="D1485" s="8" t="n"/>
      <c r="E1485" s="11" t="n"/>
      <c r="F1485" s="11" t="n"/>
      <c r="G1485" s="8" t="n"/>
      <c r="H1485" s="8" t="n"/>
      <c r="I1485" s="8" t="n"/>
      <c r="J1485" s="8" t="n"/>
      <c r="K1485" s="12">
        <f>IF(OR(ISERROR(VLOOKUP(C1485, Resultados_Reales!$A$4:$I$107, 5, FALSE)), ISERROR(VLOOKUP(C1485, Resultados_Reales!$A$4:$I$107, 6, FALSE)), VLOOKUP(C1485, Resultados_Reales!$A$4:$I$107, 5, FALSE)="", VLOOKUP(C1485, Resultados_Reales!$A$4:$I$107, 6, FALSE)=""), 0, IF(AND(VLOOKUP(C1485, Resultados_Reales!$A$4:$I$107, 5, FALSE)=G1485, VLOOKUP(C1485, Resultados_Reales!$A$4:$I$107, 6, FALSE)=H1485), Configuracion!$B$5, IF(SIGN(VLOOKUP(C1485, Resultados_Reales!$A$4:$I$107, 5, FALSE)-VLOOKUP(C1485, Resultados_Reales!$A$4:$I$107, 6, FALSE)) = SIGN(G1485-H1485), Configuracion!$B$4, 0)))</f>
        <v/>
      </c>
      <c r="L1485" s="11" t="n"/>
      <c r="M1485" s="11" t="n"/>
      <c r="N1485" s="11" t="n"/>
      <c r="O1485" s="11" t="n"/>
      <c r="P1485" s="11" t="n"/>
      <c r="Q1485" s="11" t="n"/>
    </row>
    <row r="1486">
      <c r="A1486" s="8">
        <f>B1486&amp;"_"&amp;C1486</f>
        <v/>
      </c>
      <c r="B1486" s="8" t="n"/>
      <c r="C1486" s="8" t="n"/>
      <c r="D1486" s="8" t="n"/>
      <c r="E1486" s="11" t="n"/>
      <c r="F1486" s="11" t="n"/>
      <c r="G1486" s="8" t="n"/>
      <c r="H1486" s="8" t="n"/>
      <c r="I1486" s="8" t="n"/>
      <c r="J1486" s="8" t="n"/>
      <c r="K1486" s="12">
        <f>IF(OR(ISERROR(VLOOKUP(C1486, Resultados_Reales!$A$4:$I$107, 5, FALSE)), ISERROR(VLOOKUP(C1486, Resultados_Reales!$A$4:$I$107, 6, FALSE)), VLOOKUP(C1486, Resultados_Reales!$A$4:$I$107, 5, FALSE)="", VLOOKUP(C1486, Resultados_Reales!$A$4:$I$107, 6, FALSE)=""), 0, IF(AND(VLOOKUP(C1486, Resultados_Reales!$A$4:$I$107, 5, FALSE)=G1486, VLOOKUP(C1486, Resultados_Reales!$A$4:$I$107, 6, FALSE)=H1486), Configuracion!$B$5, IF(SIGN(VLOOKUP(C1486, Resultados_Reales!$A$4:$I$107, 5, FALSE)-VLOOKUP(C1486, Resultados_Reales!$A$4:$I$107, 6, FALSE)) = SIGN(G1486-H1486), Configuracion!$B$4, 0)))</f>
        <v/>
      </c>
      <c r="L1486" s="11" t="n"/>
      <c r="M1486" s="11" t="n"/>
      <c r="N1486" s="11" t="n"/>
      <c r="O1486" s="11" t="n"/>
      <c r="P1486" s="11" t="n"/>
      <c r="Q1486" s="11" t="n"/>
    </row>
    <row r="1487">
      <c r="A1487" s="8">
        <f>B1487&amp;"_"&amp;C1487</f>
        <v/>
      </c>
      <c r="B1487" s="8" t="n"/>
      <c r="C1487" s="8" t="n"/>
      <c r="D1487" s="8" t="n"/>
      <c r="E1487" s="11" t="n"/>
      <c r="F1487" s="11" t="n"/>
      <c r="G1487" s="8" t="n"/>
      <c r="H1487" s="8" t="n"/>
      <c r="I1487" s="8" t="n"/>
      <c r="J1487" s="8" t="n"/>
      <c r="K1487" s="12">
        <f>IF(OR(ISERROR(VLOOKUP(C1487, Resultados_Reales!$A$4:$I$107, 5, FALSE)), ISERROR(VLOOKUP(C1487, Resultados_Reales!$A$4:$I$107, 6, FALSE)), VLOOKUP(C1487, Resultados_Reales!$A$4:$I$107, 5, FALSE)="", VLOOKUP(C1487, Resultados_Reales!$A$4:$I$107, 6, FALSE)=""), 0, IF(AND(VLOOKUP(C1487, Resultados_Reales!$A$4:$I$107, 5, FALSE)=G1487, VLOOKUP(C1487, Resultados_Reales!$A$4:$I$107, 6, FALSE)=H1487), Configuracion!$B$5, IF(SIGN(VLOOKUP(C1487, Resultados_Reales!$A$4:$I$107, 5, FALSE)-VLOOKUP(C1487, Resultados_Reales!$A$4:$I$107, 6, FALSE)) = SIGN(G1487-H1487), Configuracion!$B$4, 0)))</f>
        <v/>
      </c>
      <c r="L1487" s="11" t="n"/>
      <c r="M1487" s="11" t="n"/>
      <c r="N1487" s="11" t="n"/>
      <c r="O1487" s="11" t="n"/>
      <c r="P1487" s="11" t="n"/>
      <c r="Q1487" s="11" t="n"/>
    </row>
    <row r="1488">
      <c r="A1488" s="8">
        <f>B1488&amp;"_"&amp;C1488</f>
        <v/>
      </c>
      <c r="B1488" s="8" t="n"/>
      <c r="C1488" s="8" t="n"/>
      <c r="D1488" s="8" t="n"/>
      <c r="E1488" s="11" t="n"/>
      <c r="F1488" s="11" t="n"/>
      <c r="G1488" s="8" t="n"/>
      <c r="H1488" s="8" t="n"/>
      <c r="I1488" s="8" t="n"/>
      <c r="J1488" s="8" t="n"/>
      <c r="K1488" s="12">
        <f>IF(OR(ISERROR(VLOOKUP(C1488, Resultados_Reales!$A$4:$I$107, 5, FALSE)), ISERROR(VLOOKUP(C1488, Resultados_Reales!$A$4:$I$107, 6, FALSE)), VLOOKUP(C1488, Resultados_Reales!$A$4:$I$107, 5, FALSE)="", VLOOKUP(C1488, Resultados_Reales!$A$4:$I$107, 6, FALSE)=""), 0, IF(AND(VLOOKUP(C1488, Resultados_Reales!$A$4:$I$107, 5, FALSE)=G1488, VLOOKUP(C1488, Resultados_Reales!$A$4:$I$107, 6, FALSE)=H1488), Configuracion!$B$5, IF(SIGN(VLOOKUP(C1488, Resultados_Reales!$A$4:$I$107, 5, FALSE)-VLOOKUP(C1488, Resultados_Reales!$A$4:$I$107, 6, FALSE)) = SIGN(G1488-H1488), Configuracion!$B$4, 0)))</f>
        <v/>
      </c>
      <c r="L1488" s="11" t="n"/>
      <c r="M1488" s="11" t="n"/>
      <c r="N1488" s="11" t="n"/>
      <c r="O1488" s="11" t="n"/>
      <c r="P1488" s="11" t="n"/>
      <c r="Q1488" s="11" t="n"/>
    </row>
    <row r="1489">
      <c r="A1489" s="8">
        <f>B1489&amp;"_"&amp;C1489</f>
        <v/>
      </c>
      <c r="B1489" s="8" t="n"/>
      <c r="C1489" s="8" t="n"/>
      <c r="D1489" s="8" t="n"/>
      <c r="E1489" s="11" t="n"/>
      <c r="F1489" s="11" t="n"/>
      <c r="G1489" s="8" t="n"/>
      <c r="H1489" s="8" t="n"/>
      <c r="I1489" s="8" t="n"/>
      <c r="J1489" s="8" t="n"/>
      <c r="K1489" s="12">
        <f>IF(OR(ISERROR(VLOOKUP(C1489, Resultados_Reales!$A$4:$I$107, 5, FALSE)), ISERROR(VLOOKUP(C1489, Resultados_Reales!$A$4:$I$107, 6, FALSE)), VLOOKUP(C1489, Resultados_Reales!$A$4:$I$107, 5, FALSE)="", VLOOKUP(C1489, Resultados_Reales!$A$4:$I$107, 6, FALSE)=""), 0, IF(AND(VLOOKUP(C1489, Resultados_Reales!$A$4:$I$107, 5, FALSE)=G1489, VLOOKUP(C1489, Resultados_Reales!$A$4:$I$107, 6, FALSE)=H1489), Configuracion!$B$5, IF(SIGN(VLOOKUP(C1489, Resultados_Reales!$A$4:$I$107, 5, FALSE)-VLOOKUP(C1489, Resultados_Reales!$A$4:$I$107, 6, FALSE)) = SIGN(G1489-H1489), Configuracion!$B$4, 0)))</f>
        <v/>
      </c>
      <c r="L1489" s="11" t="n"/>
      <c r="M1489" s="11" t="n"/>
      <c r="N1489" s="11" t="n"/>
      <c r="O1489" s="11" t="n"/>
      <c r="P1489" s="11" t="n"/>
      <c r="Q1489" s="11" t="n"/>
    </row>
    <row r="1490">
      <c r="A1490" s="8">
        <f>B1490&amp;"_"&amp;C1490</f>
        <v/>
      </c>
      <c r="B1490" s="8" t="n"/>
      <c r="C1490" s="8" t="n"/>
      <c r="D1490" s="8" t="n"/>
      <c r="E1490" s="11" t="n"/>
      <c r="F1490" s="11" t="n"/>
      <c r="G1490" s="8" t="n"/>
      <c r="H1490" s="8" t="n"/>
      <c r="I1490" s="8" t="n"/>
      <c r="J1490" s="8" t="n"/>
      <c r="K1490" s="12">
        <f>IF(OR(ISERROR(VLOOKUP(C1490, Resultados_Reales!$A$4:$I$107, 5, FALSE)), ISERROR(VLOOKUP(C1490, Resultados_Reales!$A$4:$I$107, 6, FALSE)), VLOOKUP(C1490, Resultados_Reales!$A$4:$I$107, 5, FALSE)="", VLOOKUP(C1490, Resultados_Reales!$A$4:$I$107, 6, FALSE)=""), 0, IF(AND(VLOOKUP(C1490, Resultados_Reales!$A$4:$I$107, 5, FALSE)=G1490, VLOOKUP(C1490, Resultados_Reales!$A$4:$I$107, 6, FALSE)=H1490), Configuracion!$B$5, IF(SIGN(VLOOKUP(C1490, Resultados_Reales!$A$4:$I$107, 5, FALSE)-VLOOKUP(C1490, Resultados_Reales!$A$4:$I$107, 6, FALSE)) = SIGN(G1490-H1490), Configuracion!$B$4, 0)))</f>
        <v/>
      </c>
      <c r="L1490" s="11" t="n"/>
      <c r="M1490" s="11" t="n"/>
      <c r="N1490" s="11" t="n"/>
      <c r="O1490" s="11" t="n"/>
      <c r="P1490" s="11" t="n"/>
      <c r="Q1490" s="11" t="n"/>
    </row>
    <row r="1491">
      <c r="A1491" s="8">
        <f>B1491&amp;"_"&amp;C1491</f>
        <v/>
      </c>
      <c r="B1491" s="8" t="n"/>
      <c r="C1491" s="8" t="n"/>
      <c r="D1491" s="8" t="n"/>
      <c r="E1491" s="11" t="n"/>
      <c r="F1491" s="11" t="n"/>
      <c r="G1491" s="8" t="n"/>
      <c r="H1491" s="8" t="n"/>
      <c r="I1491" s="8" t="n"/>
      <c r="J1491" s="8" t="n"/>
      <c r="K1491" s="12">
        <f>IF(OR(ISERROR(VLOOKUP(C1491, Resultados_Reales!$A$4:$I$107, 5, FALSE)), ISERROR(VLOOKUP(C1491, Resultados_Reales!$A$4:$I$107, 6, FALSE)), VLOOKUP(C1491, Resultados_Reales!$A$4:$I$107, 5, FALSE)="", VLOOKUP(C1491, Resultados_Reales!$A$4:$I$107, 6, FALSE)=""), 0, IF(AND(VLOOKUP(C1491, Resultados_Reales!$A$4:$I$107, 5, FALSE)=G1491, VLOOKUP(C1491, Resultados_Reales!$A$4:$I$107, 6, FALSE)=H1491), Configuracion!$B$5, IF(SIGN(VLOOKUP(C1491, Resultados_Reales!$A$4:$I$107, 5, FALSE)-VLOOKUP(C1491, Resultados_Reales!$A$4:$I$107, 6, FALSE)) = SIGN(G1491-H1491), Configuracion!$B$4, 0)))</f>
        <v/>
      </c>
      <c r="L1491" s="11" t="n"/>
      <c r="M1491" s="11" t="n"/>
      <c r="N1491" s="11" t="n"/>
      <c r="O1491" s="11" t="n"/>
      <c r="P1491" s="11" t="n"/>
      <c r="Q1491" s="11" t="n"/>
    </row>
    <row r="1492">
      <c r="A1492" s="8">
        <f>B1492&amp;"_"&amp;C1492</f>
        <v/>
      </c>
      <c r="B1492" s="8" t="n"/>
      <c r="C1492" s="8" t="n"/>
      <c r="D1492" s="8" t="n"/>
      <c r="E1492" s="11" t="n"/>
      <c r="F1492" s="11" t="n"/>
      <c r="G1492" s="8" t="n"/>
      <c r="H1492" s="8" t="n"/>
      <c r="I1492" s="8" t="n"/>
      <c r="J1492" s="8" t="n"/>
      <c r="K1492" s="12">
        <f>IF(OR(ISERROR(VLOOKUP(C1492, Resultados_Reales!$A$4:$I$107, 5, FALSE)), ISERROR(VLOOKUP(C1492, Resultados_Reales!$A$4:$I$107, 6, FALSE)), VLOOKUP(C1492, Resultados_Reales!$A$4:$I$107, 5, FALSE)="", VLOOKUP(C1492, Resultados_Reales!$A$4:$I$107, 6, FALSE)=""), 0, IF(AND(VLOOKUP(C1492, Resultados_Reales!$A$4:$I$107, 5, FALSE)=G1492, VLOOKUP(C1492, Resultados_Reales!$A$4:$I$107, 6, FALSE)=H1492), Configuracion!$B$5, IF(SIGN(VLOOKUP(C1492, Resultados_Reales!$A$4:$I$107, 5, FALSE)-VLOOKUP(C1492, Resultados_Reales!$A$4:$I$107, 6, FALSE)) = SIGN(G1492-H1492), Configuracion!$B$4, 0)))</f>
        <v/>
      </c>
      <c r="L1492" s="11" t="n"/>
      <c r="M1492" s="11" t="n"/>
      <c r="N1492" s="11" t="n"/>
      <c r="O1492" s="11" t="n"/>
      <c r="P1492" s="11" t="n"/>
      <c r="Q1492" s="11" t="n"/>
    </row>
    <row r="1493">
      <c r="A1493" s="8">
        <f>B1493&amp;"_"&amp;C1493</f>
        <v/>
      </c>
      <c r="B1493" s="8" t="n"/>
      <c r="C1493" s="8" t="n"/>
      <c r="D1493" s="8" t="n"/>
      <c r="E1493" s="11" t="n"/>
      <c r="F1493" s="11" t="n"/>
      <c r="G1493" s="8" t="n"/>
      <c r="H1493" s="8" t="n"/>
      <c r="I1493" s="8" t="n"/>
      <c r="J1493" s="8" t="n"/>
      <c r="K1493" s="12">
        <f>IF(OR(ISERROR(VLOOKUP(C1493, Resultados_Reales!$A$4:$I$107, 5, FALSE)), ISERROR(VLOOKUP(C1493, Resultados_Reales!$A$4:$I$107, 6, FALSE)), VLOOKUP(C1493, Resultados_Reales!$A$4:$I$107, 5, FALSE)="", VLOOKUP(C1493, Resultados_Reales!$A$4:$I$107, 6, FALSE)=""), 0, IF(AND(VLOOKUP(C1493, Resultados_Reales!$A$4:$I$107, 5, FALSE)=G1493, VLOOKUP(C1493, Resultados_Reales!$A$4:$I$107, 6, FALSE)=H1493), Configuracion!$B$5, IF(SIGN(VLOOKUP(C1493, Resultados_Reales!$A$4:$I$107, 5, FALSE)-VLOOKUP(C1493, Resultados_Reales!$A$4:$I$107, 6, FALSE)) = SIGN(G1493-H1493), Configuracion!$B$4, 0)))</f>
        <v/>
      </c>
      <c r="L1493" s="11" t="n"/>
      <c r="M1493" s="11" t="n"/>
      <c r="N1493" s="11" t="n"/>
      <c r="O1493" s="11" t="n"/>
      <c r="P1493" s="11" t="n"/>
      <c r="Q1493" s="11" t="n"/>
    </row>
    <row r="1494">
      <c r="A1494" s="8">
        <f>B1494&amp;"_"&amp;C1494</f>
        <v/>
      </c>
      <c r="B1494" s="8" t="n"/>
      <c r="C1494" s="8" t="n"/>
      <c r="D1494" s="8" t="n"/>
      <c r="E1494" s="11" t="n"/>
      <c r="F1494" s="11" t="n"/>
      <c r="G1494" s="8" t="n"/>
      <c r="H1494" s="8" t="n"/>
      <c r="I1494" s="8" t="n"/>
      <c r="J1494" s="8" t="n"/>
      <c r="K1494" s="12">
        <f>IF(OR(ISERROR(VLOOKUP(C1494, Resultados_Reales!$A$4:$I$107, 5, FALSE)), ISERROR(VLOOKUP(C1494, Resultados_Reales!$A$4:$I$107, 6, FALSE)), VLOOKUP(C1494, Resultados_Reales!$A$4:$I$107, 5, FALSE)="", VLOOKUP(C1494, Resultados_Reales!$A$4:$I$107, 6, FALSE)=""), 0, IF(AND(VLOOKUP(C1494, Resultados_Reales!$A$4:$I$107, 5, FALSE)=G1494, VLOOKUP(C1494, Resultados_Reales!$A$4:$I$107, 6, FALSE)=H1494), Configuracion!$B$5, IF(SIGN(VLOOKUP(C1494, Resultados_Reales!$A$4:$I$107, 5, FALSE)-VLOOKUP(C1494, Resultados_Reales!$A$4:$I$107, 6, FALSE)) = SIGN(G1494-H1494), Configuracion!$B$4, 0)))</f>
        <v/>
      </c>
      <c r="L1494" s="11" t="n"/>
      <c r="M1494" s="11" t="n"/>
      <c r="N1494" s="11" t="n"/>
      <c r="O1494" s="11" t="n"/>
      <c r="P1494" s="11" t="n"/>
      <c r="Q1494" s="11" t="n"/>
    </row>
    <row r="1495">
      <c r="A1495" s="8">
        <f>B1495&amp;"_"&amp;C1495</f>
        <v/>
      </c>
      <c r="B1495" s="8" t="n"/>
      <c r="C1495" s="8" t="n"/>
      <c r="D1495" s="8" t="n"/>
      <c r="E1495" s="11" t="n"/>
      <c r="F1495" s="11" t="n"/>
      <c r="G1495" s="8" t="n"/>
      <c r="H1495" s="8" t="n"/>
      <c r="I1495" s="8" t="n"/>
      <c r="J1495" s="8" t="n"/>
      <c r="K1495" s="12">
        <f>IF(OR(ISERROR(VLOOKUP(C1495, Resultados_Reales!$A$4:$I$107, 5, FALSE)), ISERROR(VLOOKUP(C1495, Resultados_Reales!$A$4:$I$107, 6, FALSE)), VLOOKUP(C1495, Resultados_Reales!$A$4:$I$107, 5, FALSE)="", VLOOKUP(C1495, Resultados_Reales!$A$4:$I$107, 6, FALSE)=""), 0, IF(AND(VLOOKUP(C1495, Resultados_Reales!$A$4:$I$107, 5, FALSE)=G1495, VLOOKUP(C1495, Resultados_Reales!$A$4:$I$107, 6, FALSE)=H1495), Configuracion!$B$5, IF(SIGN(VLOOKUP(C1495, Resultados_Reales!$A$4:$I$107, 5, FALSE)-VLOOKUP(C1495, Resultados_Reales!$A$4:$I$107, 6, FALSE)) = SIGN(G1495-H1495), Configuracion!$B$4, 0)))</f>
        <v/>
      </c>
      <c r="L1495" s="11" t="n"/>
      <c r="M1495" s="11" t="n"/>
      <c r="N1495" s="11" t="n"/>
      <c r="O1495" s="11" t="n"/>
      <c r="P1495" s="11" t="n"/>
      <c r="Q1495" s="11" t="n"/>
    </row>
    <row r="1496">
      <c r="A1496" s="8">
        <f>B1496&amp;"_"&amp;C1496</f>
        <v/>
      </c>
      <c r="B1496" s="8" t="n"/>
      <c r="C1496" s="8" t="n"/>
      <c r="D1496" s="8" t="n"/>
      <c r="E1496" s="11" t="n"/>
      <c r="F1496" s="11" t="n"/>
      <c r="G1496" s="8" t="n"/>
      <c r="H1496" s="8" t="n"/>
      <c r="I1496" s="8" t="n"/>
      <c r="J1496" s="8" t="n"/>
      <c r="K1496" s="12">
        <f>IF(OR(ISERROR(VLOOKUP(C1496, Resultados_Reales!$A$4:$I$107, 5, FALSE)), ISERROR(VLOOKUP(C1496, Resultados_Reales!$A$4:$I$107, 6, FALSE)), VLOOKUP(C1496, Resultados_Reales!$A$4:$I$107, 5, FALSE)="", VLOOKUP(C1496, Resultados_Reales!$A$4:$I$107, 6, FALSE)=""), 0, IF(AND(VLOOKUP(C1496, Resultados_Reales!$A$4:$I$107, 5, FALSE)=G1496, VLOOKUP(C1496, Resultados_Reales!$A$4:$I$107, 6, FALSE)=H1496), Configuracion!$B$5, IF(SIGN(VLOOKUP(C1496, Resultados_Reales!$A$4:$I$107, 5, FALSE)-VLOOKUP(C1496, Resultados_Reales!$A$4:$I$107, 6, FALSE)) = SIGN(G1496-H1496), Configuracion!$B$4, 0)))</f>
        <v/>
      </c>
      <c r="L1496" s="11" t="n"/>
      <c r="M1496" s="11" t="n"/>
      <c r="N1496" s="11" t="n"/>
      <c r="O1496" s="11" t="n"/>
      <c r="P1496" s="11" t="n"/>
      <c r="Q1496" s="11" t="n"/>
    </row>
    <row r="1497">
      <c r="A1497" s="8">
        <f>B1497&amp;"_"&amp;C1497</f>
        <v/>
      </c>
      <c r="B1497" s="8" t="n"/>
      <c r="C1497" s="8" t="n"/>
      <c r="D1497" s="8" t="n"/>
      <c r="E1497" s="11" t="n"/>
      <c r="F1497" s="11" t="n"/>
      <c r="G1497" s="8" t="n"/>
      <c r="H1497" s="8" t="n"/>
      <c r="I1497" s="8" t="n"/>
      <c r="J1497" s="8" t="n"/>
      <c r="K1497" s="12">
        <f>IF(OR(ISERROR(VLOOKUP(C1497, Resultados_Reales!$A$4:$I$107, 5, FALSE)), ISERROR(VLOOKUP(C1497, Resultados_Reales!$A$4:$I$107, 6, FALSE)), VLOOKUP(C1497, Resultados_Reales!$A$4:$I$107, 5, FALSE)="", VLOOKUP(C1497, Resultados_Reales!$A$4:$I$107, 6, FALSE)=""), 0, IF(AND(VLOOKUP(C1497, Resultados_Reales!$A$4:$I$107, 5, FALSE)=G1497, VLOOKUP(C1497, Resultados_Reales!$A$4:$I$107, 6, FALSE)=H1497), Configuracion!$B$5, IF(SIGN(VLOOKUP(C1497, Resultados_Reales!$A$4:$I$107, 5, FALSE)-VLOOKUP(C1497, Resultados_Reales!$A$4:$I$107, 6, FALSE)) = SIGN(G1497-H1497), Configuracion!$B$4, 0)))</f>
        <v/>
      </c>
      <c r="L1497" s="11" t="n"/>
      <c r="M1497" s="11" t="n"/>
      <c r="N1497" s="11" t="n"/>
      <c r="O1497" s="11" t="n"/>
      <c r="P1497" s="11" t="n"/>
      <c r="Q1497" s="11" t="n"/>
    </row>
    <row r="1498">
      <c r="A1498" s="8">
        <f>B1498&amp;"_"&amp;C1498</f>
        <v/>
      </c>
      <c r="B1498" s="8" t="n"/>
      <c r="C1498" s="8" t="n"/>
      <c r="D1498" s="8" t="n"/>
      <c r="E1498" s="11" t="n"/>
      <c r="F1498" s="11" t="n"/>
      <c r="G1498" s="8" t="n"/>
      <c r="H1498" s="8" t="n"/>
      <c r="I1498" s="8" t="n"/>
      <c r="J1498" s="8" t="n"/>
      <c r="K1498" s="12">
        <f>IF(OR(ISERROR(VLOOKUP(C1498, Resultados_Reales!$A$4:$I$107, 5, FALSE)), ISERROR(VLOOKUP(C1498, Resultados_Reales!$A$4:$I$107, 6, FALSE)), VLOOKUP(C1498, Resultados_Reales!$A$4:$I$107, 5, FALSE)="", VLOOKUP(C1498, Resultados_Reales!$A$4:$I$107, 6, FALSE)=""), 0, IF(AND(VLOOKUP(C1498, Resultados_Reales!$A$4:$I$107, 5, FALSE)=G1498, VLOOKUP(C1498, Resultados_Reales!$A$4:$I$107, 6, FALSE)=H1498), Configuracion!$B$5, IF(SIGN(VLOOKUP(C1498, Resultados_Reales!$A$4:$I$107, 5, FALSE)-VLOOKUP(C1498, Resultados_Reales!$A$4:$I$107, 6, FALSE)) = SIGN(G1498-H1498), Configuracion!$B$4, 0)))</f>
        <v/>
      </c>
      <c r="L1498" s="11" t="n"/>
      <c r="M1498" s="11" t="n"/>
      <c r="N1498" s="11" t="n"/>
      <c r="O1498" s="11" t="n"/>
      <c r="P1498" s="11" t="n"/>
      <c r="Q1498" s="11" t="n"/>
    </row>
    <row r="1499">
      <c r="A1499" s="8">
        <f>B1499&amp;"_"&amp;C1499</f>
        <v/>
      </c>
      <c r="B1499" s="8" t="n"/>
      <c r="C1499" s="8" t="n"/>
      <c r="D1499" s="8" t="n"/>
      <c r="E1499" s="11" t="n"/>
      <c r="F1499" s="11" t="n"/>
      <c r="G1499" s="8" t="n"/>
      <c r="H1499" s="8" t="n"/>
      <c r="I1499" s="8" t="n"/>
      <c r="J1499" s="8" t="n"/>
      <c r="K1499" s="12">
        <f>IF(OR(ISERROR(VLOOKUP(C1499, Resultados_Reales!$A$4:$I$107, 5, FALSE)), ISERROR(VLOOKUP(C1499, Resultados_Reales!$A$4:$I$107, 6, FALSE)), VLOOKUP(C1499, Resultados_Reales!$A$4:$I$107, 5, FALSE)="", VLOOKUP(C1499, Resultados_Reales!$A$4:$I$107, 6, FALSE)=""), 0, IF(AND(VLOOKUP(C1499, Resultados_Reales!$A$4:$I$107, 5, FALSE)=G1499, VLOOKUP(C1499, Resultados_Reales!$A$4:$I$107, 6, FALSE)=H1499), Configuracion!$B$5, IF(SIGN(VLOOKUP(C1499, Resultados_Reales!$A$4:$I$107, 5, FALSE)-VLOOKUP(C1499, Resultados_Reales!$A$4:$I$107, 6, FALSE)) = SIGN(G1499-H1499), Configuracion!$B$4, 0)))</f>
        <v/>
      </c>
      <c r="L1499" s="11" t="n"/>
      <c r="M1499" s="11" t="n"/>
      <c r="N1499" s="11" t="n"/>
      <c r="O1499" s="11" t="n"/>
      <c r="P1499" s="11" t="n"/>
      <c r="Q1499" s="11" t="n"/>
    </row>
    <row r="1500">
      <c r="A1500" s="8">
        <f>B1500&amp;"_"&amp;C1500</f>
        <v/>
      </c>
      <c r="B1500" s="8" t="n"/>
      <c r="C1500" s="8" t="n"/>
      <c r="D1500" s="8" t="n"/>
      <c r="E1500" s="11" t="n"/>
      <c r="F1500" s="11" t="n"/>
      <c r="G1500" s="8" t="n"/>
      <c r="H1500" s="8" t="n"/>
      <c r="I1500" s="8" t="n"/>
      <c r="J1500" s="8" t="n"/>
      <c r="K1500" s="12">
        <f>IF(OR(ISERROR(VLOOKUP(C1500, Resultados_Reales!$A$4:$I$107, 5, FALSE)), ISERROR(VLOOKUP(C1500, Resultados_Reales!$A$4:$I$107, 6, FALSE)), VLOOKUP(C1500, Resultados_Reales!$A$4:$I$107, 5, FALSE)="", VLOOKUP(C1500, Resultados_Reales!$A$4:$I$107, 6, FALSE)=""), 0, IF(AND(VLOOKUP(C1500, Resultados_Reales!$A$4:$I$107, 5, FALSE)=G1500, VLOOKUP(C1500, Resultados_Reales!$A$4:$I$107, 6, FALSE)=H1500), Configuracion!$B$5, IF(SIGN(VLOOKUP(C1500, Resultados_Reales!$A$4:$I$107, 5, FALSE)-VLOOKUP(C1500, Resultados_Reales!$A$4:$I$107, 6, FALSE)) = SIGN(G1500-H1500), Configuracion!$B$4, 0)))</f>
        <v/>
      </c>
      <c r="L1500" s="11" t="n"/>
      <c r="M1500" s="11" t="n"/>
      <c r="N1500" s="11" t="n"/>
      <c r="O1500" s="11" t="n"/>
      <c r="P1500" s="11" t="n"/>
      <c r="Q1500" s="11" t="n"/>
    </row>
    <row r="1501">
      <c r="A1501" s="8">
        <f>B1501&amp;"_"&amp;C1501</f>
        <v/>
      </c>
      <c r="B1501" s="8" t="n"/>
      <c r="C1501" s="8" t="n"/>
      <c r="D1501" s="8" t="n"/>
      <c r="E1501" s="11" t="n"/>
      <c r="F1501" s="11" t="n"/>
      <c r="G1501" s="8" t="n"/>
      <c r="H1501" s="8" t="n"/>
      <c r="I1501" s="8" t="n"/>
      <c r="J1501" s="8" t="n"/>
      <c r="K1501" s="12">
        <f>IF(OR(ISERROR(VLOOKUP(C1501, Resultados_Reales!$A$4:$I$107, 5, FALSE)), ISERROR(VLOOKUP(C1501, Resultados_Reales!$A$4:$I$107, 6, FALSE)), VLOOKUP(C1501, Resultados_Reales!$A$4:$I$107, 5, FALSE)="", VLOOKUP(C1501, Resultados_Reales!$A$4:$I$107, 6, FALSE)=""), 0, IF(AND(VLOOKUP(C1501, Resultados_Reales!$A$4:$I$107, 5, FALSE)=G1501, VLOOKUP(C1501, Resultados_Reales!$A$4:$I$107, 6, FALSE)=H1501), Configuracion!$B$5, IF(SIGN(VLOOKUP(C1501, Resultados_Reales!$A$4:$I$107, 5, FALSE)-VLOOKUP(C1501, Resultados_Reales!$A$4:$I$107, 6, FALSE)) = SIGN(G1501-H1501), Configuracion!$B$4, 0)))</f>
        <v/>
      </c>
      <c r="L1501" s="11" t="n"/>
      <c r="M1501" s="11" t="n"/>
      <c r="N1501" s="11" t="n"/>
      <c r="O1501" s="11" t="n"/>
      <c r="P1501" s="11" t="n"/>
      <c r="Q1501" s="11" t="n"/>
    </row>
    <row r="1502">
      <c r="A1502" s="8">
        <f>B1502&amp;"_"&amp;C1502</f>
        <v/>
      </c>
      <c r="B1502" s="8" t="n"/>
      <c r="C1502" s="8" t="n"/>
      <c r="D1502" s="8" t="n"/>
      <c r="E1502" s="11" t="n"/>
      <c r="F1502" s="11" t="n"/>
      <c r="G1502" s="8" t="n"/>
      <c r="H1502" s="8" t="n"/>
      <c r="I1502" s="8" t="n"/>
      <c r="J1502" s="8" t="n"/>
      <c r="K1502" s="12">
        <f>IF(OR(ISERROR(VLOOKUP(C1502, Resultados_Reales!$A$4:$I$107, 5, FALSE)), ISERROR(VLOOKUP(C1502, Resultados_Reales!$A$4:$I$107, 6, FALSE)), VLOOKUP(C1502, Resultados_Reales!$A$4:$I$107, 5, FALSE)="", VLOOKUP(C1502, Resultados_Reales!$A$4:$I$107, 6, FALSE)=""), 0, IF(AND(VLOOKUP(C1502, Resultados_Reales!$A$4:$I$107, 5, FALSE)=G1502, VLOOKUP(C1502, Resultados_Reales!$A$4:$I$107, 6, FALSE)=H1502), Configuracion!$B$5, IF(SIGN(VLOOKUP(C1502, Resultados_Reales!$A$4:$I$107, 5, FALSE)-VLOOKUP(C1502, Resultados_Reales!$A$4:$I$107, 6, FALSE)) = SIGN(G1502-H1502), Configuracion!$B$4, 0)))</f>
        <v/>
      </c>
      <c r="L1502" s="11" t="n"/>
      <c r="M1502" s="11" t="n"/>
      <c r="N1502" s="11" t="n"/>
      <c r="O1502" s="11" t="n"/>
      <c r="P1502" s="11" t="n"/>
      <c r="Q1502" s="11" t="n"/>
    </row>
    <row r="1503">
      <c r="A1503" s="8">
        <f>B1503&amp;"_"&amp;C1503</f>
        <v/>
      </c>
      <c r="B1503" s="8" t="n"/>
      <c r="C1503" s="8" t="n"/>
      <c r="D1503" s="8" t="n"/>
      <c r="E1503" s="11" t="n"/>
      <c r="F1503" s="11" t="n"/>
      <c r="G1503" s="8" t="n"/>
      <c r="H1503" s="8" t="n"/>
      <c r="I1503" s="8" t="n"/>
      <c r="J1503" s="8" t="n"/>
      <c r="K1503" s="12">
        <f>IF(OR(ISERROR(VLOOKUP(C1503, Resultados_Reales!$A$4:$I$107, 5, FALSE)), ISERROR(VLOOKUP(C1503, Resultados_Reales!$A$4:$I$107, 6, FALSE)), VLOOKUP(C1503, Resultados_Reales!$A$4:$I$107, 5, FALSE)="", VLOOKUP(C1503, Resultados_Reales!$A$4:$I$107, 6, FALSE)=""), 0, IF(AND(VLOOKUP(C1503, Resultados_Reales!$A$4:$I$107, 5, FALSE)=G1503, VLOOKUP(C1503, Resultados_Reales!$A$4:$I$107, 6, FALSE)=H1503), Configuracion!$B$5, IF(SIGN(VLOOKUP(C1503, Resultados_Reales!$A$4:$I$107, 5, FALSE)-VLOOKUP(C1503, Resultados_Reales!$A$4:$I$107, 6, FALSE)) = SIGN(G1503-H1503), Configuracion!$B$4, 0)))</f>
        <v/>
      </c>
      <c r="L1503" s="11" t="n"/>
      <c r="M1503" s="11" t="n"/>
      <c r="N1503" s="11" t="n"/>
      <c r="O1503" s="11" t="n"/>
      <c r="P1503" s="11" t="n"/>
      <c r="Q1503" s="11" t="n"/>
    </row>
    <row r="1504">
      <c r="A1504" s="8">
        <f>B1504&amp;"_"&amp;C1504</f>
        <v/>
      </c>
      <c r="B1504" s="8" t="n"/>
      <c r="C1504" s="8" t="n"/>
      <c r="D1504" s="8" t="n"/>
      <c r="E1504" s="11" t="n"/>
      <c r="F1504" s="11" t="n"/>
      <c r="G1504" s="8" t="n"/>
      <c r="H1504" s="8" t="n"/>
      <c r="I1504" s="8" t="n"/>
      <c r="J1504" s="8" t="n"/>
      <c r="K1504" s="12">
        <f>IF(OR(ISERROR(VLOOKUP(C1504, Resultados_Reales!$A$4:$I$107, 5, FALSE)), ISERROR(VLOOKUP(C1504, Resultados_Reales!$A$4:$I$107, 6, FALSE)), VLOOKUP(C1504, Resultados_Reales!$A$4:$I$107, 5, FALSE)="", VLOOKUP(C1504, Resultados_Reales!$A$4:$I$107, 6, FALSE)=""), 0, IF(AND(VLOOKUP(C1504, Resultados_Reales!$A$4:$I$107, 5, FALSE)=G1504, VLOOKUP(C1504, Resultados_Reales!$A$4:$I$107, 6, FALSE)=H1504), Configuracion!$B$5, IF(SIGN(VLOOKUP(C1504, Resultados_Reales!$A$4:$I$107, 5, FALSE)-VLOOKUP(C1504, Resultados_Reales!$A$4:$I$107, 6, FALSE)) = SIGN(G1504-H1504), Configuracion!$B$4, 0)))</f>
        <v/>
      </c>
      <c r="L1504" s="11" t="n"/>
      <c r="M1504" s="11" t="n"/>
      <c r="N1504" s="11" t="n"/>
      <c r="O1504" s="11" t="n"/>
      <c r="P1504" s="11" t="n"/>
      <c r="Q1504" s="11" t="n"/>
    </row>
    <row r="1505">
      <c r="A1505" s="8">
        <f>B1505&amp;"_"&amp;C1505</f>
        <v/>
      </c>
      <c r="B1505" s="8" t="n"/>
      <c r="C1505" s="8" t="n"/>
      <c r="D1505" s="8" t="n"/>
      <c r="E1505" s="11" t="n"/>
      <c r="F1505" s="11" t="n"/>
      <c r="G1505" s="8" t="n"/>
      <c r="H1505" s="8" t="n"/>
      <c r="I1505" s="8" t="n"/>
      <c r="J1505" s="8" t="n"/>
      <c r="K1505" s="12">
        <f>IF(OR(ISERROR(VLOOKUP(C1505, Resultados_Reales!$A$4:$I$107, 5, FALSE)), ISERROR(VLOOKUP(C1505, Resultados_Reales!$A$4:$I$107, 6, FALSE)), VLOOKUP(C1505, Resultados_Reales!$A$4:$I$107, 5, FALSE)="", VLOOKUP(C1505, Resultados_Reales!$A$4:$I$107, 6, FALSE)=""), 0, IF(AND(VLOOKUP(C1505, Resultados_Reales!$A$4:$I$107, 5, FALSE)=G1505, VLOOKUP(C1505, Resultados_Reales!$A$4:$I$107, 6, FALSE)=H1505), Configuracion!$B$5, IF(SIGN(VLOOKUP(C1505, Resultados_Reales!$A$4:$I$107, 5, FALSE)-VLOOKUP(C1505, Resultados_Reales!$A$4:$I$107, 6, FALSE)) = SIGN(G1505-H1505), Configuracion!$B$4, 0)))</f>
        <v/>
      </c>
      <c r="L1505" s="11" t="n"/>
      <c r="M1505" s="11" t="n"/>
      <c r="N1505" s="11" t="n"/>
      <c r="O1505" s="11" t="n"/>
      <c r="P1505" s="11" t="n"/>
      <c r="Q1505" s="11" t="n"/>
    </row>
    <row r="1506">
      <c r="A1506" s="8">
        <f>B1506&amp;"_"&amp;C1506</f>
        <v/>
      </c>
      <c r="B1506" s="8" t="n"/>
      <c r="C1506" s="8" t="n"/>
      <c r="D1506" s="8" t="n"/>
      <c r="E1506" s="11" t="n"/>
      <c r="F1506" s="11" t="n"/>
      <c r="G1506" s="8" t="n"/>
      <c r="H1506" s="8" t="n"/>
      <c r="I1506" s="8" t="n"/>
      <c r="J1506" s="8" t="n"/>
      <c r="K1506" s="12">
        <f>IF(OR(ISERROR(VLOOKUP(C1506, Resultados_Reales!$A$4:$I$107, 5, FALSE)), ISERROR(VLOOKUP(C1506, Resultados_Reales!$A$4:$I$107, 6, FALSE)), VLOOKUP(C1506, Resultados_Reales!$A$4:$I$107, 5, FALSE)="", VLOOKUP(C1506, Resultados_Reales!$A$4:$I$107, 6, FALSE)=""), 0, IF(AND(VLOOKUP(C1506, Resultados_Reales!$A$4:$I$107, 5, FALSE)=G1506, VLOOKUP(C1506, Resultados_Reales!$A$4:$I$107, 6, FALSE)=H1506), Configuracion!$B$5, IF(SIGN(VLOOKUP(C1506, Resultados_Reales!$A$4:$I$107, 5, FALSE)-VLOOKUP(C1506, Resultados_Reales!$A$4:$I$107, 6, FALSE)) = SIGN(G1506-H1506), Configuracion!$B$4, 0)))</f>
        <v/>
      </c>
      <c r="L1506" s="11" t="n"/>
      <c r="M1506" s="11" t="n"/>
      <c r="N1506" s="11" t="n"/>
      <c r="O1506" s="11" t="n"/>
      <c r="P1506" s="11" t="n"/>
      <c r="Q1506" s="11" t="n"/>
    </row>
    <row r="1507">
      <c r="A1507" s="8">
        <f>B1507&amp;"_"&amp;C1507</f>
        <v/>
      </c>
      <c r="B1507" s="8" t="n"/>
      <c r="C1507" s="8" t="n"/>
      <c r="D1507" s="8" t="n"/>
      <c r="E1507" s="11" t="n"/>
      <c r="F1507" s="11" t="n"/>
      <c r="G1507" s="8" t="n"/>
      <c r="H1507" s="8" t="n"/>
      <c r="I1507" s="8" t="n"/>
      <c r="J1507" s="8" t="n"/>
      <c r="K1507" s="12">
        <f>IF(OR(ISERROR(VLOOKUP(C1507, Resultados_Reales!$A$4:$I$107, 5, FALSE)), ISERROR(VLOOKUP(C1507, Resultados_Reales!$A$4:$I$107, 6, FALSE)), VLOOKUP(C1507, Resultados_Reales!$A$4:$I$107, 5, FALSE)="", VLOOKUP(C1507, Resultados_Reales!$A$4:$I$107, 6, FALSE)=""), 0, IF(AND(VLOOKUP(C1507, Resultados_Reales!$A$4:$I$107, 5, FALSE)=G1507, VLOOKUP(C1507, Resultados_Reales!$A$4:$I$107, 6, FALSE)=H1507), Configuracion!$B$5, IF(SIGN(VLOOKUP(C1507, Resultados_Reales!$A$4:$I$107, 5, FALSE)-VLOOKUP(C1507, Resultados_Reales!$A$4:$I$107, 6, FALSE)) = SIGN(G1507-H1507), Configuracion!$B$4, 0)))</f>
        <v/>
      </c>
      <c r="L1507" s="11" t="n"/>
      <c r="M1507" s="11" t="n"/>
      <c r="N1507" s="11" t="n"/>
      <c r="O1507" s="11" t="n"/>
      <c r="P1507" s="11" t="n"/>
      <c r="Q1507" s="11" t="n"/>
    </row>
    <row r="1508">
      <c r="A1508" s="8">
        <f>B1508&amp;"_"&amp;C1508</f>
        <v/>
      </c>
      <c r="B1508" s="8" t="n"/>
      <c r="C1508" s="8" t="n"/>
      <c r="D1508" s="8" t="n"/>
      <c r="E1508" s="11" t="n"/>
      <c r="F1508" s="11" t="n"/>
      <c r="G1508" s="8" t="n"/>
      <c r="H1508" s="8" t="n"/>
      <c r="I1508" s="8" t="n"/>
      <c r="J1508" s="8" t="n"/>
      <c r="K1508" s="12">
        <f>IF(OR(ISERROR(VLOOKUP(C1508, Resultados_Reales!$A$4:$I$107, 5, FALSE)), ISERROR(VLOOKUP(C1508, Resultados_Reales!$A$4:$I$107, 6, FALSE)), VLOOKUP(C1508, Resultados_Reales!$A$4:$I$107, 5, FALSE)="", VLOOKUP(C1508, Resultados_Reales!$A$4:$I$107, 6, FALSE)=""), 0, IF(AND(VLOOKUP(C1508, Resultados_Reales!$A$4:$I$107, 5, FALSE)=G1508, VLOOKUP(C1508, Resultados_Reales!$A$4:$I$107, 6, FALSE)=H1508), Configuracion!$B$5, IF(SIGN(VLOOKUP(C1508, Resultados_Reales!$A$4:$I$107, 5, FALSE)-VLOOKUP(C1508, Resultados_Reales!$A$4:$I$107, 6, FALSE)) = SIGN(G1508-H1508), Configuracion!$B$4, 0)))</f>
        <v/>
      </c>
      <c r="L1508" s="11" t="n"/>
      <c r="M1508" s="11" t="n"/>
      <c r="N1508" s="11" t="n"/>
      <c r="O1508" s="11" t="n"/>
      <c r="P1508" s="11" t="n"/>
      <c r="Q1508" s="11" t="n"/>
    </row>
    <row r="1509">
      <c r="A1509" s="8">
        <f>B1509&amp;"_"&amp;C1509</f>
        <v/>
      </c>
      <c r="B1509" s="8" t="n"/>
      <c r="C1509" s="8" t="n"/>
      <c r="D1509" s="8" t="n"/>
      <c r="E1509" s="11" t="n"/>
      <c r="F1509" s="11" t="n"/>
      <c r="G1509" s="8" t="n"/>
      <c r="H1509" s="8" t="n"/>
      <c r="I1509" s="8" t="n"/>
      <c r="J1509" s="8" t="n"/>
      <c r="K1509" s="12">
        <f>IF(OR(ISERROR(VLOOKUP(C1509, Resultados_Reales!$A$4:$I$107, 5, FALSE)), ISERROR(VLOOKUP(C1509, Resultados_Reales!$A$4:$I$107, 6, FALSE)), VLOOKUP(C1509, Resultados_Reales!$A$4:$I$107, 5, FALSE)="", VLOOKUP(C1509, Resultados_Reales!$A$4:$I$107, 6, FALSE)=""), 0, IF(AND(VLOOKUP(C1509, Resultados_Reales!$A$4:$I$107, 5, FALSE)=G1509, VLOOKUP(C1509, Resultados_Reales!$A$4:$I$107, 6, FALSE)=H1509), Configuracion!$B$5, IF(SIGN(VLOOKUP(C1509, Resultados_Reales!$A$4:$I$107, 5, FALSE)-VLOOKUP(C1509, Resultados_Reales!$A$4:$I$107, 6, FALSE)) = SIGN(G1509-H1509), Configuracion!$B$4, 0)))</f>
        <v/>
      </c>
      <c r="L1509" s="11" t="n"/>
      <c r="M1509" s="11" t="n"/>
      <c r="N1509" s="11" t="n"/>
      <c r="O1509" s="11" t="n"/>
      <c r="P1509" s="11" t="n"/>
      <c r="Q1509" s="11" t="n"/>
    </row>
    <row r="1510">
      <c r="A1510" s="8">
        <f>B1510&amp;"_"&amp;C1510</f>
        <v/>
      </c>
      <c r="B1510" s="8" t="n"/>
      <c r="C1510" s="8" t="n"/>
      <c r="D1510" s="8" t="n"/>
      <c r="E1510" s="11" t="n"/>
      <c r="F1510" s="11" t="n"/>
      <c r="G1510" s="8" t="n"/>
      <c r="H1510" s="8" t="n"/>
      <c r="I1510" s="8" t="n"/>
      <c r="J1510" s="8" t="n"/>
      <c r="K1510" s="12">
        <f>IF(OR(ISERROR(VLOOKUP(C1510, Resultados_Reales!$A$4:$I$107, 5, FALSE)), ISERROR(VLOOKUP(C1510, Resultados_Reales!$A$4:$I$107, 6, FALSE)), VLOOKUP(C1510, Resultados_Reales!$A$4:$I$107, 5, FALSE)="", VLOOKUP(C1510, Resultados_Reales!$A$4:$I$107, 6, FALSE)=""), 0, IF(AND(VLOOKUP(C1510, Resultados_Reales!$A$4:$I$107, 5, FALSE)=G1510, VLOOKUP(C1510, Resultados_Reales!$A$4:$I$107, 6, FALSE)=H1510), Configuracion!$B$5, IF(SIGN(VLOOKUP(C1510, Resultados_Reales!$A$4:$I$107, 5, FALSE)-VLOOKUP(C1510, Resultados_Reales!$A$4:$I$107, 6, FALSE)) = SIGN(G1510-H1510), Configuracion!$B$4, 0)))</f>
        <v/>
      </c>
      <c r="L1510" s="11" t="n"/>
      <c r="M1510" s="11" t="n"/>
      <c r="N1510" s="11" t="n"/>
      <c r="O1510" s="11" t="n"/>
      <c r="P1510" s="11" t="n"/>
      <c r="Q1510" s="11" t="n"/>
    </row>
    <row r="1511">
      <c r="A1511" s="8">
        <f>B1511&amp;"_"&amp;C1511</f>
        <v/>
      </c>
      <c r="B1511" s="8" t="n"/>
      <c r="C1511" s="8" t="n"/>
      <c r="D1511" s="8" t="n"/>
      <c r="E1511" s="11" t="n"/>
      <c r="F1511" s="11" t="n"/>
      <c r="G1511" s="8" t="n"/>
      <c r="H1511" s="8" t="n"/>
      <c r="I1511" s="8" t="n"/>
      <c r="J1511" s="8" t="n"/>
      <c r="K1511" s="12">
        <f>IF(OR(ISERROR(VLOOKUP(C1511, Resultados_Reales!$A$4:$I$107, 5, FALSE)), ISERROR(VLOOKUP(C1511, Resultados_Reales!$A$4:$I$107, 6, FALSE)), VLOOKUP(C1511, Resultados_Reales!$A$4:$I$107, 5, FALSE)="", VLOOKUP(C1511, Resultados_Reales!$A$4:$I$107, 6, FALSE)=""), 0, IF(AND(VLOOKUP(C1511, Resultados_Reales!$A$4:$I$107, 5, FALSE)=G1511, VLOOKUP(C1511, Resultados_Reales!$A$4:$I$107, 6, FALSE)=H1511), Configuracion!$B$5, IF(SIGN(VLOOKUP(C1511, Resultados_Reales!$A$4:$I$107, 5, FALSE)-VLOOKUP(C1511, Resultados_Reales!$A$4:$I$107, 6, FALSE)) = SIGN(G1511-H1511), Configuracion!$B$4, 0)))</f>
        <v/>
      </c>
      <c r="L1511" s="11" t="n"/>
      <c r="M1511" s="11" t="n"/>
      <c r="N1511" s="11" t="n"/>
      <c r="O1511" s="11" t="n"/>
      <c r="P1511" s="11" t="n"/>
      <c r="Q1511" s="11" t="n"/>
    </row>
    <row r="1512">
      <c r="A1512" s="8">
        <f>B1512&amp;"_"&amp;C1512</f>
        <v/>
      </c>
      <c r="B1512" s="8" t="n"/>
      <c r="C1512" s="8" t="n"/>
      <c r="D1512" s="8" t="n"/>
      <c r="E1512" s="11" t="n"/>
      <c r="F1512" s="11" t="n"/>
      <c r="G1512" s="8" t="n"/>
      <c r="H1512" s="8" t="n"/>
      <c r="I1512" s="8" t="n"/>
      <c r="J1512" s="8" t="n"/>
      <c r="K1512" s="12">
        <f>IF(OR(ISERROR(VLOOKUP(C1512, Resultados_Reales!$A$4:$I$107, 5, FALSE)), ISERROR(VLOOKUP(C1512, Resultados_Reales!$A$4:$I$107, 6, FALSE)), VLOOKUP(C1512, Resultados_Reales!$A$4:$I$107, 5, FALSE)="", VLOOKUP(C1512, Resultados_Reales!$A$4:$I$107, 6, FALSE)=""), 0, IF(AND(VLOOKUP(C1512, Resultados_Reales!$A$4:$I$107, 5, FALSE)=G1512, VLOOKUP(C1512, Resultados_Reales!$A$4:$I$107, 6, FALSE)=H1512), Configuracion!$B$5, IF(SIGN(VLOOKUP(C1512, Resultados_Reales!$A$4:$I$107, 5, FALSE)-VLOOKUP(C1512, Resultados_Reales!$A$4:$I$107, 6, FALSE)) = SIGN(G1512-H1512), Configuracion!$B$4, 0)))</f>
        <v/>
      </c>
      <c r="L1512" s="11" t="n"/>
      <c r="M1512" s="11" t="n"/>
      <c r="N1512" s="11" t="n"/>
      <c r="O1512" s="11" t="n"/>
      <c r="P1512" s="11" t="n"/>
      <c r="Q1512" s="11" t="n"/>
    </row>
    <row r="1513">
      <c r="A1513" s="8">
        <f>B1513&amp;"_"&amp;C1513</f>
        <v/>
      </c>
      <c r="B1513" s="8" t="n"/>
      <c r="C1513" s="8" t="n"/>
      <c r="D1513" s="8" t="n"/>
      <c r="E1513" s="11" t="n"/>
      <c r="F1513" s="11" t="n"/>
      <c r="G1513" s="8" t="n"/>
      <c r="H1513" s="8" t="n"/>
      <c r="I1513" s="8" t="n"/>
      <c r="J1513" s="8" t="n"/>
      <c r="K1513" s="12">
        <f>IF(OR(ISERROR(VLOOKUP(C1513, Resultados_Reales!$A$4:$I$107, 5, FALSE)), ISERROR(VLOOKUP(C1513, Resultados_Reales!$A$4:$I$107, 6, FALSE)), VLOOKUP(C1513, Resultados_Reales!$A$4:$I$107, 5, FALSE)="", VLOOKUP(C1513, Resultados_Reales!$A$4:$I$107, 6, FALSE)=""), 0, IF(AND(VLOOKUP(C1513, Resultados_Reales!$A$4:$I$107, 5, FALSE)=G1513, VLOOKUP(C1513, Resultados_Reales!$A$4:$I$107, 6, FALSE)=H1513), Configuracion!$B$5, IF(SIGN(VLOOKUP(C1513, Resultados_Reales!$A$4:$I$107, 5, FALSE)-VLOOKUP(C1513, Resultados_Reales!$A$4:$I$107, 6, FALSE)) = SIGN(G1513-H1513), Configuracion!$B$4, 0)))</f>
        <v/>
      </c>
      <c r="L1513" s="11" t="n"/>
      <c r="M1513" s="11" t="n"/>
      <c r="N1513" s="11" t="n"/>
      <c r="O1513" s="11" t="n"/>
      <c r="P1513" s="11" t="n"/>
      <c r="Q1513" s="11" t="n"/>
    </row>
    <row r="1514">
      <c r="A1514" s="8">
        <f>B1514&amp;"_"&amp;C1514</f>
        <v/>
      </c>
      <c r="B1514" s="8" t="n"/>
      <c r="C1514" s="8" t="n"/>
      <c r="D1514" s="8" t="n"/>
      <c r="E1514" s="11" t="n"/>
      <c r="F1514" s="11" t="n"/>
      <c r="G1514" s="8" t="n"/>
      <c r="H1514" s="8" t="n"/>
      <c r="I1514" s="8" t="n"/>
      <c r="J1514" s="8" t="n"/>
      <c r="K1514" s="12">
        <f>IF(OR(ISERROR(VLOOKUP(C1514, Resultados_Reales!$A$4:$I$107, 5, FALSE)), ISERROR(VLOOKUP(C1514, Resultados_Reales!$A$4:$I$107, 6, FALSE)), VLOOKUP(C1514, Resultados_Reales!$A$4:$I$107, 5, FALSE)="", VLOOKUP(C1514, Resultados_Reales!$A$4:$I$107, 6, FALSE)=""), 0, IF(AND(VLOOKUP(C1514, Resultados_Reales!$A$4:$I$107, 5, FALSE)=G1514, VLOOKUP(C1514, Resultados_Reales!$A$4:$I$107, 6, FALSE)=H1514), Configuracion!$B$5, IF(SIGN(VLOOKUP(C1514, Resultados_Reales!$A$4:$I$107, 5, FALSE)-VLOOKUP(C1514, Resultados_Reales!$A$4:$I$107, 6, FALSE)) = SIGN(G1514-H1514), Configuracion!$B$4, 0)))</f>
        <v/>
      </c>
      <c r="L1514" s="11" t="n"/>
      <c r="M1514" s="11" t="n"/>
      <c r="N1514" s="11" t="n"/>
      <c r="O1514" s="11" t="n"/>
      <c r="P1514" s="11" t="n"/>
      <c r="Q1514" s="11" t="n"/>
    </row>
    <row r="1515">
      <c r="A1515" s="8">
        <f>B1515&amp;"_"&amp;C1515</f>
        <v/>
      </c>
      <c r="B1515" s="8" t="n"/>
      <c r="C1515" s="8" t="n"/>
      <c r="D1515" s="8" t="n"/>
      <c r="E1515" s="11" t="n"/>
      <c r="F1515" s="11" t="n"/>
      <c r="G1515" s="8" t="n"/>
      <c r="H1515" s="8" t="n"/>
      <c r="I1515" s="8" t="n"/>
      <c r="J1515" s="8" t="n"/>
      <c r="K1515" s="12">
        <f>IF(OR(ISERROR(VLOOKUP(C1515, Resultados_Reales!$A$4:$I$107, 5, FALSE)), ISERROR(VLOOKUP(C1515, Resultados_Reales!$A$4:$I$107, 6, FALSE)), VLOOKUP(C1515, Resultados_Reales!$A$4:$I$107, 5, FALSE)="", VLOOKUP(C1515, Resultados_Reales!$A$4:$I$107, 6, FALSE)=""), 0, IF(AND(VLOOKUP(C1515, Resultados_Reales!$A$4:$I$107, 5, FALSE)=G1515, VLOOKUP(C1515, Resultados_Reales!$A$4:$I$107, 6, FALSE)=H1515), Configuracion!$B$5, IF(SIGN(VLOOKUP(C1515, Resultados_Reales!$A$4:$I$107, 5, FALSE)-VLOOKUP(C1515, Resultados_Reales!$A$4:$I$107, 6, FALSE)) = SIGN(G1515-H1515), Configuracion!$B$4, 0)))</f>
        <v/>
      </c>
      <c r="L1515" s="11" t="n"/>
      <c r="M1515" s="11" t="n"/>
      <c r="N1515" s="11" t="n"/>
      <c r="O1515" s="11" t="n"/>
      <c r="P1515" s="11" t="n"/>
      <c r="Q1515" s="11" t="n"/>
    </row>
    <row r="1516">
      <c r="A1516" s="8">
        <f>B1516&amp;"_"&amp;C1516</f>
        <v/>
      </c>
      <c r="B1516" s="8" t="n"/>
      <c r="C1516" s="8" t="n"/>
      <c r="D1516" s="8" t="n"/>
      <c r="E1516" s="11" t="n"/>
      <c r="F1516" s="11" t="n"/>
      <c r="G1516" s="8" t="n"/>
      <c r="H1516" s="8" t="n"/>
      <c r="I1516" s="8" t="n"/>
      <c r="J1516" s="8" t="n"/>
      <c r="K1516" s="12">
        <f>IF(OR(ISERROR(VLOOKUP(C1516, Resultados_Reales!$A$4:$I$107, 5, FALSE)), ISERROR(VLOOKUP(C1516, Resultados_Reales!$A$4:$I$107, 6, FALSE)), VLOOKUP(C1516, Resultados_Reales!$A$4:$I$107, 5, FALSE)="", VLOOKUP(C1516, Resultados_Reales!$A$4:$I$107, 6, FALSE)=""), 0, IF(AND(VLOOKUP(C1516, Resultados_Reales!$A$4:$I$107, 5, FALSE)=G1516, VLOOKUP(C1516, Resultados_Reales!$A$4:$I$107, 6, FALSE)=H1516), Configuracion!$B$5, IF(SIGN(VLOOKUP(C1516, Resultados_Reales!$A$4:$I$107, 5, FALSE)-VLOOKUP(C1516, Resultados_Reales!$A$4:$I$107, 6, FALSE)) = SIGN(G1516-H1516), Configuracion!$B$4, 0)))</f>
        <v/>
      </c>
      <c r="L1516" s="11" t="n"/>
      <c r="M1516" s="11" t="n"/>
      <c r="N1516" s="11" t="n"/>
      <c r="O1516" s="11" t="n"/>
      <c r="P1516" s="11" t="n"/>
      <c r="Q1516" s="11" t="n"/>
    </row>
    <row r="1517">
      <c r="A1517" s="8">
        <f>B1517&amp;"_"&amp;C1517</f>
        <v/>
      </c>
      <c r="B1517" s="8" t="n"/>
      <c r="C1517" s="8" t="n"/>
      <c r="D1517" s="8" t="n"/>
      <c r="E1517" s="11" t="n"/>
      <c r="F1517" s="11" t="n"/>
      <c r="G1517" s="8" t="n"/>
      <c r="H1517" s="8" t="n"/>
      <c r="I1517" s="8" t="n"/>
      <c r="J1517" s="8" t="n"/>
      <c r="K1517" s="12">
        <f>IF(OR(ISERROR(VLOOKUP(C1517, Resultados_Reales!$A$4:$I$107, 5, FALSE)), ISERROR(VLOOKUP(C1517, Resultados_Reales!$A$4:$I$107, 6, FALSE)), VLOOKUP(C1517, Resultados_Reales!$A$4:$I$107, 5, FALSE)="", VLOOKUP(C1517, Resultados_Reales!$A$4:$I$107, 6, FALSE)=""), 0, IF(AND(VLOOKUP(C1517, Resultados_Reales!$A$4:$I$107, 5, FALSE)=G1517, VLOOKUP(C1517, Resultados_Reales!$A$4:$I$107, 6, FALSE)=H1517), Configuracion!$B$5, IF(SIGN(VLOOKUP(C1517, Resultados_Reales!$A$4:$I$107, 5, FALSE)-VLOOKUP(C1517, Resultados_Reales!$A$4:$I$107, 6, FALSE)) = SIGN(G1517-H1517), Configuracion!$B$4, 0)))</f>
        <v/>
      </c>
      <c r="L1517" s="11" t="n"/>
      <c r="M1517" s="11" t="n"/>
      <c r="N1517" s="11" t="n"/>
      <c r="O1517" s="11" t="n"/>
      <c r="P1517" s="11" t="n"/>
      <c r="Q1517" s="11" t="n"/>
    </row>
    <row r="1518">
      <c r="A1518" s="8">
        <f>B1518&amp;"_"&amp;C1518</f>
        <v/>
      </c>
      <c r="B1518" s="8" t="n"/>
      <c r="C1518" s="8" t="n"/>
      <c r="D1518" s="8" t="n"/>
      <c r="E1518" s="11" t="n"/>
      <c r="F1518" s="11" t="n"/>
      <c r="G1518" s="8" t="n"/>
      <c r="H1518" s="8" t="n"/>
      <c r="I1518" s="8" t="n"/>
      <c r="J1518" s="8" t="n"/>
      <c r="K1518" s="12">
        <f>IF(OR(ISERROR(VLOOKUP(C1518, Resultados_Reales!$A$4:$I$107, 5, FALSE)), ISERROR(VLOOKUP(C1518, Resultados_Reales!$A$4:$I$107, 6, FALSE)), VLOOKUP(C1518, Resultados_Reales!$A$4:$I$107, 5, FALSE)="", VLOOKUP(C1518, Resultados_Reales!$A$4:$I$107, 6, FALSE)=""), 0, IF(AND(VLOOKUP(C1518, Resultados_Reales!$A$4:$I$107, 5, FALSE)=G1518, VLOOKUP(C1518, Resultados_Reales!$A$4:$I$107, 6, FALSE)=H1518), Configuracion!$B$5, IF(SIGN(VLOOKUP(C1518, Resultados_Reales!$A$4:$I$107, 5, FALSE)-VLOOKUP(C1518, Resultados_Reales!$A$4:$I$107, 6, FALSE)) = SIGN(G1518-H1518), Configuracion!$B$4, 0)))</f>
        <v/>
      </c>
      <c r="L1518" s="11" t="n"/>
      <c r="M1518" s="11" t="n"/>
      <c r="N1518" s="11" t="n"/>
      <c r="O1518" s="11" t="n"/>
      <c r="P1518" s="11" t="n"/>
      <c r="Q1518" s="11" t="n"/>
    </row>
    <row r="1519">
      <c r="A1519" s="8">
        <f>B1519&amp;"_"&amp;C1519</f>
        <v/>
      </c>
      <c r="B1519" s="8" t="n"/>
      <c r="C1519" s="8" t="n"/>
      <c r="D1519" s="8" t="n"/>
      <c r="E1519" s="11" t="n"/>
      <c r="F1519" s="11" t="n"/>
      <c r="G1519" s="8" t="n"/>
      <c r="H1519" s="8" t="n"/>
      <c r="I1519" s="8" t="n"/>
      <c r="J1519" s="8" t="n"/>
      <c r="K1519" s="12">
        <f>IF(OR(ISERROR(VLOOKUP(C1519, Resultados_Reales!$A$4:$I$107, 5, FALSE)), ISERROR(VLOOKUP(C1519, Resultados_Reales!$A$4:$I$107, 6, FALSE)), VLOOKUP(C1519, Resultados_Reales!$A$4:$I$107, 5, FALSE)="", VLOOKUP(C1519, Resultados_Reales!$A$4:$I$107, 6, FALSE)=""), 0, IF(AND(VLOOKUP(C1519, Resultados_Reales!$A$4:$I$107, 5, FALSE)=G1519, VLOOKUP(C1519, Resultados_Reales!$A$4:$I$107, 6, FALSE)=H1519), Configuracion!$B$5, IF(SIGN(VLOOKUP(C1519, Resultados_Reales!$A$4:$I$107, 5, FALSE)-VLOOKUP(C1519, Resultados_Reales!$A$4:$I$107, 6, FALSE)) = SIGN(G1519-H1519), Configuracion!$B$4, 0)))</f>
        <v/>
      </c>
      <c r="L1519" s="11" t="n"/>
      <c r="M1519" s="11" t="n"/>
      <c r="N1519" s="11" t="n"/>
      <c r="O1519" s="11" t="n"/>
      <c r="P1519" s="11" t="n"/>
      <c r="Q1519" s="11" t="n"/>
    </row>
    <row r="1520">
      <c r="A1520" s="8">
        <f>B1520&amp;"_"&amp;C1520</f>
        <v/>
      </c>
      <c r="B1520" s="8" t="n"/>
      <c r="C1520" s="8" t="n"/>
      <c r="D1520" s="8" t="n"/>
      <c r="E1520" s="11" t="n"/>
      <c r="F1520" s="11" t="n"/>
      <c r="G1520" s="8" t="n"/>
      <c r="H1520" s="8" t="n"/>
      <c r="I1520" s="8" t="n"/>
      <c r="J1520" s="8" t="n"/>
      <c r="K1520" s="12">
        <f>IF(OR(ISERROR(VLOOKUP(C1520, Resultados_Reales!$A$4:$I$107, 5, FALSE)), ISERROR(VLOOKUP(C1520, Resultados_Reales!$A$4:$I$107, 6, FALSE)), VLOOKUP(C1520, Resultados_Reales!$A$4:$I$107, 5, FALSE)="", VLOOKUP(C1520, Resultados_Reales!$A$4:$I$107, 6, FALSE)=""), 0, IF(AND(VLOOKUP(C1520, Resultados_Reales!$A$4:$I$107, 5, FALSE)=G1520, VLOOKUP(C1520, Resultados_Reales!$A$4:$I$107, 6, FALSE)=H1520), Configuracion!$B$5, IF(SIGN(VLOOKUP(C1520, Resultados_Reales!$A$4:$I$107, 5, FALSE)-VLOOKUP(C1520, Resultados_Reales!$A$4:$I$107, 6, FALSE)) = SIGN(G1520-H1520), Configuracion!$B$4, 0)))</f>
        <v/>
      </c>
      <c r="L1520" s="11" t="n"/>
      <c r="M1520" s="11" t="n"/>
      <c r="N1520" s="11" t="n"/>
      <c r="O1520" s="11" t="n"/>
      <c r="P1520" s="11" t="n"/>
      <c r="Q1520" s="11" t="n"/>
    </row>
    <row r="1521">
      <c r="A1521" s="8">
        <f>B1521&amp;"_"&amp;C1521</f>
        <v/>
      </c>
      <c r="B1521" s="8" t="n"/>
      <c r="C1521" s="8" t="n"/>
      <c r="D1521" s="8" t="n"/>
      <c r="E1521" s="11" t="n"/>
      <c r="F1521" s="11" t="n"/>
      <c r="G1521" s="8" t="n"/>
      <c r="H1521" s="8" t="n"/>
      <c r="I1521" s="8" t="n"/>
      <c r="J1521" s="8" t="n"/>
      <c r="K1521" s="12">
        <f>IF(OR(ISERROR(VLOOKUP(C1521, Resultados_Reales!$A$4:$I$107, 5, FALSE)), ISERROR(VLOOKUP(C1521, Resultados_Reales!$A$4:$I$107, 6, FALSE)), VLOOKUP(C1521, Resultados_Reales!$A$4:$I$107, 5, FALSE)="", VLOOKUP(C1521, Resultados_Reales!$A$4:$I$107, 6, FALSE)=""), 0, IF(AND(VLOOKUP(C1521, Resultados_Reales!$A$4:$I$107, 5, FALSE)=G1521, VLOOKUP(C1521, Resultados_Reales!$A$4:$I$107, 6, FALSE)=H1521), Configuracion!$B$5, IF(SIGN(VLOOKUP(C1521, Resultados_Reales!$A$4:$I$107, 5, FALSE)-VLOOKUP(C1521, Resultados_Reales!$A$4:$I$107, 6, FALSE)) = SIGN(G1521-H1521), Configuracion!$B$4, 0)))</f>
        <v/>
      </c>
      <c r="L1521" s="11" t="n"/>
      <c r="M1521" s="11" t="n"/>
      <c r="N1521" s="11" t="n"/>
      <c r="O1521" s="11" t="n"/>
      <c r="P1521" s="11" t="n"/>
      <c r="Q1521" s="11" t="n"/>
    </row>
    <row r="1522">
      <c r="A1522" s="8">
        <f>B1522&amp;"_"&amp;C1522</f>
        <v/>
      </c>
      <c r="B1522" s="8" t="n"/>
      <c r="C1522" s="8" t="n"/>
      <c r="D1522" s="8" t="n"/>
      <c r="E1522" s="11" t="n"/>
      <c r="F1522" s="11" t="n"/>
      <c r="G1522" s="8" t="n"/>
      <c r="H1522" s="8" t="n"/>
      <c r="I1522" s="8" t="n"/>
      <c r="J1522" s="8" t="n"/>
      <c r="K1522" s="12">
        <f>IF(OR(ISERROR(VLOOKUP(C1522, Resultados_Reales!$A$4:$I$107, 5, FALSE)), ISERROR(VLOOKUP(C1522, Resultados_Reales!$A$4:$I$107, 6, FALSE)), VLOOKUP(C1522, Resultados_Reales!$A$4:$I$107, 5, FALSE)="", VLOOKUP(C1522, Resultados_Reales!$A$4:$I$107, 6, FALSE)=""), 0, IF(AND(VLOOKUP(C1522, Resultados_Reales!$A$4:$I$107, 5, FALSE)=G1522, VLOOKUP(C1522, Resultados_Reales!$A$4:$I$107, 6, FALSE)=H1522), Configuracion!$B$5, IF(SIGN(VLOOKUP(C1522, Resultados_Reales!$A$4:$I$107, 5, FALSE)-VLOOKUP(C1522, Resultados_Reales!$A$4:$I$107, 6, FALSE)) = SIGN(G1522-H1522), Configuracion!$B$4, 0)))</f>
        <v/>
      </c>
      <c r="L1522" s="11" t="n"/>
      <c r="M1522" s="11" t="n"/>
      <c r="N1522" s="11" t="n"/>
      <c r="O1522" s="11" t="n"/>
      <c r="P1522" s="11" t="n"/>
      <c r="Q1522" s="11" t="n"/>
    </row>
    <row r="1523">
      <c r="A1523" s="8">
        <f>B1523&amp;"_"&amp;C1523</f>
        <v/>
      </c>
      <c r="B1523" s="8" t="n"/>
      <c r="C1523" s="8" t="n"/>
      <c r="D1523" s="8" t="n"/>
      <c r="E1523" s="11" t="n"/>
      <c r="F1523" s="11" t="n"/>
      <c r="G1523" s="8" t="n"/>
      <c r="H1523" s="8" t="n"/>
      <c r="I1523" s="8" t="n"/>
      <c r="J1523" s="8" t="n"/>
      <c r="K1523" s="12">
        <f>IF(OR(ISERROR(VLOOKUP(C1523, Resultados_Reales!$A$4:$I$107, 5, FALSE)), ISERROR(VLOOKUP(C1523, Resultados_Reales!$A$4:$I$107, 6, FALSE)), VLOOKUP(C1523, Resultados_Reales!$A$4:$I$107, 5, FALSE)="", VLOOKUP(C1523, Resultados_Reales!$A$4:$I$107, 6, FALSE)=""), 0, IF(AND(VLOOKUP(C1523, Resultados_Reales!$A$4:$I$107, 5, FALSE)=G1523, VLOOKUP(C1523, Resultados_Reales!$A$4:$I$107, 6, FALSE)=H1523), Configuracion!$B$5, IF(SIGN(VLOOKUP(C1523, Resultados_Reales!$A$4:$I$107, 5, FALSE)-VLOOKUP(C1523, Resultados_Reales!$A$4:$I$107, 6, FALSE)) = SIGN(G1523-H1523), Configuracion!$B$4, 0)))</f>
        <v/>
      </c>
      <c r="L1523" s="11" t="n"/>
      <c r="M1523" s="11" t="n"/>
      <c r="N1523" s="11" t="n"/>
      <c r="O1523" s="11" t="n"/>
      <c r="P1523" s="11" t="n"/>
      <c r="Q1523" s="11" t="n"/>
    </row>
    <row r="1524">
      <c r="A1524" s="8">
        <f>B1524&amp;"_"&amp;C1524</f>
        <v/>
      </c>
      <c r="B1524" s="8" t="n"/>
      <c r="C1524" s="8" t="n"/>
      <c r="D1524" s="8" t="n"/>
      <c r="E1524" s="11" t="n"/>
      <c r="F1524" s="11" t="n"/>
      <c r="G1524" s="8" t="n"/>
      <c r="H1524" s="8" t="n"/>
      <c r="I1524" s="8" t="n"/>
      <c r="J1524" s="8" t="n"/>
      <c r="K1524" s="12">
        <f>IF(OR(ISERROR(VLOOKUP(C1524, Resultados_Reales!$A$4:$I$107, 5, FALSE)), ISERROR(VLOOKUP(C1524, Resultados_Reales!$A$4:$I$107, 6, FALSE)), VLOOKUP(C1524, Resultados_Reales!$A$4:$I$107, 5, FALSE)="", VLOOKUP(C1524, Resultados_Reales!$A$4:$I$107, 6, FALSE)=""), 0, IF(AND(VLOOKUP(C1524, Resultados_Reales!$A$4:$I$107, 5, FALSE)=G1524, VLOOKUP(C1524, Resultados_Reales!$A$4:$I$107, 6, FALSE)=H1524), Configuracion!$B$5, IF(SIGN(VLOOKUP(C1524, Resultados_Reales!$A$4:$I$107, 5, FALSE)-VLOOKUP(C1524, Resultados_Reales!$A$4:$I$107, 6, FALSE)) = SIGN(G1524-H1524), Configuracion!$B$4, 0)))</f>
        <v/>
      </c>
      <c r="L1524" s="11" t="n"/>
      <c r="M1524" s="11" t="n"/>
      <c r="N1524" s="11" t="n"/>
      <c r="O1524" s="11" t="n"/>
      <c r="P1524" s="11" t="n"/>
      <c r="Q1524" s="11" t="n"/>
    </row>
    <row r="1525">
      <c r="A1525" s="8">
        <f>B1525&amp;"_"&amp;C1525</f>
        <v/>
      </c>
      <c r="B1525" s="8" t="n"/>
      <c r="C1525" s="8" t="n"/>
      <c r="D1525" s="8" t="n"/>
      <c r="E1525" s="11" t="n"/>
      <c r="F1525" s="11" t="n"/>
      <c r="G1525" s="8" t="n"/>
      <c r="H1525" s="8" t="n"/>
      <c r="I1525" s="8" t="n"/>
      <c r="J1525" s="8" t="n"/>
      <c r="K1525" s="12">
        <f>IF(OR(ISERROR(VLOOKUP(C1525, Resultados_Reales!$A$4:$I$107, 5, FALSE)), ISERROR(VLOOKUP(C1525, Resultados_Reales!$A$4:$I$107, 6, FALSE)), VLOOKUP(C1525, Resultados_Reales!$A$4:$I$107, 5, FALSE)="", VLOOKUP(C1525, Resultados_Reales!$A$4:$I$107, 6, FALSE)=""), 0, IF(AND(VLOOKUP(C1525, Resultados_Reales!$A$4:$I$107, 5, FALSE)=G1525, VLOOKUP(C1525, Resultados_Reales!$A$4:$I$107, 6, FALSE)=H1525), Configuracion!$B$5, IF(SIGN(VLOOKUP(C1525, Resultados_Reales!$A$4:$I$107, 5, FALSE)-VLOOKUP(C1525, Resultados_Reales!$A$4:$I$107, 6, FALSE)) = SIGN(G1525-H1525), Configuracion!$B$4, 0)))</f>
        <v/>
      </c>
      <c r="L1525" s="11" t="n"/>
      <c r="M1525" s="11" t="n"/>
      <c r="N1525" s="11" t="n"/>
      <c r="O1525" s="11" t="n"/>
      <c r="P1525" s="11" t="n"/>
      <c r="Q1525" s="11" t="n"/>
    </row>
    <row r="1526">
      <c r="A1526" s="8">
        <f>B1526&amp;"_"&amp;C1526</f>
        <v/>
      </c>
      <c r="B1526" s="8" t="n"/>
      <c r="C1526" s="8" t="n"/>
      <c r="D1526" s="8" t="n"/>
      <c r="E1526" s="11" t="n"/>
      <c r="F1526" s="11" t="n"/>
      <c r="G1526" s="8" t="n"/>
      <c r="H1526" s="8" t="n"/>
      <c r="I1526" s="8" t="n"/>
      <c r="J1526" s="8" t="n"/>
      <c r="K1526" s="12">
        <f>IF(OR(ISERROR(VLOOKUP(C1526, Resultados_Reales!$A$4:$I$107, 5, FALSE)), ISERROR(VLOOKUP(C1526, Resultados_Reales!$A$4:$I$107, 6, FALSE)), VLOOKUP(C1526, Resultados_Reales!$A$4:$I$107, 5, FALSE)="", VLOOKUP(C1526, Resultados_Reales!$A$4:$I$107, 6, FALSE)=""), 0, IF(AND(VLOOKUP(C1526, Resultados_Reales!$A$4:$I$107, 5, FALSE)=G1526, VLOOKUP(C1526, Resultados_Reales!$A$4:$I$107, 6, FALSE)=H1526), Configuracion!$B$5, IF(SIGN(VLOOKUP(C1526, Resultados_Reales!$A$4:$I$107, 5, FALSE)-VLOOKUP(C1526, Resultados_Reales!$A$4:$I$107, 6, FALSE)) = SIGN(G1526-H1526), Configuracion!$B$4, 0)))</f>
        <v/>
      </c>
      <c r="L1526" s="11" t="n"/>
      <c r="M1526" s="11" t="n"/>
      <c r="N1526" s="11" t="n"/>
      <c r="O1526" s="11" t="n"/>
      <c r="P1526" s="11" t="n"/>
      <c r="Q1526" s="11" t="n"/>
    </row>
    <row r="1527">
      <c r="A1527" s="8">
        <f>B1527&amp;"_"&amp;C1527</f>
        <v/>
      </c>
      <c r="B1527" s="8" t="n"/>
      <c r="C1527" s="8" t="n"/>
      <c r="D1527" s="8" t="n"/>
      <c r="E1527" s="11" t="n"/>
      <c r="F1527" s="11" t="n"/>
      <c r="G1527" s="8" t="n"/>
      <c r="H1527" s="8" t="n"/>
      <c r="I1527" s="8" t="n"/>
      <c r="J1527" s="8" t="n"/>
      <c r="K1527" s="12">
        <f>IF(OR(ISERROR(VLOOKUP(C1527, Resultados_Reales!$A$4:$I$107, 5, FALSE)), ISERROR(VLOOKUP(C1527, Resultados_Reales!$A$4:$I$107, 6, FALSE)), VLOOKUP(C1527, Resultados_Reales!$A$4:$I$107, 5, FALSE)="", VLOOKUP(C1527, Resultados_Reales!$A$4:$I$107, 6, FALSE)=""), 0, IF(AND(VLOOKUP(C1527, Resultados_Reales!$A$4:$I$107, 5, FALSE)=G1527, VLOOKUP(C1527, Resultados_Reales!$A$4:$I$107, 6, FALSE)=H1527), Configuracion!$B$5, IF(SIGN(VLOOKUP(C1527, Resultados_Reales!$A$4:$I$107, 5, FALSE)-VLOOKUP(C1527, Resultados_Reales!$A$4:$I$107, 6, FALSE)) = SIGN(G1527-H1527), Configuracion!$B$4, 0)))</f>
        <v/>
      </c>
      <c r="L1527" s="11" t="n"/>
      <c r="M1527" s="11" t="n"/>
      <c r="N1527" s="11" t="n"/>
      <c r="O1527" s="11" t="n"/>
      <c r="P1527" s="11" t="n"/>
      <c r="Q1527" s="11" t="n"/>
    </row>
    <row r="1528">
      <c r="A1528" s="8">
        <f>B1528&amp;"_"&amp;C1528</f>
        <v/>
      </c>
      <c r="B1528" s="8" t="n"/>
      <c r="C1528" s="8" t="n"/>
      <c r="D1528" s="8" t="n"/>
      <c r="E1528" s="11" t="n"/>
      <c r="F1528" s="11" t="n"/>
      <c r="G1528" s="8" t="n"/>
      <c r="H1528" s="8" t="n"/>
      <c r="I1528" s="8" t="n"/>
      <c r="J1528" s="8" t="n"/>
      <c r="K1528" s="12">
        <f>IF(OR(ISERROR(VLOOKUP(C1528, Resultados_Reales!$A$4:$I$107, 5, FALSE)), ISERROR(VLOOKUP(C1528, Resultados_Reales!$A$4:$I$107, 6, FALSE)), VLOOKUP(C1528, Resultados_Reales!$A$4:$I$107, 5, FALSE)="", VLOOKUP(C1528, Resultados_Reales!$A$4:$I$107, 6, FALSE)=""), 0, IF(AND(VLOOKUP(C1528, Resultados_Reales!$A$4:$I$107, 5, FALSE)=G1528, VLOOKUP(C1528, Resultados_Reales!$A$4:$I$107, 6, FALSE)=H1528), Configuracion!$B$5, IF(SIGN(VLOOKUP(C1528, Resultados_Reales!$A$4:$I$107, 5, FALSE)-VLOOKUP(C1528, Resultados_Reales!$A$4:$I$107, 6, FALSE)) = SIGN(G1528-H1528), Configuracion!$B$4, 0)))</f>
        <v/>
      </c>
      <c r="L1528" s="11" t="n"/>
      <c r="M1528" s="11" t="n"/>
      <c r="N1528" s="11" t="n"/>
      <c r="O1528" s="11" t="n"/>
      <c r="P1528" s="11" t="n"/>
      <c r="Q1528" s="11" t="n"/>
    </row>
    <row r="1529">
      <c r="A1529" s="8">
        <f>B1529&amp;"_"&amp;C1529</f>
        <v/>
      </c>
      <c r="B1529" s="8" t="n"/>
      <c r="C1529" s="8" t="n"/>
      <c r="D1529" s="8" t="n"/>
      <c r="E1529" s="11" t="n"/>
      <c r="F1529" s="11" t="n"/>
      <c r="G1529" s="8" t="n"/>
      <c r="H1529" s="8" t="n"/>
      <c r="I1529" s="8" t="n"/>
      <c r="J1529" s="8" t="n"/>
      <c r="K1529" s="12">
        <f>IF(OR(ISERROR(VLOOKUP(C1529, Resultados_Reales!$A$4:$I$107, 5, FALSE)), ISERROR(VLOOKUP(C1529, Resultados_Reales!$A$4:$I$107, 6, FALSE)), VLOOKUP(C1529, Resultados_Reales!$A$4:$I$107, 5, FALSE)="", VLOOKUP(C1529, Resultados_Reales!$A$4:$I$107, 6, FALSE)=""), 0, IF(AND(VLOOKUP(C1529, Resultados_Reales!$A$4:$I$107, 5, FALSE)=G1529, VLOOKUP(C1529, Resultados_Reales!$A$4:$I$107, 6, FALSE)=H1529), Configuracion!$B$5, IF(SIGN(VLOOKUP(C1529, Resultados_Reales!$A$4:$I$107, 5, FALSE)-VLOOKUP(C1529, Resultados_Reales!$A$4:$I$107, 6, FALSE)) = SIGN(G1529-H1529), Configuracion!$B$4, 0)))</f>
        <v/>
      </c>
      <c r="L1529" s="11" t="n"/>
      <c r="M1529" s="11" t="n"/>
      <c r="N1529" s="11" t="n"/>
      <c r="O1529" s="11" t="n"/>
      <c r="P1529" s="11" t="n"/>
      <c r="Q1529" s="11" t="n"/>
    </row>
    <row r="1530">
      <c r="A1530" s="8">
        <f>B1530&amp;"_"&amp;C1530</f>
        <v/>
      </c>
      <c r="B1530" s="8" t="n"/>
      <c r="C1530" s="8" t="n"/>
      <c r="D1530" s="8" t="n"/>
      <c r="E1530" s="11" t="n"/>
      <c r="F1530" s="11" t="n"/>
      <c r="G1530" s="8" t="n"/>
      <c r="H1530" s="8" t="n"/>
      <c r="I1530" s="8" t="n"/>
      <c r="J1530" s="8" t="n"/>
      <c r="K1530" s="12">
        <f>IF(OR(ISERROR(VLOOKUP(C1530, Resultados_Reales!$A$4:$I$107, 5, FALSE)), ISERROR(VLOOKUP(C1530, Resultados_Reales!$A$4:$I$107, 6, FALSE)), VLOOKUP(C1530, Resultados_Reales!$A$4:$I$107, 5, FALSE)="", VLOOKUP(C1530, Resultados_Reales!$A$4:$I$107, 6, FALSE)=""), 0, IF(AND(VLOOKUP(C1530, Resultados_Reales!$A$4:$I$107, 5, FALSE)=G1530, VLOOKUP(C1530, Resultados_Reales!$A$4:$I$107, 6, FALSE)=H1530), Configuracion!$B$5, IF(SIGN(VLOOKUP(C1530, Resultados_Reales!$A$4:$I$107, 5, FALSE)-VLOOKUP(C1530, Resultados_Reales!$A$4:$I$107, 6, FALSE)) = SIGN(G1530-H1530), Configuracion!$B$4, 0)))</f>
        <v/>
      </c>
      <c r="L1530" s="11" t="n"/>
      <c r="M1530" s="11" t="n"/>
      <c r="N1530" s="11" t="n"/>
      <c r="O1530" s="11" t="n"/>
      <c r="P1530" s="11" t="n"/>
      <c r="Q1530" s="11" t="n"/>
    </row>
    <row r="1531">
      <c r="A1531" s="8">
        <f>B1531&amp;"_"&amp;C1531</f>
        <v/>
      </c>
      <c r="B1531" s="8" t="n"/>
      <c r="C1531" s="8" t="n"/>
      <c r="D1531" s="8" t="n"/>
      <c r="E1531" s="11" t="n"/>
      <c r="F1531" s="11" t="n"/>
      <c r="G1531" s="8" t="n"/>
      <c r="H1531" s="8" t="n"/>
      <c r="I1531" s="8" t="n"/>
      <c r="J1531" s="8" t="n"/>
      <c r="K1531" s="12">
        <f>IF(OR(ISERROR(VLOOKUP(C1531, Resultados_Reales!$A$4:$I$107, 5, FALSE)), ISERROR(VLOOKUP(C1531, Resultados_Reales!$A$4:$I$107, 6, FALSE)), VLOOKUP(C1531, Resultados_Reales!$A$4:$I$107, 5, FALSE)="", VLOOKUP(C1531, Resultados_Reales!$A$4:$I$107, 6, FALSE)=""), 0, IF(AND(VLOOKUP(C1531, Resultados_Reales!$A$4:$I$107, 5, FALSE)=G1531, VLOOKUP(C1531, Resultados_Reales!$A$4:$I$107, 6, FALSE)=H1531), Configuracion!$B$5, IF(SIGN(VLOOKUP(C1531, Resultados_Reales!$A$4:$I$107, 5, FALSE)-VLOOKUP(C1531, Resultados_Reales!$A$4:$I$107, 6, FALSE)) = SIGN(G1531-H1531), Configuracion!$B$4, 0)))</f>
        <v/>
      </c>
      <c r="L1531" s="11" t="n"/>
      <c r="M1531" s="11" t="n"/>
      <c r="N1531" s="11" t="n"/>
      <c r="O1531" s="11" t="n"/>
      <c r="P1531" s="11" t="n"/>
      <c r="Q1531" s="11" t="n"/>
    </row>
    <row r="1532">
      <c r="A1532" s="8">
        <f>B1532&amp;"_"&amp;C1532</f>
        <v/>
      </c>
      <c r="B1532" s="8" t="n"/>
      <c r="C1532" s="8" t="n"/>
      <c r="D1532" s="8" t="n"/>
      <c r="E1532" s="11" t="n"/>
      <c r="F1532" s="11" t="n"/>
      <c r="G1532" s="8" t="n"/>
      <c r="H1532" s="8" t="n"/>
      <c r="I1532" s="8" t="n"/>
      <c r="J1532" s="8" t="n"/>
      <c r="K1532" s="12">
        <f>IF(OR(ISERROR(VLOOKUP(C1532, Resultados_Reales!$A$4:$I$107, 5, FALSE)), ISERROR(VLOOKUP(C1532, Resultados_Reales!$A$4:$I$107, 6, FALSE)), VLOOKUP(C1532, Resultados_Reales!$A$4:$I$107, 5, FALSE)="", VLOOKUP(C1532, Resultados_Reales!$A$4:$I$107, 6, FALSE)=""), 0, IF(AND(VLOOKUP(C1532, Resultados_Reales!$A$4:$I$107, 5, FALSE)=G1532, VLOOKUP(C1532, Resultados_Reales!$A$4:$I$107, 6, FALSE)=H1532), Configuracion!$B$5, IF(SIGN(VLOOKUP(C1532, Resultados_Reales!$A$4:$I$107, 5, FALSE)-VLOOKUP(C1532, Resultados_Reales!$A$4:$I$107, 6, FALSE)) = SIGN(G1532-H1532), Configuracion!$B$4, 0)))</f>
        <v/>
      </c>
      <c r="L1532" s="11" t="n"/>
      <c r="M1532" s="11" t="n"/>
      <c r="N1532" s="11" t="n"/>
      <c r="O1532" s="11" t="n"/>
      <c r="P1532" s="11" t="n"/>
      <c r="Q1532" s="11" t="n"/>
    </row>
    <row r="1533">
      <c r="A1533" s="8">
        <f>B1533&amp;"_"&amp;C1533</f>
        <v/>
      </c>
      <c r="B1533" s="8" t="n"/>
      <c r="C1533" s="8" t="n"/>
      <c r="D1533" s="8" t="n"/>
      <c r="E1533" s="11" t="n"/>
      <c r="F1533" s="11" t="n"/>
      <c r="G1533" s="8" t="n"/>
      <c r="H1533" s="8" t="n"/>
      <c r="I1533" s="8" t="n"/>
      <c r="J1533" s="8" t="n"/>
      <c r="K1533" s="12">
        <f>IF(OR(ISERROR(VLOOKUP(C1533, Resultados_Reales!$A$4:$I$107, 5, FALSE)), ISERROR(VLOOKUP(C1533, Resultados_Reales!$A$4:$I$107, 6, FALSE)), VLOOKUP(C1533, Resultados_Reales!$A$4:$I$107, 5, FALSE)="", VLOOKUP(C1533, Resultados_Reales!$A$4:$I$107, 6, FALSE)=""), 0, IF(AND(VLOOKUP(C1533, Resultados_Reales!$A$4:$I$107, 5, FALSE)=G1533, VLOOKUP(C1533, Resultados_Reales!$A$4:$I$107, 6, FALSE)=H1533), Configuracion!$B$5, IF(SIGN(VLOOKUP(C1533, Resultados_Reales!$A$4:$I$107, 5, FALSE)-VLOOKUP(C1533, Resultados_Reales!$A$4:$I$107, 6, FALSE)) = SIGN(G1533-H1533), Configuracion!$B$4, 0)))</f>
        <v/>
      </c>
      <c r="L1533" s="11" t="n"/>
      <c r="M1533" s="11" t="n"/>
      <c r="N1533" s="11" t="n"/>
      <c r="O1533" s="11" t="n"/>
      <c r="P1533" s="11" t="n"/>
      <c r="Q1533" s="11" t="n"/>
    </row>
    <row r="1534">
      <c r="A1534" s="8">
        <f>B1534&amp;"_"&amp;C1534</f>
        <v/>
      </c>
      <c r="B1534" s="8" t="n"/>
      <c r="C1534" s="8" t="n"/>
      <c r="D1534" s="8" t="n"/>
      <c r="E1534" s="11" t="n"/>
      <c r="F1534" s="11" t="n"/>
      <c r="G1534" s="8" t="n"/>
      <c r="H1534" s="8" t="n"/>
      <c r="I1534" s="8" t="n"/>
      <c r="J1534" s="8" t="n"/>
      <c r="K1534" s="12">
        <f>IF(OR(ISERROR(VLOOKUP(C1534, Resultados_Reales!$A$4:$I$107, 5, FALSE)), ISERROR(VLOOKUP(C1534, Resultados_Reales!$A$4:$I$107, 6, FALSE)), VLOOKUP(C1534, Resultados_Reales!$A$4:$I$107, 5, FALSE)="", VLOOKUP(C1534, Resultados_Reales!$A$4:$I$107, 6, FALSE)=""), 0, IF(AND(VLOOKUP(C1534, Resultados_Reales!$A$4:$I$107, 5, FALSE)=G1534, VLOOKUP(C1534, Resultados_Reales!$A$4:$I$107, 6, FALSE)=H1534), Configuracion!$B$5, IF(SIGN(VLOOKUP(C1534, Resultados_Reales!$A$4:$I$107, 5, FALSE)-VLOOKUP(C1534, Resultados_Reales!$A$4:$I$107, 6, FALSE)) = SIGN(G1534-H1534), Configuracion!$B$4, 0)))</f>
        <v/>
      </c>
      <c r="L1534" s="11" t="n"/>
      <c r="M1534" s="11" t="n"/>
      <c r="N1534" s="11" t="n"/>
      <c r="O1534" s="11" t="n"/>
      <c r="P1534" s="11" t="n"/>
      <c r="Q1534" s="11" t="n"/>
    </row>
    <row r="1535">
      <c r="A1535" s="8">
        <f>B1535&amp;"_"&amp;C1535</f>
        <v/>
      </c>
      <c r="B1535" s="8" t="n"/>
      <c r="C1535" s="8" t="n"/>
      <c r="D1535" s="8" t="n"/>
      <c r="E1535" s="11" t="n"/>
      <c r="F1535" s="11" t="n"/>
      <c r="G1535" s="8" t="n"/>
      <c r="H1535" s="8" t="n"/>
      <c r="I1535" s="8" t="n"/>
      <c r="J1535" s="8" t="n"/>
      <c r="K1535" s="12">
        <f>IF(OR(ISERROR(VLOOKUP(C1535, Resultados_Reales!$A$4:$I$107, 5, FALSE)), ISERROR(VLOOKUP(C1535, Resultados_Reales!$A$4:$I$107, 6, FALSE)), VLOOKUP(C1535, Resultados_Reales!$A$4:$I$107, 5, FALSE)="", VLOOKUP(C1535, Resultados_Reales!$A$4:$I$107, 6, FALSE)=""), 0, IF(AND(VLOOKUP(C1535, Resultados_Reales!$A$4:$I$107, 5, FALSE)=G1535, VLOOKUP(C1535, Resultados_Reales!$A$4:$I$107, 6, FALSE)=H1535), Configuracion!$B$5, IF(SIGN(VLOOKUP(C1535, Resultados_Reales!$A$4:$I$107, 5, FALSE)-VLOOKUP(C1535, Resultados_Reales!$A$4:$I$107, 6, FALSE)) = SIGN(G1535-H1535), Configuracion!$B$4, 0)))</f>
        <v/>
      </c>
      <c r="L1535" s="11" t="n"/>
      <c r="M1535" s="11" t="n"/>
      <c r="N1535" s="11" t="n"/>
      <c r="O1535" s="11" t="n"/>
      <c r="P1535" s="11" t="n"/>
      <c r="Q1535" s="11" t="n"/>
    </row>
    <row r="1536">
      <c r="A1536" s="8">
        <f>B1536&amp;"_"&amp;C1536</f>
        <v/>
      </c>
      <c r="B1536" s="8" t="n"/>
      <c r="C1536" s="8" t="n"/>
      <c r="D1536" s="8" t="n"/>
      <c r="E1536" s="11" t="n"/>
      <c r="F1536" s="11" t="n"/>
      <c r="G1536" s="8" t="n"/>
      <c r="H1536" s="8" t="n"/>
      <c r="I1536" s="8" t="n"/>
      <c r="J1536" s="8" t="n"/>
      <c r="K1536" s="12">
        <f>IF(OR(ISERROR(VLOOKUP(C1536, Resultados_Reales!$A$4:$I$107, 5, FALSE)), ISERROR(VLOOKUP(C1536, Resultados_Reales!$A$4:$I$107, 6, FALSE)), VLOOKUP(C1536, Resultados_Reales!$A$4:$I$107, 5, FALSE)="", VLOOKUP(C1536, Resultados_Reales!$A$4:$I$107, 6, FALSE)=""), 0, IF(AND(VLOOKUP(C1536, Resultados_Reales!$A$4:$I$107, 5, FALSE)=G1536, VLOOKUP(C1536, Resultados_Reales!$A$4:$I$107, 6, FALSE)=H1536), Configuracion!$B$5, IF(SIGN(VLOOKUP(C1536, Resultados_Reales!$A$4:$I$107, 5, FALSE)-VLOOKUP(C1536, Resultados_Reales!$A$4:$I$107, 6, FALSE)) = SIGN(G1536-H1536), Configuracion!$B$4, 0)))</f>
        <v/>
      </c>
      <c r="L1536" s="11" t="n"/>
      <c r="M1536" s="11" t="n"/>
      <c r="N1536" s="11" t="n"/>
      <c r="O1536" s="11" t="n"/>
      <c r="P1536" s="11" t="n"/>
      <c r="Q1536" s="11" t="n"/>
    </row>
    <row r="1537">
      <c r="A1537" s="8">
        <f>B1537&amp;"_"&amp;C1537</f>
        <v/>
      </c>
      <c r="B1537" s="8" t="n"/>
      <c r="C1537" s="8" t="n"/>
      <c r="D1537" s="8" t="n"/>
      <c r="E1537" s="11" t="n"/>
      <c r="F1537" s="11" t="n"/>
      <c r="G1537" s="8" t="n"/>
      <c r="H1537" s="8" t="n"/>
      <c r="I1537" s="8" t="n"/>
      <c r="J1537" s="8" t="n"/>
      <c r="K1537" s="12">
        <f>IF(OR(ISERROR(VLOOKUP(C1537, Resultados_Reales!$A$4:$I$107, 5, FALSE)), ISERROR(VLOOKUP(C1537, Resultados_Reales!$A$4:$I$107, 6, FALSE)), VLOOKUP(C1537, Resultados_Reales!$A$4:$I$107, 5, FALSE)="", VLOOKUP(C1537, Resultados_Reales!$A$4:$I$107, 6, FALSE)=""), 0, IF(AND(VLOOKUP(C1537, Resultados_Reales!$A$4:$I$107, 5, FALSE)=G1537, VLOOKUP(C1537, Resultados_Reales!$A$4:$I$107, 6, FALSE)=H1537), Configuracion!$B$5, IF(SIGN(VLOOKUP(C1537, Resultados_Reales!$A$4:$I$107, 5, FALSE)-VLOOKUP(C1537, Resultados_Reales!$A$4:$I$107, 6, FALSE)) = SIGN(G1537-H1537), Configuracion!$B$4, 0)))</f>
        <v/>
      </c>
      <c r="L1537" s="11" t="n"/>
      <c r="M1537" s="11" t="n"/>
      <c r="N1537" s="11" t="n"/>
      <c r="O1537" s="11" t="n"/>
      <c r="P1537" s="11" t="n"/>
      <c r="Q1537" s="11" t="n"/>
    </row>
    <row r="1538">
      <c r="A1538" s="8">
        <f>B1538&amp;"_"&amp;C1538</f>
        <v/>
      </c>
      <c r="B1538" s="8" t="n"/>
      <c r="C1538" s="8" t="n"/>
      <c r="D1538" s="8" t="n"/>
      <c r="E1538" s="11" t="n"/>
      <c r="F1538" s="11" t="n"/>
      <c r="G1538" s="8" t="n"/>
      <c r="H1538" s="8" t="n"/>
      <c r="I1538" s="8" t="n"/>
      <c r="J1538" s="8" t="n"/>
      <c r="K1538" s="12">
        <f>IF(OR(ISERROR(VLOOKUP(C1538, Resultados_Reales!$A$4:$I$107, 5, FALSE)), ISERROR(VLOOKUP(C1538, Resultados_Reales!$A$4:$I$107, 6, FALSE)), VLOOKUP(C1538, Resultados_Reales!$A$4:$I$107, 5, FALSE)="", VLOOKUP(C1538, Resultados_Reales!$A$4:$I$107, 6, FALSE)=""), 0, IF(AND(VLOOKUP(C1538, Resultados_Reales!$A$4:$I$107, 5, FALSE)=G1538, VLOOKUP(C1538, Resultados_Reales!$A$4:$I$107, 6, FALSE)=H1538), Configuracion!$B$5, IF(SIGN(VLOOKUP(C1538, Resultados_Reales!$A$4:$I$107, 5, FALSE)-VLOOKUP(C1538, Resultados_Reales!$A$4:$I$107, 6, FALSE)) = SIGN(G1538-H1538), Configuracion!$B$4, 0)))</f>
        <v/>
      </c>
      <c r="L1538" s="11" t="n"/>
      <c r="M1538" s="11" t="n"/>
      <c r="N1538" s="11" t="n"/>
      <c r="O1538" s="11" t="n"/>
      <c r="P1538" s="11" t="n"/>
      <c r="Q1538" s="11" t="n"/>
    </row>
    <row r="1539">
      <c r="A1539" s="8">
        <f>B1539&amp;"_"&amp;C1539</f>
        <v/>
      </c>
      <c r="B1539" s="8" t="n"/>
      <c r="C1539" s="8" t="n"/>
      <c r="D1539" s="8" t="n"/>
      <c r="E1539" s="11" t="n"/>
      <c r="F1539" s="11" t="n"/>
      <c r="G1539" s="8" t="n"/>
      <c r="H1539" s="8" t="n"/>
      <c r="I1539" s="8" t="n"/>
      <c r="J1539" s="8" t="n"/>
      <c r="K1539" s="12">
        <f>IF(OR(ISERROR(VLOOKUP(C1539, Resultados_Reales!$A$4:$I$107, 5, FALSE)), ISERROR(VLOOKUP(C1539, Resultados_Reales!$A$4:$I$107, 6, FALSE)), VLOOKUP(C1539, Resultados_Reales!$A$4:$I$107, 5, FALSE)="", VLOOKUP(C1539, Resultados_Reales!$A$4:$I$107, 6, FALSE)=""), 0, IF(AND(VLOOKUP(C1539, Resultados_Reales!$A$4:$I$107, 5, FALSE)=G1539, VLOOKUP(C1539, Resultados_Reales!$A$4:$I$107, 6, FALSE)=H1539), Configuracion!$B$5, IF(SIGN(VLOOKUP(C1539, Resultados_Reales!$A$4:$I$107, 5, FALSE)-VLOOKUP(C1539, Resultados_Reales!$A$4:$I$107, 6, FALSE)) = SIGN(G1539-H1539), Configuracion!$B$4, 0)))</f>
        <v/>
      </c>
      <c r="L1539" s="11" t="n"/>
      <c r="M1539" s="11" t="n"/>
      <c r="N1539" s="11" t="n"/>
      <c r="O1539" s="11" t="n"/>
      <c r="P1539" s="11" t="n"/>
      <c r="Q1539" s="11" t="n"/>
    </row>
    <row r="1540">
      <c r="A1540" s="8">
        <f>B1540&amp;"_"&amp;C1540</f>
        <v/>
      </c>
      <c r="B1540" s="8" t="n"/>
      <c r="C1540" s="8" t="n"/>
      <c r="D1540" s="8" t="n"/>
      <c r="E1540" s="11" t="n"/>
      <c r="F1540" s="11" t="n"/>
      <c r="G1540" s="8" t="n"/>
      <c r="H1540" s="8" t="n"/>
      <c r="I1540" s="8" t="n"/>
      <c r="J1540" s="8" t="n"/>
      <c r="K1540" s="12">
        <f>IF(OR(ISERROR(VLOOKUP(C1540, Resultados_Reales!$A$4:$I$107, 5, FALSE)), ISERROR(VLOOKUP(C1540, Resultados_Reales!$A$4:$I$107, 6, FALSE)), VLOOKUP(C1540, Resultados_Reales!$A$4:$I$107, 5, FALSE)="", VLOOKUP(C1540, Resultados_Reales!$A$4:$I$107, 6, FALSE)=""), 0, IF(AND(VLOOKUP(C1540, Resultados_Reales!$A$4:$I$107, 5, FALSE)=G1540, VLOOKUP(C1540, Resultados_Reales!$A$4:$I$107, 6, FALSE)=H1540), Configuracion!$B$5, IF(SIGN(VLOOKUP(C1540, Resultados_Reales!$A$4:$I$107, 5, FALSE)-VLOOKUP(C1540, Resultados_Reales!$A$4:$I$107, 6, FALSE)) = SIGN(G1540-H1540), Configuracion!$B$4, 0)))</f>
        <v/>
      </c>
      <c r="L1540" s="11" t="n"/>
      <c r="M1540" s="11" t="n"/>
      <c r="N1540" s="11" t="n"/>
      <c r="O1540" s="11" t="n"/>
      <c r="P1540" s="11" t="n"/>
      <c r="Q1540" s="11" t="n"/>
    </row>
    <row r="1541">
      <c r="A1541" s="8">
        <f>B1541&amp;"_"&amp;C1541</f>
        <v/>
      </c>
      <c r="B1541" s="8" t="n"/>
      <c r="C1541" s="8" t="n"/>
      <c r="D1541" s="8" t="n"/>
      <c r="E1541" s="11" t="n"/>
      <c r="F1541" s="11" t="n"/>
      <c r="G1541" s="8" t="n"/>
      <c r="H1541" s="8" t="n"/>
      <c r="I1541" s="8" t="n"/>
      <c r="J1541" s="8" t="n"/>
      <c r="K1541" s="12">
        <f>IF(OR(ISERROR(VLOOKUP(C1541, Resultados_Reales!$A$4:$I$107, 5, FALSE)), ISERROR(VLOOKUP(C1541, Resultados_Reales!$A$4:$I$107, 6, FALSE)), VLOOKUP(C1541, Resultados_Reales!$A$4:$I$107, 5, FALSE)="", VLOOKUP(C1541, Resultados_Reales!$A$4:$I$107, 6, FALSE)=""), 0, IF(AND(VLOOKUP(C1541, Resultados_Reales!$A$4:$I$107, 5, FALSE)=G1541, VLOOKUP(C1541, Resultados_Reales!$A$4:$I$107, 6, FALSE)=H1541), Configuracion!$B$5, IF(SIGN(VLOOKUP(C1541, Resultados_Reales!$A$4:$I$107, 5, FALSE)-VLOOKUP(C1541, Resultados_Reales!$A$4:$I$107, 6, FALSE)) = SIGN(G1541-H1541), Configuracion!$B$4, 0)))</f>
        <v/>
      </c>
      <c r="L1541" s="11" t="n"/>
      <c r="M1541" s="11" t="n"/>
      <c r="N1541" s="11" t="n"/>
      <c r="O1541" s="11" t="n"/>
      <c r="P1541" s="11" t="n"/>
      <c r="Q1541" s="11" t="n"/>
    </row>
    <row r="1542">
      <c r="A1542" s="8">
        <f>B1542&amp;"_"&amp;C1542</f>
        <v/>
      </c>
      <c r="B1542" s="8" t="n"/>
      <c r="C1542" s="8" t="n"/>
      <c r="D1542" s="8" t="n"/>
      <c r="E1542" s="11" t="n"/>
      <c r="F1542" s="11" t="n"/>
      <c r="G1542" s="8" t="n"/>
      <c r="H1542" s="8" t="n"/>
      <c r="I1542" s="8" t="n"/>
      <c r="J1542" s="8" t="n"/>
      <c r="K1542" s="12">
        <f>IF(OR(ISERROR(VLOOKUP(C1542, Resultados_Reales!$A$4:$I$107, 5, FALSE)), ISERROR(VLOOKUP(C1542, Resultados_Reales!$A$4:$I$107, 6, FALSE)), VLOOKUP(C1542, Resultados_Reales!$A$4:$I$107, 5, FALSE)="", VLOOKUP(C1542, Resultados_Reales!$A$4:$I$107, 6, FALSE)=""), 0, IF(AND(VLOOKUP(C1542, Resultados_Reales!$A$4:$I$107, 5, FALSE)=G1542, VLOOKUP(C1542, Resultados_Reales!$A$4:$I$107, 6, FALSE)=H1542), Configuracion!$B$5, IF(SIGN(VLOOKUP(C1542, Resultados_Reales!$A$4:$I$107, 5, FALSE)-VLOOKUP(C1542, Resultados_Reales!$A$4:$I$107, 6, FALSE)) = SIGN(G1542-H1542), Configuracion!$B$4, 0)))</f>
        <v/>
      </c>
      <c r="L1542" s="11" t="n"/>
      <c r="M1542" s="11" t="n"/>
      <c r="N1542" s="11" t="n"/>
      <c r="O1542" s="11" t="n"/>
      <c r="P1542" s="11" t="n"/>
      <c r="Q1542" s="11" t="n"/>
    </row>
    <row r="1543">
      <c r="A1543" s="8">
        <f>B1543&amp;"_"&amp;C1543</f>
        <v/>
      </c>
      <c r="B1543" s="8" t="n"/>
      <c r="C1543" s="8" t="n"/>
      <c r="D1543" s="8" t="n"/>
      <c r="E1543" s="11" t="n"/>
      <c r="F1543" s="11" t="n"/>
      <c r="G1543" s="8" t="n"/>
      <c r="H1543" s="8" t="n"/>
      <c r="I1543" s="8" t="n"/>
      <c r="J1543" s="8" t="n"/>
      <c r="K1543" s="12">
        <f>IF(OR(ISERROR(VLOOKUP(C1543, Resultados_Reales!$A$4:$I$107, 5, FALSE)), ISERROR(VLOOKUP(C1543, Resultados_Reales!$A$4:$I$107, 6, FALSE)), VLOOKUP(C1543, Resultados_Reales!$A$4:$I$107, 5, FALSE)="", VLOOKUP(C1543, Resultados_Reales!$A$4:$I$107, 6, FALSE)=""), 0, IF(AND(VLOOKUP(C1543, Resultados_Reales!$A$4:$I$107, 5, FALSE)=G1543, VLOOKUP(C1543, Resultados_Reales!$A$4:$I$107, 6, FALSE)=H1543), Configuracion!$B$5, IF(SIGN(VLOOKUP(C1543, Resultados_Reales!$A$4:$I$107, 5, FALSE)-VLOOKUP(C1543, Resultados_Reales!$A$4:$I$107, 6, FALSE)) = SIGN(G1543-H1543), Configuracion!$B$4, 0)))</f>
        <v/>
      </c>
      <c r="L1543" s="11" t="n"/>
      <c r="M1543" s="11" t="n"/>
      <c r="N1543" s="11" t="n"/>
      <c r="O1543" s="11" t="n"/>
      <c r="P1543" s="11" t="n"/>
      <c r="Q1543" s="11" t="n"/>
    </row>
    <row r="1544">
      <c r="A1544" s="8">
        <f>B1544&amp;"_"&amp;C1544</f>
        <v/>
      </c>
      <c r="B1544" s="8" t="n"/>
      <c r="C1544" s="8" t="n"/>
      <c r="D1544" s="8" t="n"/>
      <c r="E1544" s="11" t="n"/>
      <c r="F1544" s="11" t="n"/>
      <c r="G1544" s="8" t="n"/>
      <c r="H1544" s="8" t="n"/>
      <c r="I1544" s="8" t="n"/>
      <c r="J1544" s="8" t="n"/>
      <c r="K1544" s="12">
        <f>IF(OR(ISERROR(VLOOKUP(C1544, Resultados_Reales!$A$4:$I$107, 5, FALSE)), ISERROR(VLOOKUP(C1544, Resultados_Reales!$A$4:$I$107, 6, FALSE)), VLOOKUP(C1544, Resultados_Reales!$A$4:$I$107, 5, FALSE)="", VLOOKUP(C1544, Resultados_Reales!$A$4:$I$107, 6, FALSE)=""), 0, IF(AND(VLOOKUP(C1544, Resultados_Reales!$A$4:$I$107, 5, FALSE)=G1544, VLOOKUP(C1544, Resultados_Reales!$A$4:$I$107, 6, FALSE)=H1544), Configuracion!$B$5, IF(SIGN(VLOOKUP(C1544, Resultados_Reales!$A$4:$I$107, 5, FALSE)-VLOOKUP(C1544, Resultados_Reales!$A$4:$I$107, 6, FALSE)) = SIGN(G1544-H1544), Configuracion!$B$4, 0)))</f>
        <v/>
      </c>
      <c r="L1544" s="11" t="n"/>
      <c r="M1544" s="11" t="n"/>
      <c r="N1544" s="11" t="n"/>
      <c r="O1544" s="11" t="n"/>
      <c r="P1544" s="11" t="n"/>
      <c r="Q1544" s="11" t="n"/>
    </row>
    <row r="1545">
      <c r="A1545" s="8">
        <f>B1545&amp;"_"&amp;C1545</f>
        <v/>
      </c>
      <c r="B1545" s="8" t="n"/>
      <c r="C1545" s="8" t="n"/>
      <c r="D1545" s="8" t="n"/>
      <c r="E1545" s="11" t="n"/>
      <c r="F1545" s="11" t="n"/>
      <c r="G1545" s="8" t="n"/>
      <c r="H1545" s="8" t="n"/>
      <c r="I1545" s="8" t="n"/>
      <c r="J1545" s="8" t="n"/>
      <c r="K1545" s="12">
        <f>IF(OR(ISERROR(VLOOKUP(C1545, Resultados_Reales!$A$4:$I$107, 5, FALSE)), ISERROR(VLOOKUP(C1545, Resultados_Reales!$A$4:$I$107, 6, FALSE)), VLOOKUP(C1545, Resultados_Reales!$A$4:$I$107, 5, FALSE)="", VLOOKUP(C1545, Resultados_Reales!$A$4:$I$107, 6, FALSE)=""), 0, IF(AND(VLOOKUP(C1545, Resultados_Reales!$A$4:$I$107, 5, FALSE)=G1545, VLOOKUP(C1545, Resultados_Reales!$A$4:$I$107, 6, FALSE)=H1545), Configuracion!$B$5, IF(SIGN(VLOOKUP(C1545, Resultados_Reales!$A$4:$I$107, 5, FALSE)-VLOOKUP(C1545, Resultados_Reales!$A$4:$I$107, 6, FALSE)) = SIGN(G1545-H1545), Configuracion!$B$4, 0)))</f>
        <v/>
      </c>
      <c r="L1545" s="11" t="n"/>
      <c r="M1545" s="11" t="n"/>
      <c r="N1545" s="11" t="n"/>
      <c r="O1545" s="11" t="n"/>
      <c r="P1545" s="11" t="n"/>
      <c r="Q1545" s="11" t="n"/>
    </row>
    <row r="1546">
      <c r="A1546" s="8">
        <f>B1546&amp;"_"&amp;C1546</f>
        <v/>
      </c>
      <c r="B1546" s="8" t="n"/>
      <c r="C1546" s="8" t="n"/>
      <c r="D1546" s="8" t="n"/>
      <c r="E1546" s="11" t="n"/>
      <c r="F1546" s="11" t="n"/>
      <c r="G1546" s="8" t="n"/>
      <c r="H1546" s="8" t="n"/>
      <c r="I1546" s="8" t="n"/>
      <c r="J1546" s="8" t="n"/>
      <c r="K1546" s="12">
        <f>IF(OR(ISERROR(VLOOKUP(C1546, Resultados_Reales!$A$4:$I$107, 5, FALSE)), ISERROR(VLOOKUP(C1546, Resultados_Reales!$A$4:$I$107, 6, FALSE)), VLOOKUP(C1546, Resultados_Reales!$A$4:$I$107, 5, FALSE)="", VLOOKUP(C1546, Resultados_Reales!$A$4:$I$107, 6, FALSE)=""), 0, IF(AND(VLOOKUP(C1546, Resultados_Reales!$A$4:$I$107, 5, FALSE)=G1546, VLOOKUP(C1546, Resultados_Reales!$A$4:$I$107, 6, FALSE)=H1546), Configuracion!$B$5, IF(SIGN(VLOOKUP(C1546, Resultados_Reales!$A$4:$I$107, 5, FALSE)-VLOOKUP(C1546, Resultados_Reales!$A$4:$I$107, 6, FALSE)) = SIGN(G1546-H1546), Configuracion!$B$4, 0)))</f>
        <v/>
      </c>
      <c r="L1546" s="11" t="n"/>
      <c r="M1546" s="11" t="n"/>
      <c r="N1546" s="11" t="n"/>
      <c r="O1546" s="11" t="n"/>
      <c r="P1546" s="11" t="n"/>
      <c r="Q1546" s="11" t="n"/>
    </row>
    <row r="1547">
      <c r="A1547" s="8">
        <f>B1547&amp;"_"&amp;C1547</f>
        <v/>
      </c>
      <c r="B1547" s="8" t="n"/>
      <c r="C1547" s="8" t="n"/>
      <c r="D1547" s="8" t="n"/>
      <c r="E1547" s="11" t="n"/>
      <c r="F1547" s="11" t="n"/>
      <c r="G1547" s="8" t="n"/>
      <c r="H1547" s="8" t="n"/>
      <c r="I1547" s="8" t="n"/>
      <c r="J1547" s="8" t="n"/>
      <c r="K1547" s="12">
        <f>IF(OR(ISERROR(VLOOKUP(C1547, Resultados_Reales!$A$4:$I$107, 5, FALSE)), ISERROR(VLOOKUP(C1547, Resultados_Reales!$A$4:$I$107, 6, FALSE)), VLOOKUP(C1547, Resultados_Reales!$A$4:$I$107, 5, FALSE)="", VLOOKUP(C1547, Resultados_Reales!$A$4:$I$107, 6, FALSE)=""), 0, IF(AND(VLOOKUP(C1547, Resultados_Reales!$A$4:$I$107, 5, FALSE)=G1547, VLOOKUP(C1547, Resultados_Reales!$A$4:$I$107, 6, FALSE)=H1547), Configuracion!$B$5, IF(SIGN(VLOOKUP(C1547, Resultados_Reales!$A$4:$I$107, 5, FALSE)-VLOOKUP(C1547, Resultados_Reales!$A$4:$I$107, 6, FALSE)) = SIGN(G1547-H1547), Configuracion!$B$4, 0)))</f>
        <v/>
      </c>
      <c r="L1547" s="11" t="n"/>
      <c r="M1547" s="11" t="n"/>
      <c r="N1547" s="11" t="n"/>
      <c r="O1547" s="11" t="n"/>
      <c r="P1547" s="11" t="n"/>
      <c r="Q1547" s="11" t="n"/>
    </row>
    <row r="1548">
      <c r="A1548" s="8">
        <f>B1548&amp;"_"&amp;C1548</f>
        <v/>
      </c>
      <c r="B1548" s="8" t="n"/>
      <c r="C1548" s="8" t="n"/>
      <c r="D1548" s="8" t="n"/>
      <c r="E1548" s="11" t="n"/>
      <c r="F1548" s="11" t="n"/>
      <c r="G1548" s="8" t="n"/>
      <c r="H1548" s="8" t="n"/>
      <c r="I1548" s="8" t="n"/>
      <c r="J1548" s="8" t="n"/>
      <c r="K1548" s="12">
        <f>IF(OR(ISERROR(VLOOKUP(C1548, Resultados_Reales!$A$4:$I$107, 5, FALSE)), ISERROR(VLOOKUP(C1548, Resultados_Reales!$A$4:$I$107, 6, FALSE)), VLOOKUP(C1548, Resultados_Reales!$A$4:$I$107, 5, FALSE)="", VLOOKUP(C1548, Resultados_Reales!$A$4:$I$107, 6, FALSE)=""), 0, IF(AND(VLOOKUP(C1548, Resultados_Reales!$A$4:$I$107, 5, FALSE)=G1548, VLOOKUP(C1548, Resultados_Reales!$A$4:$I$107, 6, FALSE)=H1548), Configuracion!$B$5, IF(SIGN(VLOOKUP(C1548, Resultados_Reales!$A$4:$I$107, 5, FALSE)-VLOOKUP(C1548, Resultados_Reales!$A$4:$I$107, 6, FALSE)) = SIGN(G1548-H1548), Configuracion!$B$4, 0)))</f>
        <v/>
      </c>
      <c r="L1548" s="11" t="n"/>
      <c r="M1548" s="11" t="n"/>
      <c r="N1548" s="11" t="n"/>
      <c r="O1548" s="11" t="n"/>
      <c r="P1548" s="11" t="n"/>
      <c r="Q1548" s="11" t="n"/>
    </row>
    <row r="1549">
      <c r="A1549" s="8">
        <f>B1549&amp;"_"&amp;C1549</f>
        <v/>
      </c>
      <c r="B1549" s="8" t="n"/>
      <c r="C1549" s="8" t="n"/>
      <c r="D1549" s="8" t="n"/>
      <c r="E1549" s="11" t="n"/>
      <c r="F1549" s="11" t="n"/>
      <c r="G1549" s="8" t="n"/>
      <c r="H1549" s="8" t="n"/>
      <c r="I1549" s="8" t="n"/>
      <c r="J1549" s="8" t="n"/>
      <c r="K1549" s="12">
        <f>IF(OR(ISERROR(VLOOKUP(C1549, Resultados_Reales!$A$4:$I$107, 5, FALSE)), ISERROR(VLOOKUP(C1549, Resultados_Reales!$A$4:$I$107, 6, FALSE)), VLOOKUP(C1549, Resultados_Reales!$A$4:$I$107, 5, FALSE)="", VLOOKUP(C1549, Resultados_Reales!$A$4:$I$107, 6, FALSE)=""), 0, IF(AND(VLOOKUP(C1549, Resultados_Reales!$A$4:$I$107, 5, FALSE)=G1549, VLOOKUP(C1549, Resultados_Reales!$A$4:$I$107, 6, FALSE)=H1549), Configuracion!$B$5, IF(SIGN(VLOOKUP(C1549, Resultados_Reales!$A$4:$I$107, 5, FALSE)-VLOOKUP(C1549, Resultados_Reales!$A$4:$I$107, 6, FALSE)) = SIGN(G1549-H1549), Configuracion!$B$4, 0)))</f>
        <v/>
      </c>
      <c r="L1549" s="11" t="n"/>
      <c r="M1549" s="11" t="n"/>
      <c r="N1549" s="11" t="n"/>
      <c r="O1549" s="11" t="n"/>
      <c r="P1549" s="11" t="n"/>
      <c r="Q1549" s="11" t="n"/>
    </row>
    <row r="1550">
      <c r="A1550" s="8">
        <f>B1550&amp;"_"&amp;C1550</f>
        <v/>
      </c>
      <c r="B1550" s="8" t="n"/>
      <c r="C1550" s="8" t="n"/>
      <c r="D1550" s="8" t="n"/>
      <c r="E1550" s="11" t="n"/>
      <c r="F1550" s="11" t="n"/>
      <c r="G1550" s="8" t="n"/>
      <c r="H1550" s="8" t="n"/>
      <c r="I1550" s="8" t="n"/>
      <c r="J1550" s="8" t="n"/>
      <c r="K1550" s="12">
        <f>IF(OR(ISERROR(VLOOKUP(C1550, Resultados_Reales!$A$4:$I$107, 5, FALSE)), ISERROR(VLOOKUP(C1550, Resultados_Reales!$A$4:$I$107, 6, FALSE)), VLOOKUP(C1550, Resultados_Reales!$A$4:$I$107, 5, FALSE)="", VLOOKUP(C1550, Resultados_Reales!$A$4:$I$107, 6, FALSE)=""), 0, IF(AND(VLOOKUP(C1550, Resultados_Reales!$A$4:$I$107, 5, FALSE)=G1550, VLOOKUP(C1550, Resultados_Reales!$A$4:$I$107, 6, FALSE)=H1550), Configuracion!$B$5, IF(SIGN(VLOOKUP(C1550, Resultados_Reales!$A$4:$I$107, 5, FALSE)-VLOOKUP(C1550, Resultados_Reales!$A$4:$I$107, 6, FALSE)) = SIGN(G1550-H1550), Configuracion!$B$4, 0)))</f>
        <v/>
      </c>
      <c r="L1550" s="11" t="n"/>
      <c r="M1550" s="11" t="n"/>
      <c r="N1550" s="11" t="n"/>
      <c r="O1550" s="11" t="n"/>
      <c r="P1550" s="11" t="n"/>
      <c r="Q1550" s="11" t="n"/>
    </row>
    <row r="1551">
      <c r="A1551" s="8">
        <f>B1551&amp;"_"&amp;C1551</f>
        <v/>
      </c>
      <c r="B1551" s="8" t="n"/>
      <c r="C1551" s="8" t="n"/>
      <c r="D1551" s="8" t="n"/>
      <c r="E1551" s="11" t="n"/>
      <c r="F1551" s="11" t="n"/>
      <c r="G1551" s="8" t="n"/>
      <c r="H1551" s="8" t="n"/>
      <c r="I1551" s="8" t="n"/>
      <c r="J1551" s="8" t="n"/>
      <c r="K1551" s="12">
        <f>IF(OR(ISERROR(VLOOKUP(C1551, Resultados_Reales!$A$4:$I$107, 5, FALSE)), ISERROR(VLOOKUP(C1551, Resultados_Reales!$A$4:$I$107, 6, FALSE)), VLOOKUP(C1551, Resultados_Reales!$A$4:$I$107, 5, FALSE)="", VLOOKUP(C1551, Resultados_Reales!$A$4:$I$107, 6, FALSE)=""), 0, IF(AND(VLOOKUP(C1551, Resultados_Reales!$A$4:$I$107, 5, FALSE)=G1551, VLOOKUP(C1551, Resultados_Reales!$A$4:$I$107, 6, FALSE)=H1551), Configuracion!$B$5, IF(SIGN(VLOOKUP(C1551, Resultados_Reales!$A$4:$I$107, 5, FALSE)-VLOOKUP(C1551, Resultados_Reales!$A$4:$I$107, 6, FALSE)) = SIGN(G1551-H1551), Configuracion!$B$4, 0)))</f>
        <v/>
      </c>
      <c r="L1551" s="11" t="n"/>
      <c r="M1551" s="11" t="n"/>
      <c r="N1551" s="11" t="n"/>
      <c r="O1551" s="11" t="n"/>
      <c r="P1551" s="11" t="n"/>
      <c r="Q1551" s="11" t="n"/>
    </row>
    <row r="1552">
      <c r="A1552" s="8">
        <f>B1552&amp;"_"&amp;C1552</f>
        <v/>
      </c>
      <c r="B1552" s="8" t="n"/>
      <c r="C1552" s="8" t="n"/>
      <c r="D1552" s="8" t="n"/>
      <c r="E1552" s="11" t="n"/>
      <c r="F1552" s="11" t="n"/>
      <c r="G1552" s="8" t="n"/>
      <c r="H1552" s="8" t="n"/>
      <c r="I1552" s="8" t="n"/>
      <c r="J1552" s="8" t="n"/>
      <c r="K1552" s="12">
        <f>IF(OR(ISERROR(VLOOKUP(C1552, Resultados_Reales!$A$4:$I$107, 5, FALSE)), ISERROR(VLOOKUP(C1552, Resultados_Reales!$A$4:$I$107, 6, FALSE)), VLOOKUP(C1552, Resultados_Reales!$A$4:$I$107, 5, FALSE)="", VLOOKUP(C1552, Resultados_Reales!$A$4:$I$107, 6, FALSE)=""), 0, IF(AND(VLOOKUP(C1552, Resultados_Reales!$A$4:$I$107, 5, FALSE)=G1552, VLOOKUP(C1552, Resultados_Reales!$A$4:$I$107, 6, FALSE)=H1552), Configuracion!$B$5, IF(SIGN(VLOOKUP(C1552, Resultados_Reales!$A$4:$I$107, 5, FALSE)-VLOOKUP(C1552, Resultados_Reales!$A$4:$I$107, 6, FALSE)) = SIGN(G1552-H1552), Configuracion!$B$4, 0)))</f>
        <v/>
      </c>
      <c r="L1552" s="11" t="n"/>
      <c r="M1552" s="11" t="n"/>
      <c r="N1552" s="11" t="n"/>
      <c r="O1552" s="11" t="n"/>
      <c r="P1552" s="11" t="n"/>
      <c r="Q1552" s="11" t="n"/>
    </row>
    <row r="1553">
      <c r="A1553" s="8">
        <f>B1553&amp;"_"&amp;C1553</f>
        <v/>
      </c>
      <c r="B1553" s="8" t="n"/>
      <c r="C1553" s="8" t="n"/>
      <c r="D1553" s="8" t="n"/>
      <c r="E1553" s="11" t="n"/>
      <c r="F1553" s="11" t="n"/>
      <c r="G1553" s="8" t="n"/>
      <c r="H1553" s="8" t="n"/>
      <c r="I1553" s="8" t="n"/>
      <c r="J1553" s="8" t="n"/>
      <c r="K1553" s="12">
        <f>IF(OR(ISERROR(VLOOKUP(C1553, Resultados_Reales!$A$4:$I$107, 5, FALSE)), ISERROR(VLOOKUP(C1553, Resultados_Reales!$A$4:$I$107, 6, FALSE)), VLOOKUP(C1553, Resultados_Reales!$A$4:$I$107, 5, FALSE)="", VLOOKUP(C1553, Resultados_Reales!$A$4:$I$107, 6, FALSE)=""), 0, IF(AND(VLOOKUP(C1553, Resultados_Reales!$A$4:$I$107, 5, FALSE)=G1553, VLOOKUP(C1553, Resultados_Reales!$A$4:$I$107, 6, FALSE)=H1553), Configuracion!$B$5, IF(SIGN(VLOOKUP(C1553, Resultados_Reales!$A$4:$I$107, 5, FALSE)-VLOOKUP(C1553, Resultados_Reales!$A$4:$I$107, 6, FALSE)) = SIGN(G1553-H1553), Configuracion!$B$4, 0)))</f>
        <v/>
      </c>
      <c r="L1553" s="11" t="n"/>
      <c r="M1553" s="11" t="n"/>
      <c r="N1553" s="11" t="n"/>
      <c r="O1553" s="11" t="n"/>
      <c r="P1553" s="11" t="n"/>
      <c r="Q1553" s="11" t="n"/>
    </row>
    <row r="1554">
      <c r="A1554" s="8">
        <f>B1554&amp;"_"&amp;C1554</f>
        <v/>
      </c>
      <c r="B1554" s="8" t="n"/>
      <c r="C1554" s="8" t="n"/>
      <c r="D1554" s="8" t="n"/>
      <c r="E1554" s="11" t="n"/>
      <c r="F1554" s="11" t="n"/>
      <c r="G1554" s="8" t="n"/>
      <c r="H1554" s="8" t="n"/>
      <c r="I1554" s="8" t="n"/>
      <c r="J1554" s="8" t="n"/>
      <c r="K1554" s="12">
        <f>IF(OR(ISERROR(VLOOKUP(C1554, Resultados_Reales!$A$4:$I$107, 5, FALSE)), ISERROR(VLOOKUP(C1554, Resultados_Reales!$A$4:$I$107, 6, FALSE)), VLOOKUP(C1554, Resultados_Reales!$A$4:$I$107, 5, FALSE)="", VLOOKUP(C1554, Resultados_Reales!$A$4:$I$107, 6, FALSE)=""), 0, IF(AND(VLOOKUP(C1554, Resultados_Reales!$A$4:$I$107, 5, FALSE)=G1554, VLOOKUP(C1554, Resultados_Reales!$A$4:$I$107, 6, FALSE)=H1554), Configuracion!$B$5, IF(SIGN(VLOOKUP(C1554, Resultados_Reales!$A$4:$I$107, 5, FALSE)-VLOOKUP(C1554, Resultados_Reales!$A$4:$I$107, 6, FALSE)) = SIGN(G1554-H1554), Configuracion!$B$4, 0)))</f>
        <v/>
      </c>
      <c r="L1554" s="11" t="n"/>
      <c r="M1554" s="11" t="n"/>
      <c r="N1554" s="11" t="n"/>
      <c r="O1554" s="11" t="n"/>
      <c r="P1554" s="11" t="n"/>
      <c r="Q1554" s="11" t="n"/>
    </row>
    <row r="1555">
      <c r="A1555" s="8">
        <f>B1555&amp;"_"&amp;C1555</f>
        <v/>
      </c>
      <c r="B1555" s="8" t="n"/>
      <c r="C1555" s="8" t="n"/>
      <c r="D1555" s="8" t="n"/>
      <c r="E1555" s="11" t="n"/>
      <c r="F1555" s="11" t="n"/>
      <c r="G1555" s="8" t="n"/>
      <c r="H1555" s="8" t="n"/>
      <c r="I1555" s="8" t="n"/>
      <c r="J1555" s="8" t="n"/>
      <c r="K1555" s="12">
        <f>IF(OR(ISERROR(VLOOKUP(C1555, Resultados_Reales!$A$4:$I$107, 5, FALSE)), ISERROR(VLOOKUP(C1555, Resultados_Reales!$A$4:$I$107, 6, FALSE)), VLOOKUP(C1555, Resultados_Reales!$A$4:$I$107, 5, FALSE)="", VLOOKUP(C1555, Resultados_Reales!$A$4:$I$107, 6, FALSE)=""), 0, IF(AND(VLOOKUP(C1555, Resultados_Reales!$A$4:$I$107, 5, FALSE)=G1555, VLOOKUP(C1555, Resultados_Reales!$A$4:$I$107, 6, FALSE)=H1555), Configuracion!$B$5, IF(SIGN(VLOOKUP(C1555, Resultados_Reales!$A$4:$I$107, 5, FALSE)-VLOOKUP(C1555, Resultados_Reales!$A$4:$I$107, 6, FALSE)) = SIGN(G1555-H1555), Configuracion!$B$4, 0)))</f>
        <v/>
      </c>
      <c r="L1555" s="11" t="n"/>
      <c r="M1555" s="11" t="n"/>
      <c r="N1555" s="11" t="n"/>
      <c r="O1555" s="11" t="n"/>
      <c r="P1555" s="11" t="n"/>
      <c r="Q1555" s="11" t="n"/>
    </row>
    <row r="1556">
      <c r="A1556" s="8">
        <f>B1556&amp;"_"&amp;C1556</f>
        <v/>
      </c>
      <c r="B1556" s="8" t="n"/>
      <c r="C1556" s="8" t="n"/>
      <c r="D1556" s="8" t="n"/>
      <c r="E1556" s="11" t="n"/>
      <c r="F1556" s="11" t="n"/>
      <c r="G1556" s="8" t="n"/>
      <c r="H1556" s="8" t="n"/>
      <c r="I1556" s="8" t="n"/>
      <c r="J1556" s="8" t="n"/>
      <c r="K1556" s="12">
        <f>IF(OR(ISERROR(VLOOKUP(C1556, Resultados_Reales!$A$4:$I$107, 5, FALSE)), ISERROR(VLOOKUP(C1556, Resultados_Reales!$A$4:$I$107, 6, FALSE)), VLOOKUP(C1556, Resultados_Reales!$A$4:$I$107, 5, FALSE)="", VLOOKUP(C1556, Resultados_Reales!$A$4:$I$107, 6, FALSE)=""), 0, IF(AND(VLOOKUP(C1556, Resultados_Reales!$A$4:$I$107, 5, FALSE)=G1556, VLOOKUP(C1556, Resultados_Reales!$A$4:$I$107, 6, FALSE)=H1556), Configuracion!$B$5, IF(SIGN(VLOOKUP(C1556, Resultados_Reales!$A$4:$I$107, 5, FALSE)-VLOOKUP(C1556, Resultados_Reales!$A$4:$I$107, 6, FALSE)) = SIGN(G1556-H1556), Configuracion!$B$4, 0)))</f>
        <v/>
      </c>
      <c r="L1556" s="11" t="n"/>
      <c r="M1556" s="11" t="n"/>
      <c r="N1556" s="11" t="n"/>
      <c r="O1556" s="11" t="n"/>
      <c r="P1556" s="11" t="n"/>
      <c r="Q1556" s="11" t="n"/>
    </row>
    <row r="1557">
      <c r="A1557" s="8">
        <f>B1557&amp;"_"&amp;C1557</f>
        <v/>
      </c>
      <c r="B1557" s="8" t="n"/>
      <c r="C1557" s="8" t="n"/>
      <c r="D1557" s="8" t="n"/>
      <c r="E1557" s="11" t="n"/>
      <c r="F1557" s="11" t="n"/>
      <c r="G1557" s="8" t="n"/>
      <c r="H1557" s="8" t="n"/>
      <c r="I1557" s="8" t="n"/>
      <c r="J1557" s="8" t="n"/>
      <c r="K1557" s="12">
        <f>IF(OR(ISERROR(VLOOKUP(C1557, Resultados_Reales!$A$4:$I$107, 5, FALSE)), ISERROR(VLOOKUP(C1557, Resultados_Reales!$A$4:$I$107, 6, FALSE)), VLOOKUP(C1557, Resultados_Reales!$A$4:$I$107, 5, FALSE)="", VLOOKUP(C1557, Resultados_Reales!$A$4:$I$107, 6, FALSE)=""), 0, IF(AND(VLOOKUP(C1557, Resultados_Reales!$A$4:$I$107, 5, FALSE)=G1557, VLOOKUP(C1557, Resultados_Reales!$A$4:$I$107, 6, FALSE)=H1557), Configuracion!$B$5, IF(SIGN(VLOOKUP(C1557, Resultados_Reales!$A$4:$I$107, 5, FALSE)-VLOOKUP(C1557, Resultados_Reales!$A$4:$I$107, 6, FALSE)) = SIGN(G1557-H1557), Configuracion!$B$4, 0)))</f>
        <v/>
      </c>
      <c r="L1557" s="11" t="n"/>
      <c r="M1557" s="11" t="n"/>
      <c r="N1557" s="11" t="n"/>
      <c r="O1557" s="11" t="n"/>
      <c r="P1557" s="11" t="n"/>
      <c r="Q1557" s="11" t="n"/>
    </row>
    <row r="1558">
      <c r="A1558" s="8">
        <f>B1558&amp;"_"&amp;C1558</f>
        <v/>
      </c>
      <c r="B1558" s="8" t="n"/>
      <c r="C1558" s="8" t="n"/>
      <c r="D1558" s="8" t="n"/>
      <c r="E1558" s="11" t="n"/>
      <c r="F1558" s="11" t="n"/>
      <c r="G1558" s="8" t="n"/>
      <c r="H1558" s="8" t="n"/>
      <c r="I1558" s="8" t="n"/>
      <c r="J1558" s="8" t="n"/>
      <c r="K1558" s="12">
        <f>IF(OR(ISERROR(VLOOKUP(C1558, Resultados_Reales!$A$4:$I$107, 5, FALSE)), ISERROR(VLOOKUP(C1558, Resultados_Reales!$A$4:$I$107, 6, FALSE)), VLOOKUP(C1558, Resultados_Reales!$A$4:$I$107, 5, FALSE)="", VLOOKUP(C1558, Resultados_Reales!$A$4:$I$107, 6, FALSE)=""), 0, IF(AND(VLOOKUP(C1558, Resultados_Reales!$A$4:$I$107, 5, FALSE)=G1558, VLOOKUP(C1558, Resultados_Reales!$A$4:$I$107, 6, FALSE)=H1558), Configuracion!$B$5, IF(SIGN(VLOOKUP(C1558, Resultados_Reales!$A$4:$I$107, 5, FALSE)-VLOOKUP(C1558, Resultados_Reales!$A$4:$I$107, 6, FALSE)) = SIGN(G1558-H1558), Configuracion!$B$4, 0)))</f>
        <v/>
      </c>
      <c r="L1558" s="11" t="n"/>
      <c r="M1558" s="11" t="n"/>
      <c r="N1558" s="11" t="n"/>
      <c r="O1558" s="11" t="n"/>
      <c r="P1558" s="11" t="n"/>
      <c r="Q1558" s="11" t="n"/>
    </row>
    <row r="1559">
      <c r="A1559" s="8">
        <f>B1559&amp;"_"&amp;C1559</f>
        <v/>
      </c>
      <c r="B1559" s="8" t="n"/>
      <c r="C1559" s="8" t="n"/>
      <c r="D1559" s="8" t="n"/>
      <c r="E1559" s="11" t="n"/>
      <c r="F1559" s="11" t="n"/>
      <c r="G1559" s="8" t="n"/>
      <c r="H1559" s="8" t="n"/>
      <c r="I1559" s="8" t="n"/>
      <c r="J1559" s="8" t="n"/>
      <c r="K1559" s="12">
        <f>IF(OR(ISERROR(VLOOKUP(C1559, Resultados_Reales!$A$4:$I$107, 5, FALSE)), ISERROR(VLOOKUP(C1559, Resultados_Reales!$A$4:$I$107, 6, FALSE)), VLOOKUP(C1559, Resultados_Reales!$A$4:$I$107, 5, FALSE)="", VLOOKUP(C1559, Resultados_Reales!$A$4:$I$107, 6, FALSE)=""), 0, IF(AND(VLOOKUP(C1559, Resultados_Reales!$A$4:$I$107, 5, FALSE)=G1559, VLOOKUP(C1559, Resultados_Reales!$A$4:$I$107, 6, FALSE)=H1559), Configuracion!$B$5, IF(SIGN(VLOOKUP(C1559, Resultados_Reales!$A$4:$I$107, 5, FALSE)-VLOOKUP(C1559, Resultados_Reales!$A$4:$I$107, 6, FALSE)) = SIGN(G1559-H1559), Configuracion!$B$4, 0)))</f>
        <v/>
      </c>
      <c r="L1559" s="11" t="n"/>
      <c r="M1559" s="11" t="n"/>
      <c r="N1559" s="11" t="n"/>
      <c r="O1559" s="11" t="n"/>
      <c r="P1559" s="11" t="n"/>
      <c r="Q1559" s="11" t="n"/>
    </row>
    <row r="1560">
      <c r="A1560" s="8">
        <f>B1560&amp;"_"&amp;C1560</f>
        <v/>
      </c>
      <c r="B1560" s="8" t="n"/>
      <c r="C1560" s="8" t="n"/>
      <c r="D1560" s="8" t="n"/>
      <c r="E1560" s="11" t="n"/>
      <c r="F1560" s="11" t="n"/>
      <c r="G1560" s="8" t="n"/>
      <c r="H1560" s="8" t="n"/>
      <c r="I1560" s="8" t="n"/>
      <c r="J1560" s="8" t="n"/>
      <c r="K1560" s="12">
        <f>IF(OR(ISERROR(VLOOKUP(C1560, Resultados_Reales!$A$4:$I$107, 5, FALSE)), ISERROR(VLOOKUP(C1560, Resultados_Reales!$A$4:$I$107, 6, FALSE)), VLOOKUP(C1560, Resultados_Reales!$A$4:$I$107, 5, FALSE)="", VLOOKUP(C1560, Resultados_Reales!$A$4:$I$107, 6, FALSE)=""), 0, IF(AND(VLOOKUP(C1560, Resultados_Reales!$A$4:$I$107, 5, FALSE)=G1560, VLOOKUP(C1560, Resultados_Reales!$A$4:$I$107, 6, FALSE)=H1560), Configuracion!$B$5, IF(SIGN(VLOOKUP(C1560, Resultados_Reales!$A$4:$I$107, 5, FALSE)-VLOOKUP(C1560, Resultados_Reales!$A$4:$I$107, 6, FALSE)) = SIGN(G1560-H1560), Configuracion!$B$4, 0)))</f>
        <v/>
      </c>
      <c r="L1560" s="11" t="n"/>
      <c r="M1560" s="11" t="n"/>
      <c r="N1560" s="11" t="n"/>
      <c r="O1560" s="11" t="n"/>
      <c r="P1560" s="11" t="n"/>
      <c r="Q1560" s="11" t="n"/>
    </row>
    <row r="1561">
      <c r="A1561" s="8">
        <f>B1561&amp;"_"&amp;C1561</f>
        <v/>
      </c>
      <c r="B1561" s="8" t="n"/>
      <c r="C1561" s="8" t="n"/>
      <c r="D1561" s="8" t="n"/>
      <c r="E1561" s="11" t="n"/>
      <c r="F1561" s="11" t="n"/>
      <c r="G1561" s="8" t="n"/>
      <c r="H1561" s="8" t="n"/>
      <c r="I1561" s="8" t="n"/>
      <c r="J1561" s="8" t="n"/>
      <c r="K1561" s="12">
        <f>IF(OR(ISERROR(VLOOKUP(C1561, Resultados_Reales!$A$4:$I$107, 5, FALSE)), ISERROR(VLOOKUP(C1561, Resultados_Reales!$A$4:$I$107, 6, FALSE)), VLOOKUP(C1561, Resultados_Reales!$A$4:$I$107, 5, FALSE)="", VLOOKUP(C1561, Resultados_Reales!$A$4:$I$107, 6, FALSE)=""), 0, IF(AND(VLOOKUP(C1561, Resultados_Reales!$A$4:$I$107, 5, FALSE)=G1561, VLOOKUP(C1561, Resultados_Reales!$A$4:$I$107, 6, FALSE)=H1561), Configuracion!$B$5, IF(SIGN(VLOOKUP(C1561, Resultados_Reales!$A$4:$I$107, 5, FALSE)-VLOOKUP(C1561, Resultados_Reales!$A$4:$I$107, 6, FALSE)) = SIGN(G1561-H1561), Configuracion!$B$4, 0)))</f>
        <v/>
      </c>
      <c r="L1561" s="11" t="n"/>
      <c r="M1561" s="11" t="n"/>
      <c r="N1561" s="11" t="n"/>
      <c r="O1561" s="11" t="n"/>
      <c r="P1561" s="11" t="n"/>
      <c r="Q1561" s="11" t="n"/>
    </row>
    <row r="1562">
      <c r="A1562" s="8">
        <f>B1562&amp;"_"&amp;C1562</f>
        <v/>
      </c>
      <c r="B1562" s="8" t="n"/>
      <c r="C1562" s="8" t="n"/>
      <c r="D1562" s="8" t="n"/>
      <c r="E1562" s="11" t="n"/>
      <c r="F1562" s="11" t="n"/>
      <c r="G1562" s="8" t="n"/>
      <c r="H1562" s="8" t="n"/>
      <c r="I1562" s="8" t="n"/>
      <c r="J1562" s="8" t="n"/>
      <c r="K1562" s="12">
        <f>IF(OR(ISERROR(VLOOKUP(C1562, Resultados_Reales!$A$4:$I$107, 5, FALSE)), ISERROR(VLOOKUP(C1562, Resultados_Reales!$A$4:$I$107, 6, FALSE)), VLOOKUP(C1562, Resultados_Reales!$A$4:$I$107, 5, FALSE)="", VLOOKUP(C1562, Resultados_Reales!$A$4:$I$107, 6, FALSE)=""), 0, IF(AND(VLOOKUP(C1562, Resultados_Reales!$A$4:$I$107, 5, FALSE)=G1562, VLOOKUP(C1562, Resultados_Reales!$A$4:$I$107, 6, FALSE)=H1562), Configuracion!$B$5, IF(SIGN(VLOOKUP(C1562, Resultados_Reales!$A$4:$I$107, 5, FALSE)-VLOOKUP(C1562, Resultados_Reales!$A$4:$I$107, 6, FALSE)) = SIGN(G1562-H1562), Configuracion!$B$4, 0)))</f>
        <v/>
      </c>
      <c r="L1562" s="11" t="n"/>
      <c r="M1562" s="11" t="n"/>
      <c r="N1562" s="11" t="n"/>
      <c r="O1562" s="11" t="n"/>
      <c r="P1562" s="11" t="n"/>
      <c r="Q1562" s="11" t="n"/>
    </row>
    <row r="1563">
      <c r="A1563" s="8">
        <f>B1563&amp;"_"&amp;C1563</f>
        <v/>
      </c>
      <c r="B1563" s="8" t="n"/>
      <c r="C1563" s="8" t="n"/>
      <c r="D1563" s="8" t="n"/>
      <c r="E1563" s="11" t="n"/>
      <c r="F1563" s="11" t="n"/>
      <c r="G1563" s="8" t="n"/>
      <c r="H1563" s="8" t="n"/>
      <c r="I1563" s="8" t="n"/>
      <c r="J1563" s="8" t="n"/>
      <c r="K1563" s="12">
        <f>IF(OR(ISERROR(VLOOKUP(C1563, Resultados_Reales!$A$4:$I$107, 5, FALSE)), ISERROR(VLOOKUP(C1563, Resultados_Reales!$A$4:$I$107, 6, FALSE)), VLOOKUP(C1563, Resultados_Reales!$A$4:$I$107, 5, FALSE)="", VLOOKUP(C1563, Resultados_Reales!$A$4:$I$107, 6, FALSE)=""), 0, IF(AND(VLOOKUP(C1563, Resultados_Reales!$A$4:$I$107, 5, FALSE)=G1563, VLOOKUP(C1563, Resultados_Reales!$A$4:$I$107, 6, FALSE)=H1563), Configuracion!$B$5, IF(SIGN(VLOOKUP(C1563, Resultados_Reales!$A$4:$I$107, 5, FALSE)-VLOOKUP(C1563, Resultados_Reales!$A$4:$I$107, 6, FALSE)) = SIGN(G1563-H1563), Configuracion!$B$4, 0)))</f>
        <v/>
      </c>
      <c r="L1563" s="11" t="n"/>
      <c r="M1563" s="11" t="n"/>
      <c r="N1563" s="11" t="n"/>
      <c r="O1563" s="11" t="n"/>
      <c r="P1563" s="11" t="n"/>
      <c r="Q1563" s="11" t="n"/>
    </row>
    <row r="1564">
      <c r="A1564" s="8">
        <f>B1564&amp;"_"&amp;C1564</f>
        <v/>
      </c>
      <c r="B1564" s="8" t="n"/>
      <c r="C1564" s="8" t="n"/>
      <c r="D1564" s="8" t="n"/>
      <c r="E1564" s="11" t="n"/>
      <c r="F1564" s="11" t="n"/>
      <c r="G1564" s="8" t="n"/>
      <c r="H1564" s="8" t="n"/>
      <c r="I1564" s="8" t="n"/>
      <c r="J1564" s="8" t="n"/>
      <c r="K1564" s="12">
        <f>IF(OR(ISERROR(VLOOKUP(C1564, Resultados_Reales!$A$4:$I$107, 5, FALSE)), ISERROR(VLOOKUP(C1564, Resultados_Reales!$A$4:$I$107, 6, FALSE)), VLOOKUP(C1564, Resultados_Reales!$A$4:$I$107, 5, FALSE)="", VLOOKUP(C1564, Resultados_Reales!$A$4:$I$107, 6, FALSE)=""), 0, IF(AND(VLOOKUP(C1564, Resultados_Reales!$A$4:$I$107, 5, FALSE)=G1564, VLOOKUP(C1564, Resultados_Reales!$A$4:$I$107, 6, FALSE)=H1564), Configuracion!$B$5, IF(SIGN(VLOOKUP(C1564, Resultados_Reales!$A$4:$I$107, 5, FALSE)-VLOOKUP(C1564, Resultados_Reales!$A$4:$I$107, 6, FALSE)) = SIGN(G1564-H1564), Configuracion!$B$4, 0)))</f>
        <v/>
      </c>
      <c r="L1564" s="11" t="n"/>
      <c r="M1564" s="11" t="n"/>
      <c r="N1564" s="11" t="n"/>
      <c r="O1564" s="11" t="n"/>
      <c r="P1564" s="11" t="n"/>
      <c r="Q1564" s="11" t="n"/>
    </row>
    <row r="1565">
      <c r="A1565" s="8">
        <f>B1565&amp;"_"&amp;C1565</f>
        <v/>
      </c>
      <c r="B1565" s="8" t="n"/>
      <c r="C1565" s="8" t="n"/>
      <c r="D1565" s="8" t="n"/>
      <c r="E1565" s="11" t="n"/>
      <c r="F1565" s="11" t="n"/>
      <c r="G1565" s="8" t="n"/>
      <c r="H1565" s="8" t="n"/>
      <c r="I1565" s="8" t="n"/>
      <c r="J1565" s="8" t="n"/>
      <c r="K1565" s="12">
        <f>IF(OR(ISERROR(VLOOKUP(C1565, Resultados_Reales!$A$4:$I$107, 5, FALSE)), ISERROR(VLOOKUP(C1565, Resultados_Reales!$A$4:$I$107, 6, FALSE)), VLOOKUP(C1565, Resultados_Reales!$A$4:$I$107, 5, FALSE)="", VLOOKUP(C1565, Resultados_Reales!$A$4:$I$107, 6, FALSE)=""), 0, IF(AND(VLOOKUP(C1565, Resultados_Reales!$A$4:$I$107, 5, FALSE)=G1565, VLOOKUP(C1565, Resultados_Reales!$A$4:$I$107, 6, FALSE)=H1565), Configuracion!$B$5, IF(SIGN(VLOOKUP(C1565, Resultados_Reales!$A$4:$I$107, 5, FALSE)-VLOOKUP(C1565, Resultados_Reales!$A$4:$I$107, 6, FALSE)) = SIGN(G1565-H1565), Configuracion!$B$4, 0)))</f>
        <v/>
      </c>
      <c r="L1565" s="11" t="n"/>
      <c r="M1565" s="11" t="n"/>
      <c r="N1565" s="11" t="n"/>
      <c r="O1565" s="11" t="n"/>
      <c r="P1565" s="11" t="n"/>
      <c r="Q1565" s="11" t="n"/>
    </row>
    <row r="1566">
      <c r="A1566" s="8">
        <f>B1566&amp;"_"&amp;C1566</f>
        <v/>
      </c>
      <c r="B1566" s="8" t="n"/>
      <c r="C1566" s="8" t="n"/>
      <c r="D1566" s="8" t="n"/>
      <c r="E1566" s="11" t="n"/>
      <c r="F1566" s="11" t="n"/>
      <c r="G1566" s="8" t="n"/>
      <c r="H1566" s="8" t="n"/>
      <c r="I1566" s="8" t="n"/>
      <c r="J1566" s="8" t="n"/>
      <c r="K1566" s="12">
        <f>IF(OR(ISERROR(VLOOKUP(C1566, Resultados_Reales!$A$4:$I$107, 5, FALSE)), ISERROR(VLOOKUP(C1566, Resultados_Reales!$A$4:$I$107, 6, FALSE)), VLOOKUP(C1566, Resultados_Reales!$A$4:$I$107, 5, FALSE)="", VLOOKUP(C1566, Resultados_Reales!$A$4:$I$107, 6, FALSE)=""), 0, IF(AND(VLOOKUP(C1566, Resultados_Reales!$A$4:$I$107, 5, FALSE)=G1566, VLOOKUP(C1566, Resultados_Reales!$A$4:$I$107, 6, FALSE)=H1566), Configuracion!$B$5, IF(SIGN(VLOOKUP(C1566, Resultados_Reales!$A$4:$I$107, 5, FALSE)-VLOOKUP(C1566, Resultados_Reales!$A$4:$I$107, 6, FALSE)) = SIGN(G1566-H1566), Configuracion!$B$4, 0)))</f>
        <v/>
      </c>
      <c r="L1566" s="11" t="n"/>
      <c r="M1566" s="11" t="n"/>
      <c r="N1566" s="11" t="n"/>
      <c r="O1566" s="11" t="n"/>
      <c r="P1566" s="11" t="n"/>
      <c r="Q1566" s="11" t="n"/>
    </row>
    <row r="1567">
      <c r="A1567" s="8">
        <f>B1567&amp;"_"&amp;C1567</f>
        <v/>
      </c>
      <c r="B1567" s="8" t="n"/>
      <c r="C1567" s="8" t="n"/>
      <c r="D1567" s="8" t="n"/>
      <c r="E1567" s="11" t="n"/>
      <c r="F1567" s="11" t="n"/>
      <c r="G1567" s="8" t="n"/>
      <c r="H1567" s="8" t="n"/>
      <c r="I1567" s="8" t="n"/>
      <c r="J1567" s="8" t="n"/>
      <c r="K1567" s="12">
        <f>IF(OR(ISERROR(VLOOKUP(C1567, Resultados_Reales!$A$4:$I$107, 5, FALSE)), ISERROR(VLOOKUP(C1567, Resultados_Reales!$A$4:$I$107, 6, FALSE)), VLOOKUP(C1567, Resultados_Reales!$A$4:$I$107, 5, FALSE)="", VLOOKUP(C1567, Resultados_Reales!$A$4:$I$107, 6, FALSE)=""), 0, IF(AND(VLOOKUP(C1567, Resultados_Reales!$A$4:$I$107, 5, FALSE)=G1567, VLOOKUP(C1567, Resultados_Reales!$A$4:$I$107, 6, FALSE)=H1567), Configuracion!$B$5, IF(SIGN(VLOOKUP(C1567, Resultados_Reales!$A$4:$I$107, 5, FALSE)-VLOOKUP(C1567, Resultados_Reales!$A$4:$I$107, 6, FALSE)) = SIGN(G1567-H1567), Configuracion!$B$4, 0)))</f>
        <v/>
      </c>
      <c r="L1567" s="11" t="n"/>
      <c r="M1567" s="11" t="n"/>
      <c r="N1567" s="11" t="n"/>
      <c r="O1567" s="11" t="n"/>
      <c r="P1567" s="11" t="n"/>
      <c r="Q1567" s="11" t="n"/>
    </row>
    <row r="1568">
      <c r="A1568" s="8">
        <f>B1568&amp;"_"&amp;C1568</f>
        <v/>
      </c>
      <c r="B1568" s="8" t="n"/>
      <c r="C1568" s="8" t="n"/>
      <c r="D1568" s="8" t="n"/>
      <c r="E1568" s="11" t="n"/>
      <c r="F1568" s="11" t="n"/>
      <c r="G1568" s="8" t="n"/>
      <c r="H1568" s="8" t="n"/>
      <c r="I1568" s="8" t="n"/>
      <c r="J1568" s="8" t="n"/>
      <c r="K1568" s="12">
        <f>IF(OR(ISERROR(VLOOKUP(C1568, Resultados_Reales!$A$4:$I$107, 5, FALSE)), ISERROR(VLOOKUP(C1568, Resultados_Reales!$A$4:$I$107, 6, FALSE)), VLOOKUP(C1568, Resultados_Reales!$A$4:$I$107, 5, FALSE)="", VLOOKUP(C1568, Resultados_Reales!$A$4:$I$107, 6, FALSE)=""), 0, IF(AND(VLOOKUP(C1568, Resultados_Reales!$A$4:$I$107, 5, FALSE)=G1568, VLOOKUP(C1568, Resultados_Reales!$A$4:$I$107, 6, FALSE)=H1568), Configuracion!$B$5, IF(SIGN(VLOOKUP(C1568, Resultados_Reales!$A$4:$I$107, 5, FALSE)-VLOOKUP(C1568, Resultados_Reales!$A$4:$I$107, 6, FALSE)) = SIGN(G1568-H1568), Configuracion!$B$4, 0)))</f>
        <v/>
      </c>
      <c r="L1568" s="11" t="n"/>
      <c r="M1568" s="11" t="n"/>
      <c r="N1568" s="11" t="n"/>
      <c r="O1568" s="11" t="n"/>
      <c r="P1568" s="11" t="n"/>
      <c r="Q1568" s="11" t="n"/>
    </row>
    <row r="1569">
      <c r="A1569" s="8">
        <f>B1569&amp;"_"&amp;C1569</f>
        <v/>
      </c>
      <c r="B1569" s="8" t="n"/>
      <c r="C1569" s="8" t="n"/>
      <c r="D1569" s="8" t="n"/>
      <c r="E1569" s="11" t="n"/>
      <c r="F1569" s="11" t="n"/>
      <c r="G1569" s="8" t="n"/>
      <c r="H1569" s="8" t="n"/>
      <c r="I1569" s="8" t="n"/>
      <c r="J1569" s="8" t="n"/>
      <c r="K1569" s="12">
        <f>IF(OR(ISERROR(VLOOKUP(C1569, Resultados_Reales!$A$4:$I$107, 5, FALSE)), ISERROR(VLOOKUP(C1569, Resultados_Reales!$A$4:$I$107, 6, FALSE)), VLOOKUP(C1569, Resultados_Reales!$A$4:$I$107, 5, FALSE)="", VLOOKUP(C1569, Resultados_Reales!$A$4:$I$107, 6, FALSE)=""), 0, IF(AND(VLOOKUP(C1569, Resultados_Reales!$A$4:$I$107, 5, FALSE)=G1569, VLOOKUP(C1569, Resultados_Reales!$A$4:$I$107, 6, FALSE)=H1569), Configuracion!$B$5, IF(SIGN(VLOOKUP(C1569, Resultados_Reales!$A$4:$I$107, 5, FALSE)-VLOOKUP(C1569, Resultados_Reales!$A$4:$I$107, 6, FALSE)) = SIGN(G1569-H1569), Configuracion!$B$4, 0)))</f>
        <v/>
      </c>
      <c r="L1569" s="11" t="n"/>
      <c r="M1569" s="11" t="n"/>
      <c r="N1569" s="11" t="n"/>
      <c r="O1569" s="11" t="n"/>
      <c r="P1569" s="11" t="n"/>
      <c r="Q1569" s="11" t="n"/>
    </row>
    <row r="1570">
      <c r="A1570" s="8">
        <f>B1570&amp;"_"&amp;C1570</f>
        <v/>
      </c>
      <c r="B1570" s="8" t="n"/>
      <c r="C1570" s="8" t="n"/>
      <c r="D1570" s="8" t="n"/>
      <c r="E1570" s="11" t="n"/>
      <c r="F1570" s="11" t="n"/>
      <c r="G1570" s="8" t="n"/>
      <c r="H1570" s="8" t="n"/>
      <c r="I1570" s="8" t="n"/>
      <c r="J1570" s="8" t="n"/>
      <c r="K1570" s="12">
        <f>IF(OR(ISERROR(VLOOKUP(C1570, Resultados_Reales!$A$4:$I$107, 5, FALSE)), ISERROR(VLOOKUP(C1570, Resultados_Reales!$A$4:$I$107, 6, FALSE)), VLOOKUP(C1570, Resultados_Reales!$A$4:$I$107, 5, FALSE)="", VLOOKUP(C1570, Resultados_Reales!$A$4:$I$107, 6, FALSE)=""), 0, IF(AND(VLOOKUP(C1570, Resultados_Reales!$A$4:$I$107, 5, FALSE)=G1570, VLOOKUP(C1570, Resultados_Reales!$A$4:$I$107, 6, FALSE)=H1570), Configuracion!$B$5, IF(SIGN(VLOOKUP(C1570, Resultados_Reales!$A$4:$I$107, 5, FALSE)-VLOOKUP(C1570, Resultados_Reales!$A$4:$I$107, 6, FALSE)) = SIGN(G1570-H1570), Configuracion!$B$4, 0)))</f>
        <v/>
      </c>
      <c r="L1570" s="11" t="n"/>
      <c r="M1570" s="11" t="n"/>
      <c r="N1570" s="11" t="n"/>
      <c r="O1570" s="11" t="n"/>
      <c r="P1570" s="11" t="n"/>
      <c r="Q1570" s="11" t="n"/>
    </row>
    <row r="1571">
      <c r="A1571" s="8">
        <f>B1571&amp;"_"&amp;C1571</f>
        <v/>
      </c>
      <c r="B1571" s="8" t="n"/>
      <c r="C1571" s="8" t="n"/>
      <c r="D1571" s="8" t="n"/>
      <c r="E1571" s="11" t="n"/>
      <c r="F1571" s="11" t="n"/>
      <c r="G1571" s="8" t="n"/>
      <c r="H1571" s="8" t="n"/>
      <c r="I1571" s="8" t="n"/>
      <c r="J1571" s="8" t="n"/>
      <c r="K1571" s="12">
        <f>IF(OR(ISERROR(VLOOKUP(C1571, Resultados_Reales!$A$4:$I$107, 5, FALSE)), ISERROR(VLOOKUP(C1571, Resultados_Reales!$A$4:$I$107, 6, FALSE)), VLOOKUP(C1571, Resultados_Reales!$A$4:$I$107, 5, FALSE)="", VLOOKUP(C1571, Resultados_Reales!$A$4:$I$107, 6, FALSE)=""), 0, IF(AND(VLOOKUP(C1571, Resultados_Reales!$A$4:$I$107, 5, FALSE)=G1571, VLOOKUP(C1571, Resultados_Reales!$A$4:$I$107, 6, FALSE)=H1571), Configuracion!$B$5, IF(SIGN(VLOOKUP(C1571, Resultados_Reales!$A$4:$I$107, 5, FALSE)-VLOOKUP(C1571, Resultados_Reales!$A$4:$I$107, 6, FALSE)) = SIGN(G1571-H1571), Configuracion!$B$4, 0)))</f>
        <v/>
      </c>
      <c r="L1571" s="11" t="n"/>
      <c r="M1571" s="11" t="n"/>
      <c r="N1571" s="11" t="n"/>
      <c r="O1571" s="11" t="n"/>
      <c r="P1571" s="11" t="n"/>
      <c r="Q1571" s="11" t="n"/>
    </row>
    <row r="1572">
      <c r="A1572" s="8">
        <f>B1572&amp;"_"&amp;C1572</f>
        <v/>
      </c>
      <c r="B1572" s="8" t="n"/>
      <c r="C1572" s="8" t="n"/>
      <c r="D1572" s="8" t="n"/>
      <c r="E1572" s="11" t="n"/>
      <c r="F1572" s="11" t="n"/>
      <c r="G1572" s="8" t="n"/>
      <c r="H1572" s="8" t="n"/>
      <c r="I1572" s="8" t="n"/>
      <c r="J1572" s="8" t="n"/>
      <c r="K1572" s="12">
        <f>IF(OR(ISERROR(VLOOKUP(C1572, Resultados_Reales!$A$4:$I$107, 5, FALSE)), ISERROR(VLOOKUP(C1572, Resultados_Reales!$A$4:$I$107, 6, FALSE)), VLOOKUP(C1572, Resultados_Reales!$A$4:$I$107, 5, FALSE)="", VLOOKUP(C1572, Resultados_Reales!$A$4:$I$107, 6, FALSE)=""), 0, IF(AND(VLOOKUP(C1572, Resultados_Reales!$A$4:$I$107, 5, FALSE)=G1572, VLOOKUP(C1572, Resultados_Reales!$A$4:$I$107, 6, FALSE)=H1572), Configuracion!$B$5, IF(SIGN(VLOOKUP(C1572, Resultados_Reales!$A$4:$I$107, 5, FALSE)-VLOOKUP(C1572, Resultados_Reales!$A$4:$I$107, 6, FALSE)) = SIGN(G1572-H1572), Configuracion!$B$4, 0)))</f>
        <v/>
      </c>
      <c r="L1572" s="11" t="n"/>
      <c r="M1572" s="11" t="n"/>
      <c r="N1572" s="11" t="n"/>
      <c r="O1572" s="11" t="n"/>
      <c r="P1572" s="11" t="n"/>
      <c r="Q1572" s="11" t="n"/>
    </row>
    <row r="1573">
      <c r="A1573" s="8">
        <f>B1573&amp;"_"&amp;C1573</f>
        <v/>
      </c>
      <c r="B1573" s="8" t="n"/>
      <c r="C1573" s="8" t="n"/>
      <c r="D1573" s="8" t="n"/>
      <c r="E1573" s="11" t="n"/>
      <c r="F1573" s="11" t="n"/>
      <c r="G1573" s="8" t="n"/>
      <c r="H1573" s="8" t="n"/>
      <c r="I1573" s="8" t="n"/>
      <c r="J1573" s="8" t="n"/>
      <c r="K1573" s="12">
        <f>IF(OR(ISERROR(VLOOKUP(C1573, Resultados_Reales!$A$4:$I$107, 5, FALSE)), ISERROR(VLOOKUP(C1573, Resultados_Reales!$A$4:$I$107, 6, FALSE)), VLOOKUP(C1573, Resultados_Reales!$A$4:$I$107, 5, FALSE)="", VLOOKUP(C1573, Resultados_Reales!$A$4:$I$107, 6, FALSE)=""), 0, IF(AND(VLOOKUP(C1573, Resultados_Reales!$A$4:$I$107, 5, FALSE)=G1573, VLOOKUP(C1573, Resultados_Reales!$A$4:$I$107, 6, FALSE)=H1573), Configuracion!$B$5, IF(SIGN(VLOOKUP(C1573, Resultados_Reales!$A$4:$I$107, 5, FALSE)-VLOOKUP(C1573, Resultados_Reales!$A$4:$I$107, 6, FALSE)) = SIGN(G1573-H1573), Configuracion!$B$4, 0)))</f>
        <v/>
      </c>
      <c r="L1573" s="11" t="n"/>
      <c r="M1573" s="11" t="n"/>
      <c r="N1573" s="11" t="n"/>
      <c r="O1573" s="11" t="n"/>
      <c r="P1573" s="11" t="n"/>
      <c r="Q1573" s="11" t="n"/>
    </row>
    <row r="1574">
      <c r="A1574" s="8">
        <f>B1574&amp;"_"&amp;C1574</f>
        <v/>
      </c>
      <c r="B1574" s="8" t="n"/>
      <c r="C1574" s="8" t="n"/>
      <c r="D1574" s="8" t="n"/>
      <c r="E1574" s="11" t="n"/>
      <c r="F1574" s="11" t="n"/>
      <c r="G1574" s="8" t="n"/>
      <c r="H1574" s="8" t="n"/>
      <c r="I1574" s="8" t="n"/>
      <c r="J1574" s="8" t="n"/>
      <c r="K1574" s="12">
        <f>IF(OR(ISERROR(VLOOKUP(C1574, Resultados_Reales!$A$4:$I$107, 5, FALSE)), ISERROR(VLOOKUP(C1574, Resultados_Reales!$A$4:$I$107, 6, FALSE)), VLOOKUP(C1574, Resultados_Reales!$A$4:$I$107, 5, FALSE)="", VLOOKUP(C1574, Resultados_Reales!$A$4:$I$107, 6, FALSE)=""), 0, IF(AND(VLOOKUP(C1574, Resultados_Reales!$A$4:$I$107, 5, FALSE)=G1574, VLOOKUP(C1574, Resultados_Reales!$A$4:$I$107, 6, FALSE)=H1574), Configuracion!$B$5, IF(SIGN(VLOOKUP(C1574, Resultados_Reales!$A$4:$I$107, 5, FALSE)-VLOOKUP(C1574, Resultados_Reales!$A$4:$I$107, 6, FALSE)) = SIGN(G1574-H1574), Configuracion!$B$4, 0)))</f>
        <v/>
      </c>
      <c r="L1574" s="11" t="n"/>
      <c r="M1574" s="11" t="n"/>
      <c r="N1574" s="11" t="n"/>
      <c r="O1574" s="11" t="n"/>
      <c r="P1574" s="11" t="n"/>
      <c r="Q1574" s="11" t="n"/>
    </row>
    <row r="1575">
      <c r="A1575" s="8">
        <f>B1575&amp;"_"&amp;C1575</f>
        <v/>
      </c>
      <c r="B1575" s="8" t="n"/>
      <c r="C1575" s="8" t="n"/>
      <c r="D1575" s="8" t="n"/>
      <c r="E1575" s="11" t="n"/>
      <c r="F1575" s="11" t="n"/>
      <c r="G1575" s="8" t="n"/>
      <c r="H1575" s="8" t="n"/>
      <c r="I1575" s="8" t="n"/>
      <c r="J1575" s="8" t="n"/>
      <c r="K1575" s="12">
        <f>IF(OR(ISERROR(VLOOKUP(C1575, Resultados_Reales!$A$4:$I$107, 5, FALSE)), ISERROR(VLOOKUP(C1575, Resultados_Reales!$A$4:$I$107, 6, FALSE)), VLOOKUP(C1575, Resultados_Reales!$A$4:$I$107, 5, FALSE)="", VLOOKUP(C1575, Resultados_Reales!$A$4:$I$107, 6, FALSE)=""), 0, IF(AND(VLOOKUP(C1575, Resultados_Reales!$A$4:$I$107, 5, FALSE)=G1575, VLOOKUP(C1575, Resultados_Reales!$A$4:$I$107, 6, FALSE)=H1575), Configuracion!$B$5, IF(SIGN(VLOOKUP(C1575, Resultados_Reales!$A$4:$I$107, 5, FALSE)-VLOOKUP(C1575, Resultados_Reales!$A$4:$I$107, 6, FALSE)) = SIGN(G1575-H1575), Configuracion!$B$4, 0)))</f>
        <v/>
      </c>
      <c r="L1575" s="11" t="n"/>
      <c r="M1575" s="11" t="n"/>
      <c r="N1575" s="11" t="n"/>
      <c r="O1575" s="11" t="n"/>
      <c r="P1575" s="11" t="n"/>
      <c r="Q1575" s="11" t="n"/>
    </row>
    <row r="1576">
      <c r="A1576" s="8">
        <f>B1576&amp;"_"&amp;C1576</f>
        <v/>
      </c>
      <c r="B1576" s="8" t="n"/>
      <c r="C1576" s="8" t="n"/>
      <c r="D1576" s="8" t="n"/>
      <c r="E1576" s="11" t="n"/>
      <c r="F1576" s="11" t="n"/>
      <c r="G1576" s="8" t="n"/>
      <c r="H1576" s="8" t="n"/>
      <c r="I1576" s="8" t="n"/>
      <c r="J1576" s="8" t="n"/>
      <c r="K1576" s="12">
        <f>IF(OR(ISERROR(VLOOKUP(C1576, Resultados_Reales!$A$4:$I$107, 5, FALSE)), ISERROR(VLOOKUP(C1576, Resultados_Reales!$A$4:$I$107, 6, FALSE)), VLOOKUP(C1576, Resultados_Reales!$A$4:$I$107, 5, FALSE)="", VLOOKUP(C1576, Resultados_Reales!$A$4:$I$107, 6, FALSE)=""), 0, IF(AND(VLOOKUP(C1576, Resultados_Reales!$A$4:$I$107, 5, FALSE)=G1576, VLOOKUP(C1576, Resultados_Reales!$A$4:$I$107, 6, FALSE)=H1576), Configuracion!$B$5, IF(SIGN(VLOOKUP(C1576, Resultados_Reales!$A$4:$I$107, 5, FALSE)-VLOOKUP(C1576, Resultados_Reales!$A$4:$I$107, 6, FALSE)) = SIGN(G1576-H1576), Configuracion!$B$4, 0)))</f>
        <v/>
      </c>
      <c r="L1576" s="11" t="n"/>
      <c r="M1576" s="11" t="n"/>
      <c r="N1576" s="11" t="n"/>
      <c r="O1576" s="11" t="n"/>
      <c r="P1576" s="11" t="n"/>
      <c r="Q1576" s="11" t="n"/>
    </row>
    <row r="1577">
      <c r="A1577" s="8">
        <f>B1577&amp;"_"&amp;C1577</f>
        <v/>
      </c>
      <c r="B1577" s="8" t="n"/>
      <c r="C1577" s="8" t="n"/>
      <c r="D1577" s="8" t="n"/>
      <c r="E1577" s="11" t="n"/>
      <c r="F1577" s="11" t="n"/>
      <c r="G1577" s="8" t="n"/>
      <c r="H1577" s="8" t="n"/>
      <c r="I1577" s="8" t="n"/>
      <c r="J1577" s="8" t="n"/>
      <c r="K1577" s="12">
        <f>IF(OR(ISERROR(VLOOKUP(C1577, Resultados_Reales!$A$4:$I$107, 5, FALSE)), ISERROR(VLOOKUP(C1577, Resultados_Reales!$A$4:$I$107, 6, FALSE)), VLOOKUP(C1577, Resultados_Reales!$A$4:$I$107, 5, FALSE)="", VLOOKUP(C1577, Resultados_Reales!$A$4:$I$107, 6, FALSE)=""), 0, IF(AND(VLOOKUP(C1577, Resultados_Reales!$A$4:$I$107, 5, FALSE)=G1577, VLOOKUP(C1577, Resultados_Reales!$A$4:$I$107, 6, FALSE)=H1577), Configuracion!$B$5, IF(SIGN(VLOOKUP(C1577, Resultados_Reales!$A$4:$I$107, 5, FALSE)-VLOOKUP(C1577, Resultados_Reales!$A$4:$I$107, 6, FALSE)) = SIGN(G1577-H1577), Configuracion!$B$4, 0)))</f>
        <v/>
      </c>
      <c r="L1577" s="11" t="n"/>
      <c r="M1577" s="11" t="n"/>
      <c r="N1577" s="11" t="n"/>
      <c r="O1577" s="11" t="n"/>
      <c r="P1577" s="11" t="n"/>
      <c r="Q1577" s="11" t="n"/>
    </row>
    <row r="1578">
      <c r="A1578" s="8">
        <f>B1578&amp;"_"&amp;C1578</f>
        <v/>
      </c>
      <c r="B1578" s="8" t="n"/>
      <c r="C1578" s="8" t="n"/>
      <c r="D1578" s="8" t="n"/>
      <c r="E1578" s="11" t="n"/>
      <c r="F1578" s="11" t="n"/>
      <c r="G1578" s="8" t="n"/>
      <c r="H1578" s="8" t="n"/>
      <c r="I1578" s="8" t="n"/>
      <c r="J1578" s="8" t="n"/>
      <c r="K1578" s="12">
        <f>IF(OR(ISERROR(VLOOKUP(C1578, Resultados_Reales!$A$4:$I$107, 5, FALSE)), ISERROR(VLOOKUP(C1578, Resultados_Reales!$A$4:$I$107, 6, FALSE)), VLOOKUP(C1578, Resultados_Reales!$A$4:$I$107, 5, FALSE)="", VLOOKUP(C1578, Resultados_Reales!$A$4:$I$107, 6, FALSE)=""), 0, IF(AND(VLOOKUP(C1578, Resultados_Reales!$A$4:$I$107, 5, FALSE)=G1578, VLOOKUP(C1578, Resultados_Reales!$A$4:$I$107, 6, FALSE)=H1578), Configuracion!$B$5, IF(SIGN(VLOOKUP(C1578, Resultados_Reales!$A$4:$I$107, 5, FALSE)-VLOOKUP(C1578, Resultados_Reales!$A$4:$I$107, 6, FALSE)) = SIGN(G1578-H1578), Configuracion!$B$4, 0)))</f>
        <v/>
      </c>
      <c r="L1578" s="11" t="n"/>
      <c r="M1578" s="11" t="n"/>
      <c r="N1578" s="11" t="n"/>
      <c r="O1578" s="11" t="n"/>
      <c r="P1578" s="11" t="n"/>
      <c r="Q1578" s="11" t="n"/>
    </row>
    <row r="1579">
      <c r="A1579" s="8">
        <f>B1579&amp;"_"&amp;C1579</f>
        <v/>
      </c>
      <c r="B1579" s="8" t="n"/>
      <c r="C1579" s="8" t="n"/>
      <c r="D1579" s="8" t="n"/>
      <c r="E1579" s="11" t="n"/>
      <c r="F1579" s="11" t="n"/>
      <c r="G1579" s="8" t="n"/>
      <c r="H1579" s="8" t="n"/>
      <c r="I1579" s="8" t="n"/>
      <c r="J1579" s="8" t="n"/>
      <c r="K1579" s="12">
        <f>IF(OR(ISERROR(VLOOKUP(C1579, Resultados_Reales!$A$4:$I$107, 5, FALSE)), ISERROR(VLOOKUP(C1579, Resultados_Reales!$A$4:$I$107, 6, FALSE)), VLOOKUP(C1579, Resultados_Reales!$A$4:$I$107, 5, FALSE)="", VLOOKUP(C1579, Resultados_Reales!$A$4:$I$107, 6, FALSE)=""), 0, IF(AND(VLOOKUP(C1579, Resultados_Reales!$A$4:$I$107, 5, FALSE)=G1579, VLOOKUP(C1579, Resultados_Reales!$A$4:$I$107, 6, FALSE)=H1579), Configuracion!$B$5, IF(SIGN(VLOOKUP(C1579, Resultados_Reales!$A$4:$I$107, 5, FALSE)-VLOOKUP(C1579, Resultados_Reales!$A$4:$I$107, 6, FALSE)) = SIGN(G1579-H1579), Configuracion!$B$4, 0)))</f>
        <v/>
      </c>
      <c r="L1579" s="11" t="n"/>
      <c r="M1579" s="11" t="n"/>
      <c r="N1579" s="11" t="n"/>
      <c r="O1579" s="11" t="n"/>
      <c r="P1579" s="11" t="n"/>
      <c r="Q1579" s="11" t="n"/>
    </row>
    <row r="1580">
      <c r="A1580" s="8">
        <f>B1580&amp;"_"&amp;C1580</f>
        <v/>
      </c>
      <c r="B1580" s="8" t="n"/>
      <c r="C1580" s="8" t="n"/>
      <c r="D1580" s="8" t="n"/>
      <c r="E1580" s="11" t="n"/>
      <c r="F1580" s="11" t="n"/>
      <c r="G1580" s="8" t="n"/>
      <c r="H1580" s="8" t="n"/>
      <c r="I1580" s="8" t="n"/>
      <c r="J1580" s="8" t="n"/>
      <c r="K1580" s="12">
        <f>IF(OR(ISERROR(VLOOKUP(C1580, Resultados_Reales!$A$4:$I$107, 5, FALSE)), ISERROR(VLOOKUP(C1580, Resultados_Reales!$A$4:$I$107, 6, FALSE)), VLOOKUP(C1580, Resultados_Reales!$A$4:$I$107, 5, FALSE)="", VLOOKUP(C1580, Resultados_Reales!$A$4:$I$107, 6, FALSE)=""), 0, IF(AND(VLOOKUP(C1580, Resultados_Reales!$A$4:$I$107, 5, FALSE)=G1580, VLOOKUP(C1580, Resultados_Reales!$A$4:$I$107, 6, FALSE)=H1580), Configuracion!$B$5, IF(SIGN(VLOOKUP(C1580, Resultados_Reales!$A$4:$I$107, 5, FALSE)-VLOOKUP(C1580, Resultados_Reales!$A$4:$I$107, 6, FALSE)) = SIGN(G1580-H1580), Configuracion!$B$4, 0)))</f>
        <v/>
      </c>
      <c r="L1580" s="11" t="n"/>
      <c r="M1580" s="11" t="n"/>
      <c r="N1580" s="11" t="n"/>
      <c r="O1580" s="11" t="n"/>
      <c r="P1580" s="11" t="n"/>
      <c r="Q1580" s="11" t="n"/>
    </row>
    <row r="1581">
      <c r="A1581" s="8">
        <f>B1581&amp;"_"&amp;C1581</f>
        <v/>
      </c>
      <c r="B1581" s="8" t="n"/>
      <c r="C1581" s="8" t="n"/>
      <c r="D1581" s="8" t="n"/>
      <c r="E1581" s="11" t="n"/>
      <c r="F1581" s="11" t="n"/>
      <c r="G1581" s="8" t="n"/>
      <c r="H1581" s="8" t="n"/>
      <c r="I1581" s="8" t="n"/>
      <c r="J1581" s="8" t="n"/>
      <c r="K1581" s="12">
        <f>IF(OR(ISERROR(VLOOKUP(C1581, Resultados_Reales!$A$4:$I$107, 5, FALSE)), ISERROR(VLOOKUP(C1581, Resultados_Reales!$A$4:$I$107, 6, FALSE)), VLOOKUP(C1581, Resultados_Reales!$A$4:$I$107, 5, FALSE)="", VLOOKUP(C1581, Resultados_Reales!$A$4:$I$107, 6, FALSE)=""), 0, IF(AND(VLOOKUP(C1581, Resultados_Reales!$A$4:$I$107, 5, FALSE)=G1581, VLOOKUP(C1581, Resultados_Reales!$A$4:$I$107, 6, FALSE)=H1581), Configuracion!$B$5, IF(SIGN(VLOOKUP(C1581, Resultados_Reales!$A$4:$I$107, 5, FALSE)-VLOOKUP(C1581, Resultados_Reales!$A$4:$I$107, 6, FALSE)) = SIGN(G1581-H1581), Configuracion!$B$4, 0)))</f>
        <v/>
      </c>
      <c r="L1581" s="11" t="n"/>
      <c r="M1581" s="11" t="n"/>
      <c r="N1581" s="11" t="n"/>
      <c r="O1581" s="11" t="n"/>
      <c r="P1581" s="11" t="n"/>
      <c r="Q1581" s="11" t="n"/>
    </row>
    <row r="1582">
      <c r="A1582" s="8">
        <f>B1582&amp;"_"&amp;C1582</f>
        <v/>
      </c>
      <c r="B1582" s="8" t="n"/>
      <c r="C1582" s="8" t="n"/>
      <c r="D1582" s="8" t="n"/>
      <c r="E1582" s="11" t="n"/>
      <c r="F1582" s="11" t="n"/>
      <c r="G1582" s="8" t="n"/>
      <c r="H1582" s="8" t="n"/>
      <c r="I1582" s="8" t="n"/>
      <c r="J1582" s="8" t="n"/>
      <c r="K1582" s="12">
        <f>IF(OR(ISERROR(VLOOKUP(C1582, Resultados_Reales!$A$4:$I$107, 5, FALSE)), ISERROR(VLOOKUP(C1582, Resultados_Reales!$A$4:$I$107, 6, FALSE)), VLOOKUP(C1582, Resultados_Reales!$A$4:$I$107, 5, FALSE)="", VLOOKUP(C1582, Resultados_Reales!$A$4:$I$107, 6, FALSE)=""), 0, IF(AND(VLOOKUP(C1582, Resultados_Reales!$A$4:$I$107, 5, FALSE)=G1582, VLOOKUP(C1582, Resultados_Reales!$A$4:$I$107, 6, FALSE)=H1582), Configuracion!$B$5, IF(SIGN(VLOOKUP(C1582, Resultados_Reales!$A$4:$I$107, 5, FALSE)-VLOOKUP(C1582, Resultados_Reales!$A$4:$I$107, 6, FALSE)) = SIGN(G1582-H1582), Configuracion!$B$4, 0)))</f>
        <v/>
      </c>
      <c r="L1582" s="11" t="n"/>
      <c r="M1582" s="11" t="n"/>
      <c r="N1582" s="11" t="n"/>
      <c r="O1582" s="11" t="n"/>
      <c r="P1582" s="11" t="n"/>
      <c r="Q1582" s="11" t="n"/>
    </row>
    <row r="1583">
      <c r="A1583" s="8">
        <f>B1583&amp;"_"&amp;C1583</f>
        <v/>
      </c>
      <c r="B1583" s="8" t="n"/>
      <c r="C1583" s="8" t="n"/>
      <c r="D1583" s="8" t="n"/>
      <c r="E1583" s="11" t="n"/>
      <c r="F1583" s="11" t="n"/>
      <c r="G1583" s="8" t="n"/>
      <c r="H1583" s="8" t="n"/>
      <c r="I1583" s="8" t="n"/>
      <c r="J1583" s="8" t="n"/>
      <c r="K1583" s="12">
        <f>IF(OR(ISERROR(VLOOKUP(C1583, Resultados_Reales!$A$4:$I$107, 5, FALSE)), ISERROR(VLOOKUP(C1583, Resultados_Reales!$A$4:$I$107, 6, FALSE)), VLOOKUP(C1583, Resultados_Reales!$A$4:$I$107, 5, FALSE)="", VLOOKUP(C1583, Resultados_Reales!$A$4:$I$107, 6, FALSE)=""), 0, IF(AND(VLOOKUP(C1583, Resultados_Reales!$A$4:$I$107, 5, FALSE)=G1583, VLOOKUP(C1583, Resultados_Reales!$A$4:$I$107, 6, FALSE)=H1583), Configuracion!$B$5, IF(SIGN(VLOOKUP(C1583, Resultados_Reales!$A$4:$I$107, 5, FALSE)-VLOOKUP(C1583, Resultados_Reales!$A$4:$I$107, 6, FALSE)) = SIGN(G1583-H1583), Configuracion!$B$4, 0)))</f>
        <v/>
      </c>
      <c r="L1583" s="11" t="n"/>
      <c r="M1583" s="11" t="n"/>
      <c r="N1583" s="11" t="n"/>
      <c r="O1583" s="11" t="n"/>
      <c r="P1583" s="11" t="n"/>
      <c r="Q1583" s="11" t="n"/>
    </row>
    <row r="1584">
      <c r="A1584" s="8">
        <f>B1584&amp;"_"&amp;C1584</f>
        <v/>
      </c>
      <c r="B1584" s="8" t="n"/>
      <c r="C1584" s="8" t="n"/>
      <c r="D1584" s="8" t="n"/>
      <c r="E1584" s="11" t="n"/>
      <c r="F1584" s="11" t="n"/>
      <c r="G1584" s="8" t="n"/>
      <c r="H1584" s="8" t="n"/>
      <c r="I1584" s="8" t="n"/>
      <c r="J1584" s="8" t="n"/>
      <c r="K1584" s="12">
        <f>IF(OR(ISERROR(VLOOKUP(C1584, Resultados_Reales!$A$4:$I$107, 5, FALSE)), ISERROR(VLOOKUP(C1584, Resultados_Reales!$A$4:$I$107, 6, FALSE)), VLOOKUP(C1584, Resultados_Reales!$A$4:$I$107, 5, FALSE)="", VLOOKUP(C1584, Resultados_Reales!$A$4:$I$107, 6, FALSE)=""), 0, IF(AND(VLOOKUP(C1584, Resultados_Reales!$A$4:$I$107, 5, FALSE)=G1584, VLOOKUP(C1584, Resultados_Reales!$A$4:$I$107, 6, FALSE)=H1584), Configuracion!$B$5, IF(SIGN(VLOOKUP(C1584, Resultados_Reales!$A$4:$I$107, 5, FALSE)-VLOOKUP(C1584, Resultados_Reales!$A$4:$I$107, 6, FALSE)) = SIGN(G1584-H1584), Configuracion!$B$4, 0)))</f>
        <v/>
      </c>
      <c r="L1584" s="11" t="n"/>
      <c r="M1584" s="11" t="n"/>
      <c r="N1584" s="11" t="n"/>
      <c r="O1584" s="11" t="n"/>
      <c r="P1584" s="11" t="n"/>
      <c r="Q1584" s="11" t="n"/>
    </row>
    <row r="1585">
      <c r="A1585" s="8">
        <f>B1585&amp;"_"&amp;C1585</f>
        <v/>
      </c>
      <c r="B1585" s="8" t="n"/>
      <c r="C1585" s="8" t="n"/>
      <c r="D1585" s="8" t="n"/>
      <c r="E1585" s="11" t="n"/>
      <c r="F1585" s="11" t="n"/>
      <c r="G1585" s="8" t="n"/>
      <c r="H1585" s="8" t="n"/>
      <c r="I1585" s="8" t="n"/>
      <c r="J1585" s="8" t="n"/>
      <c r="K1585" s="12">
        <f>IF(OR(ISERROR(VLOOKUP(C1585, Resultados_Reales!$A$4:$I$107, 5, FALSE)), ISERROR(VLOOKUP(C1585, Resultados_Reales!$A$4:$I$107, 6, FALSE)), VLOOKUP(C1585, Resultados_Reales!$A$4:$I$107, 5, FALSE)="", VLOOKUP(C1585, Resultados_Reales!$A$4:$I$107, 6, FALSE)=""), 0, IF(AND(VLOOKUP(C1585, Resultados_Reales!$A$4:$I$107, 5, FALSE)=G1585, VLOOKUP(C1585, Resultados_Reales!$A$4:$I$107, 6, FALSE)=H1585), Configuracion!$B$5, IF(SIGN(VLOOKUP(C1585, Resultados_Reales!$A$4:$I$107, 5, FALSE)-VLOOKUP(C1585, Resultados_Reales!$A$4:$I$107, 6, FALSE)) = SIGN(G1585-H1585), Configuracion!$B$4, 0)))</f>
        <v/>
      </c>
      <c r="L1585" s="11" t="n"/>
      <c r="M1585" s="11" t="n"/>
      <c r="N1585" s="11" t="n"/>
      <c r="O1585" s="11" t="n"/>
      <c r="P1585" s="11" t="n"/>
      <c r="Q1585" s="11" t="n"/>
    </row>
    <row r="1586">
      <c r="A1586" s="8">
        <f>B1586&amp;"_"&amp;C1586</f>
        <v/>
      </c>
      <c r="B1586" s="8" t="n"/>
      <c r="C1586" s="8" t="n"/>
      <c r="D1586" s="8" t="n"/>
      <c r="E1586" s="11" t="n"/>
      <c r="F1586" s="11" t="n"/>
      <c r="G1586" s="8" t="n"/>
      <c r="H1586" s="8" t="n"/>
      <c r="I1586" s="8" t="n"/>
      <c r="J1586" s="8" t="n"/>
      <c r="K1586" s="12">
        <f>IF(OR(ISERROR(VLOOKUP(C1586, Resultados_Reales!$A$4:$I$107, 5, FALSE)), ISERROR(VLOOKUP(C1586, Resultados_Reales!$A$4:$I$107, 6, FALSE)), VLOOKUP(C1586, Resultados_Reales!$A$4:$I$107, 5, FALSE)="", VLOOKUP(C1586, Resultados_Reales!$A$4:$I$107, 6, FALSE)=""), 0, IF(AND(VLOOKUP(C1586, Resultados_Reales!$A$4:$I$107, 5, FALSE)=G1586, VLOOKUP(C1586, Resultados_Reales!$A$4:$I$107, 6, FALSE)=H1586), Configuracion!$B$5, IF(SIGN(VLOOKUP(C1586, Resultados_Reales!$A$4:$I$107, 5, FALSE)-VLOOKUP(C1586, Resultados_Reales!$A$4:$I$107, 6, FALSE)) = SIGN(G1586-H1586), Configuracion!$B$4, 0)))</f>
        <v/>
      </c>
      <c r="L1586" s="11" t="n"/>
      <c r="M1586" s="11" t="n"/>
      <c r="N1586" s="11" t="n"/>
      <c r="O1586" s="11" t="n"/>
      <c r="P1586" s="11" t="n"/>
      <c r="Q1586" s="11" t="n"/>
    </row>
    <row r="1587">
      <c r="A1587" s="8">
        <f>B1587&amp;"_"&amp;C1587</f>
        <v/>
      </c>
      <c r="B1587" s="8" t="n"/>
      <c r="C1587" s="8" t="n"/>
      <c r="D1587" s="8" t="n"/>
      <c r="E1587" s="11" t="n"/>
      <c r="F1587" s="11" t="n"/>
      <c r="G1587" s="8" t="n"/>
      <c r="H1587" s="8" t="n"/>
      <c r="I1587" s="8" t="n"/>
      <c r="J1587" s="8" t="n"/>
      <c r="K1587" s="12">
        <f>IF(OR(ISERROR(VLOOKUP(C1587, Resultados_Reales!$A$4:$I$107, 5, FALSE)), ISERROR(VLOOKUP(C1587, Resultados_Reales!$A$4:$I$107, 6, FALSE)), VLOOKUP(C1587, Resultados_Reales!$A$4:$I$107, 5, FALSE)="", VLOOKUP(C1587, Resultados_Reales!$A$4:$I$107, 6, FALSE)=""), 0, IF(AND(VLOOKUP(C1587, Resultados_Reales!$A$4:$I$107, 5, FALSE)=G1587, VLOOKUP(C1587, Resultados_Reales!$A$4:$I$107, 6, FALSE)=H1587), Configuracion!$B$5, IF(SIGN(VLOOKUP(C1587, Resultados_Reales!$A$4:$I$107, 5, FALSE)-VLOOKUP(C1587, Resultados_Reales!$A$4:$I$107, 6, FALSE)) = SIGN(G1587-H1587), Configuracion!$B$4, 0)))</f>
        <v/>
      </c>
      <c r="L1587" s="11" t="n"/>
      <c r="M1587" s="11" t="n"/>
      <c r="N1587" s="11" t="n"/>
      <c r="O1587" s="11" t="n"/>
      <c r="P1587" s="11" t="n"/>
      <c r="Q1587" s="11" t="n"/>
    </row>
    <row r="1588">
      <c r="A1588" s="8">
        <f>B1588&amp;"_"&amp;C1588</f>
        <v/>
      </c>
      <c r="B1588" s="8" t="n"/>
      <c r="C1588" s="8" t="n"/>
      <c r="D1588" s="8" t="n"/>
      <c r="E1588" s="11" t="n"/>
      <c r="F1588" s="11" t="n"/>
      <c r="G1588" s="8" t="n"/>
      <c r="H1588" s="8" t="n"/>
      <c r="I1588" s="8" t="n"/>
      <c r="J1588" s="8" t="n"/>
      <c r="K1588" s="12">
        <f>IF(OR(ISERROR(VLOOKUP(C1588, Resultados_Reales!$A$4:$I$107, 5, FALSE)), ISERROR(VLOOKUP(C1588, Resultados_Reales!$A$4:$I$107, 6, FALSE)), VLOOKUP(C1588, Resultados_Reales!$A$4:$I$107, 5, FALSE)="", VLOOKUP(C1588, Resultados_Reales!$A$4:$I$107, 6, FALSE)=""), 0, IF(AND(VLOOKUP(C1588, Resultados_Reales!$A$4:$I$107, 5, FALSE)=G1588, VLOOKUP(C1588, Resultados_Reales!$A$4:$I$107, 6, FALSE)=H1588), Configuracion!$B$5, IF(SIGN(VLOOKUP(C1588, Resultados_Reales!$A$4:$I$107, 5, FALSE)-VLOOKUP(C1588, Resultados_Reales!$A$4:$I$107, 6, FALSE)) = SIGN(G1588-H1588), Configuracion!$B$4, 0)))</f>
        <v/>
      </c>
      <c r="L1588" s="11" t="n"/>
      <c r="M1588" s="11" t="n"/>
      <c r="N1588" s="11" t="n"/>
      <c r="O1588" s="11" t="n"/>
      <c r="P1588" s="11" t="n"/>
      <c r="Q1588" s="11" t="n"/>
    </row>
    <row r="1589">
      <c r="A1589" s="8">
        <f>B1589&amp;"_"&amp;C1589</f>
        <v/>
      </c>
      <c r="B1589" s="8" t="n"/>
      <c r="C1589" s="8" t="n"/>
      <c r="D1589" s="8" t="n"/>
      <c r="E1589" s="11" t="n"/>
      <c r="F1589" s="11" t="n"/>
      <c r="G1589" s="8" t="n"/>
      <c r="H1589" s="8" t="n"/>
      <c r="I1589" s="8" t="n"/>
      <c r="J1589" s="8" t="n"/>
      <c r="K1589" s="12">
        <f>IF(OR(ISERROR(VLOOKUP(C1589, Resultados_Reales!$A$4:$I$107, 5, FALSE)), ISERROR(VLOOKUP(C1589, Resultados_Reales!$A$4:$I$107, 6, FALSE)), VLOOKUP(C1589, Resultados_Reales!$A$4:$I$107, 5, FALSE)="", VLOOKUP(C1589, Resultados_Reales!$A$4:$I$107, 6, FALSE)=""), 0, IF(AND(VLOOKUP(C1589, Resultados_Reales!$A$4:$I$107, 5, FALSE)=G1589, VLOOKUP(C1589, Resultados_Reales!$A$4:$I$107, 6, FALSE)=H1589), Configuracion!$B$5, IF(SIGN(VLOOKUP(C1589, Resultados_Reales!$A$4:$I$107, 5, FALSE)-VLOOKUP(C1589, Resultados_Reales!$A$4:$I$107, 6, FALSE)) = SIGN(G1589-H1589), Configuracion!$B$4, 0)))</f>
        <v/>
      </c>
      <c r="L1589" s="11" t="n"/>
      <c r="M1589" s="11" t="n"/>
      <c r="N1589" s="11" t="n"/>
      <c r="O1589" s="11" t="n"/>
      <c r="P1589" s="11" t="n"/>
      <c r="Q1589" s="11" t="n"/>
    </row>
    <row r="1590">
      <c r="A1590" s="8">
        <f>B1590&amp;"_"&amp;C1590</f>
        <v/>
      </c>
      <c r="B1590" s="8" t="n"/>
      <c r="C1590" s="8" t="n"/>
      <c r="D1590" s="8" t="n"/>
      <c r="E1590" s="11" t="n"/>
      <c r="F1590" s="11" t="n"/>
      <c r="G1590" s="8" t="n"/>
      <c r="H1590" s="8" t="n"/>
      <c r="I1590" s="8" t="n"/>
      <c r="J1590" s="8" t="n"/>
      <c r="K1590" s="12">
        <f>IF(OR(ISERROR(VLOOKUP(C1590, Resultados_Reales!$A$4:$I$107, 5, FALSE)), ISERROR(VLOOKUP(C1590, Resultados_Reales!$A$4:$I$107, 6, FALSE)), VLOOKUP(C1590, Resultados_Reales!$A$4:$I$107, 5, FALSE)="", VLOOKUP(C1590, Resultados_Reales!$A$4:$I$107, 6, FALSE)=""), 0, IF(AND(VLOOKUP(C1590, Resultados_Reales!$A$4:$I$107, 5, FALSE)=G1590, VLOOKUP(C1590, Resultados_Reales!$A$4:$I$107, 6, FALSE)=H1590), Configuracion!$B$5, IF(SIGN(VLOOKUP(C1590, Resultados_Reales!$A$4:$I$107, 5, FALSE)-VLOOKUP(C1590, Resultados_Reales!$A$4:$I$107, 6, FALSE)) = SIGN(G1590-H1590), Configuracion!$B$4, 0)))</f>
        <v/>
      </c>
      <c r="L1590" s="11" t="n"/>
      <c r="M1590" s="11" t="n"/>
      <c r="N1590" s="11" t="n"/>
      <c r="O1590" s="11" t="n"/>
      <c r="P1590" s="11" t="n"/>
      <c r="Q1590" s="11" t="n"/>
    </row>
    <row r="1591">
      <c r="A1591" s="8">
        <f>B1591&amp;"_"&amp;C1591</f>
        <v/>
      </c>
      <c r="B1591" s="8" t="n"/>
      <c r="C1591" s="8" t="n"/>
      <c r="D1591" s="8" t="n"/>
      <c r="E1591" s="11" t="n"/>
      <c r="F1591" s="11" t="n"/>
      <c r="G1591" s="8" t="n"/>
      <c r="H1591" s="8" t="n"/>
      <c r="I1591" s="8" t="n"/>
      <c r="J1591" s="8" t="n"/>
      <c r="K1591" s="12">
        <f>IF(OR(ISERROR(VLOOKUP(C1591, Resultados_Reales!$A$4:$I$107, 5, FALSE)), ISERROR(VLOOKUP(C1591, Resultados_Reales!$A$4:$I$107, 6, FALSE)), VLOOKUP(C1591, Resultados_Reales!$A$4:$I$107, 5, FALSE)="", VLOOKUP(C1591, Resultados_Reales!$A$4:$I$107, 6, FALSE)=""), 0, IF(AND(VLOOKUP(C1591, Resultados_Reales!$A$4:$I$107, 5, FALSE)=G1591, VLOOKUP(C1591, Resultados_Reales!$A$4:$I$107, 6, FALSE)=H1591), Configuracion!$B$5, IF(SIGN(VLOOKUP(C1591, Resultados_Reales!$A$4:$I$107, 5, FALSE)-VLOOKUP(C1591, Resultados_Reales!$A$4:$I$107, 6, FALSE)) = SIGN(G1591-H1591), Configuracion!$B$4, 0)))</f>
        <v/>
      </c>
      <c r="L1591" s="11" t="n"/>
      <c r="M1591" s="11" t="n"/>
      <c r="N1591" s="11" t="n"/>
      <c r="O1591" s="11" t="n"/>
      <c r="P1591" s="11" t="n"/>
      <c r="Q1591" s="11" t="n"/>
    </row>
    <row r="1592">
      <c r="A1592" s="8">
        <f>B1592&amp;"_"&amp;C1592</f>
        <v/>
      </c>
      <c r="B1592" s="8" t="n"/>
      <c r="C1592" s="8" t="n"/>
      <c r="D1592" s="8" t="n"/>
      <c r="E1592" s="11" t="n"/>
      <c r="F1592" s="11" t="n"/>
      <c r="G1592" s="8" t="n"/>
      <c r="H1592" s="8" t="n"/>
      <c r="I1592" s="8" t="n"/>
      <c r="J1592" s="8" t="n"/>
      <c r="K1592" s="12">
        <f>IF(OR(ISERROR(VLOOKUP(C1592, Resultados_Reales!$A$4:$I$107, 5, FALSE)), ISERROR(VLOOKUP(C1592, Resultados_Reales!$A$4:$I$107, 6, FALSE)), VLOOKUP(C1592, Resultados_Reales!$A$4:$I$107, 5, FALSE)="", VLOOKUP(C1592, Resultados_Reales!$A$4:$I$107, 6, FALSE)=""), 0, IF(AND(VLOOKUP(C1592, Resultados_Reales!$A$4:$I$107, 5, FALSE)=G1592, VLOOKUP(C1592, Resultados_Reales!$A$4:$I$107, 6, FALSE)=H1592), Configuracion!$B$5, IF(SIGN(VLOOKUP(C1592, Resultados_Reales!$A$4:$I$107, 5, FALSE)-VLOOKUP(C1592, Resultados_Reales!$A$4:$I$107, 6, FALSE)) = SIGN(G1592-H1592), Configuracion!$B$4, 0)))</f>
        <v/>
      </c>
      <c r="L1592" s="11" t="n"/>
      <c r="M1592" s="11" t="n"/>
      <c r="N1592" s="11" t="n"/>
      <c r="O1592" s="11" t="n"/>
      <c r="P1592" s="11" t="n"/>
      <c r="Q1592" s="11" t="n"/>
    </row>
    <row r="1593">
      <c r="A1593" s="8">
        <f>B1593&amp;"_"&amp;C1593</f>
        <v/>
      </c>
      <c r="B1593" s="8" t="n"/>
      <c r="C1593" s="8" t="n"/>
      <c r="D1593" s="8" t="n"/>
      <c r="E1593" s="11" t="n"/>
      <c r="F1593" s="11" t="n"/>
      <c r="G1593" s="8" t="n"/>
      <c r="H1593" s="8" t="n"/>
      <c r="I1593" s="8" t="n"/>
      <c r="J1593" s="8" t="n"/>
      <c r="K1593" s="12">
        <f>IF(OR(ISERROR(VLOOKUP(C1593, Resultados_Reales!$A$4:$I$107, 5, FALSE)), ISERROR(VLOOKUP(C1593, Resultados_Reales!$A$4:$I$107, 6, FALSE)), VLOOKUP(C1593, Resultados_Reales!$A$4:$I$107, 5, FALSE)="", VLOOKUP(C1593, Resultados_Reales!$A$4:$I$107, 6, FALSE)=""), 0, IF(AND(VLOOKUP(C1593, Resultados_Reales!$A$4:$I$107, 5, FALSE)=G1593, VLOOKUP(C1593, Resultados_Reales!$A$4:$I$107, 6, FALSE)=H1593), Configuracion!$B$5, IF(SIGN(VLOOKUP(C1593, Resultados_Reales!$A$4:$I$107, 5, FALSE)-VLOOKUP(C1593, Resultados_Reales!$A$4:$I$107, 6, FALSE)) = SIGN(G1593-H1593), Configuracion!$B$4, 0)))</f>
        <v/>
      </c>
      <c r="L1593" s="11" t="n"/>
      <c r="M1593" s="11" t="n"/>
      <c r="N1593" s="11" t="n"/>
      <c r="O1593" s="11" t="n"/>
      <c r="P1593" s="11" t="n"/>
      <c r="Q1593" s="11" t="n"/>
    </row>
    <row r="1594">
      <c r="A1594" s="8">
        <f>B1594&amp;"_"&amp;C1594</f>
        <v/>
      </c>
      <c r="B1594" s="8" t="n"/>
      <c r="C1594" s="8" t="n"/>
      <c r="D1594" s="8" t="n"/>
      <c r="E1594" s="11" t="n"/>
      <c r="F1594" s="11" t="n"/>
      <c r="G1594" s="8" t="n"/>
      <c r="H1594" s="8" t="n"/>
      <c r="I1594" s="8" t="n"/>
      <c r="J1594" s="8" t="n"/>
      <c r="K1594" s="12">
        <f>IF(OR(ISERROR(VLOOKUP(C1594, Resultados_Reales!$A$4:$I$107, 5, FALSE)), ISERROR(VLOOKUP(C1594, Resultados_Reales!$A$4:$I$107, 6, FALSE)), VLOOKUP(C1594, Resultados_Reales!$A$4:$I$107, 5, FALSE)="", VLOOKUP(C1594, Resultados_Reales!$A$4:$I$107, 6, FALSE)=""), 0, IF(AND(VLOOKUP(C1594, Resultados_Reales!$A$4:$I$107, 5, FALSE)=G1594, VLOOKUP(C1594, Resultados_Reales!$A$4:$I$107, 6, FALSE)=H1594), Configuracion!$B$5, IF(SIGN(VLOOKUP(C1594, Resultados_Reales!$A$4:$I$107, 5, FALSE)-VLOOKUP(C1594, Resultados_Reales!$A$4:$I$107, 6, FALSE)) = SIGN(G1594-H1594), Configuracion!$B$4, 0)))</f>
        <v/>
      </c>
      <c r="L1594" s="11" t="n"/>
      <c r="M1594" s="11" t="n"/>
      <c r="N1594" s="11" t="n"/>
      <c r="O1594" s="11" t="n"/>
      <c r="P1594" s="11" t="n"/>
      <c r="Q1594" s="11" t="n"/>
    </row>
    <row r="1595">
      <c r="A1595" s="8">
        <f>B1595&amp;"_"&amp;C1595</f>
        <v/>
      </c>
      <c r="B1595" s="8" t="n"/>
      <c r="C1595" s="8" t="n"/>
      <c r="D1595" s="8" t="n"/>
      <c r="E1595" s="11" t="n"/>
      <c r="F1595" s="11" t="n"/>
      <c r="G1595" s="8" t="n"/>
      <c r="H1595" s="8" t="n"/>
      <c r="I1595" s="8" t="n"/>
      <c r="J1595" s="8" t="n"/>
      <c r="K1595" s="12">
        <f>IF(OR(ISERROR(VLOOKUP(C1595, Resultados_Reales!$A$4:$I$107, 5, FALSE)), ISERROR(VLOOKUP(C1595, Resultados_Reales!$A$4:$I$107, 6, FALSE)), VLOOKUP(C1595, Resultados_Reales!$A$4:$I$107, 5, FALSE)="", VLOOKUP(C1595, Resultados_Reales!$A$4:$I$107, 6, FALSE)=""), 0, IF(AND(VLOOKUP(C1595, Resultados_Reales!$A$4:$I$107, 5, FALSE)=G1595, VLOOKUP(C1595, Resultados_Reales!$A$4:$I$107, 6, FALSE)=H1595), Configuracion!$B$5, IF(SIGN(VLOOKUP(C1595, Resultados_Reales!$A$4:$I$107, 5, FALSE)-VLOOKUP(C1595, Resultados_Reales!$A$4:$I$107, 6, FALSE)) = SIGN(G1595-H1595), Configuracion!$B$4, 0)))</f>
        <v/>
      </c>
      <c r="L1595" s="11" t="n"/>
      <c r="M1595" s="11" t="n"/>
      <c r="N1595" s="11" t="n"/>
      <c r="O1595" s="11" t="n"/>
      <c r="P1595" s="11" t="n"/>
      <c r="Q1595" s="11" t="n"/>
    </row>
    <row r="1596">
      <c r="A1596" s="8">
        <f>B1596&amp;"_"&amp;C1596</f>
        <v/>
      </c>
      <c r="B1596" s="8" t="n"/>
      <c r="C1596" s="8" t="n"/>
      <c r="D1596" s="8" t="n"/>
      <c r="E1596" s="11" t="n"/>
      <c r="F1596" s="11" t="n"/>
      <c r="G1596" s="8" t="n"/>
      <c r="H1596" s="8" t="n"/>
      <c r="I1596" s="8" t="n"/>
      <c r="J1596" s="8" t="n"/>
      <c r="K1596" s="12">
        <f>IF(OR(ISERROR(VLOOKUP(C1596, Resultados_Reales!$A$4:$I$107, 5, FALSE)), ISERROR(VLOOKUP(C1596, Resultados_Reales!$A$4:$I$107, 6, FALSE)), VLOOKUP(C1596, Resultados_Reales!$A$4:$I$107, 5, FALSE)="", VLOOKUP(C1596, Resultados_Reales!$A$4:$I$107, 6, FALSE)=""), 0, IF(AND(VLOOKUP(C1596, Resultados_Reales!$A$4:$I$107, 5, FALSE)=G1596, VLOOKUP(C1596, Resultados_Reales!$A$4:$I$107, 6, FALSE)=H1596), Configuracion!$B$5, IF(SIGN(VLOOKUP(C1596, Resultados_Reales!$A$4:$I$107, 5, FALSE)-VLOOKUP(C1596, Resultados_Reales!$A$4:$I$107, 6, FALSE)) = SIGN(G1596-H1596), Configuracion!$B$4, 0)))</f>
        <v/>
      </c>
      <c r="L1596" s="11" t="n"/>
      <c r="M1596" s="11" t="n"/>
      <c r="N1596" s="11" t="n"/>
      <c r="O1596" s="11" t="n"/>
      <c r="P1596" s="11" t="n"/>
      <c r="Q1596" s="11" t="n"/>
    </row>
    <row r="1597">
      <c r="A1597" s="8">
        <f>B1597&amp;"_"&amp;C1597</f>
        <v/>
      </c>
      <c r="B1597" s="8" t="n"/>
      <c r="C1597" s="8" t="n"/>
      <c r="D1597" s="8" t="n"/>
      <c r="E1597" s="11" t="n"/>
      <c r="F1597" s="11" t="n"/>
      <c r="G1597" s="8" t="n"/>
      <c r="H1597" s="8" t="n"/>
      <c r="I1597" s="8" t="n"/>
      <c r="J1597" s="8" t="n"/>
      <c r="K1597" s="12">
        <f>IF(OR(ISERROR(VLOOKUP(C1597, Resultados_Reales!$A$4:$I$107, 5, FALSE)), ISERROR(VLOOKUP(C1597, Resultados_Reales!$A$4:$I$107, 6, FALSE)), VLOOKUP(C1597, Resultados_Reales!$A$4:$I$107, 5, FALSE)="", VLOOKUP(C1597, Resultados_Reales!$A$4:$I$107, 6, FALSE)=""), 0, IF(AND(VLOOKUP(C1597, Resultados_Reales!$A$4:$I$107, 5, FALSE)=G1597, VLOOKUP(C1597, Resultados_Reales!$A$4:$I$107, 6, FALSE)=H1597), Configuracion!$B$5, IF(SIGN(VLOOKUP(C1597, Resultados_Reales!$A$4:$I$107, 5, FALSE)-VLOOKUP(C1597, Resultados_Reales!$A$4:$I$107, 6, FALSE)) = SIGN(G1597-H1597), Configuracion!$B$4, 0)))</f>
        <v/>
      </c>
      <c r="L1597" s="11" t="n"/>
      <c r="M1597" s="11" t="n"/>
      <c r="N1597" s="11" t="n"/>
      <c r="O1597" s="11" t="n"/>
      <c r="P1597" s="11" t="n"/>
      <c r="Q1597" s="11" t="n"/>
    </row>
    <row r="1598">
      <c r="A1598" s="8">
        <f>B1598&amp;"_"&amp;C1598</f>
        <v/>
      </c>
      <c r="B1598" s="8" t="n"/>
      <c r="C1598" s="8" t="n"/>
      <c r="D1598" s="8" t="n"/>
      <c r="E1598" s="11" t="n"/>
      <c r="F1598" s="11" t="n"/>
      <c r="G1598" s="8" t="n"/>
      <c r="H1598" s="8" t="n"/>
      <c r="I1598" s="8" t="n"/>
      <c r="J1598" s="8" t="n"/>
      <c r="K1598" s="12">
        <f>IF(OR(ISERROR(VLOOKUP(C1598, Resultados_Reales!$A$4:$I$107, 5, FALSE)), ISERROR(VLOOKUP(C1598, Resultados_Reales!$A$4:$I$107, 6, FALSE)), VLOOKUP(C1598, Resultados_Reales!$A$4:$I$107, 5, FALSE)="", VLOOKUP(C1598, Resultados_Reales!$A$4:$I$107, 6, FALSE)=""), 0, IF(AND(VLOOKUP(C1598, Resultados_Reales!$A$4:$I$107, 5, FALSE)=G1598, VLOOKUP(C1598, Resultados_Reales!$A$4:$I$107, 6, FALSE)=H1598), Configuracion!$B$5, IF(SIGN(VLOOKUP(C1598, Resultados_Reales!$A$4:$I$107, 5, FALSE)-VLOOKUP(C1598, Resultados_Reales!$A$4:$I$107, 6, FALSE)) = SIGN(G1598-H1598), Configuracion!$B$4, 0)))</f>
        <v/>
      </c>
      <c r="L1598" s="11" t="n"/>
      <c r="M1598" s="11" t="n"/>
      <c r="N1598" s="11" t="n"/>
      <c r="O1598" s="11" t="n"/>
      <c r="P1598" s="11" t="n"/>
      <c r="Q1598" s="11" t="n"/>
    </row>
    <row r="1599">
      <c r="A1599" s="8">
        <f>B1599&amp;"_"&amp;C1599</f>
        <v/>
      </c>
      <c r="B1599" s="8" t="n"/>
      <c r="C1599" s="8" t="n"/>
      <c r="D1599" s="8" t="n"/>
      <c r="E1599" s="11" t="n"/>
      <c r="F1599" s="11" t="n"/>
      <c r="G1599" s="8" t="n"/>
      <c r="H1599" s="8" t="n"/>
      <c r="I1599" s="8" t="n"/>
      <c r="J1599" s="8" t="n"/>
      <c r="K1599" s="12">
        <f>IF(OR(ISERROR(VLOOKUP(C1599, Resultados_Reales!$A$4:$I$107, 5, FALSE)), ISERROR(VLOOKUP(C1599, Resultados_Reales!$A$4:$I$107, 6, FALSE)), VLOOKUP(C1599, Resultados_Reales!$A$4:$I$107, 5, FALSE)="", VLOOKUP(C1599, Resultados_Reales!$A$4:$I$107, 6, FALSE)=""), 0, IF(AND(VLOOKUP(C1599, Resultados_Reales!$A$4:$I$107, 5, FALSE)=G1599, VLOOKUP(C1599, Resultados_Reales!$A$4:$I$107, 6, FALSE)=H1599), Configuracion!$B$5, IF(SIGN(VLOOKUP(C1599, Resultados_Reales!$A$4:$I$107, 5, FALSE)-VLOOKUP(C1599, Resultados_Reales!$A$4:$I$107, 6, FALSE)) = SIGN(G1599-H1599), Configuracion!$B$4, 0)))</f>
        <v/>
      </c>
      <c r="L1599" s="11" t="n"/>
      <c r="M1599" s="11" t="n"/>
      <c r="N1599" s="11" t="n"/>
      <c r="O1599" s="11" t="n"/>
      <c r="P1599" s="11" t="n"/>
      <c r="Q1599" s="11" t="n"/>
    </row>
    <row r="1600">
      <c r="A1600" s="8">
        <f>B1600&amp;"_"&amp;C1600</f>
        <v/>
      </c>
      <c r="B1600" s="8" t="n"/>
      <c r="C1600" s="8" t="n"/>
      <c r="D1600" s="8" t="n"/>
      <c r="E1600" s="11" t="n"/>
      <c r="F1600" s="11" t="n"/>
      <c r="G1600" s="8" t="n"/>
      <c r="H1600" s="8" t="n"/>
      <c r="I1600" s="8" t="n"/>
      <c r="J1600" s="8" t="n"/>
      <c r="K1600" s="12">
        <f>IF(OR(ISERROR(VLOOKUP(C1600, Resultados_Reales!$A$4:$I$107, 5, FALSE)), ISERROR(VLOOKUP(C1600, Resultados_Reales!$A$4:$I$107, 6, FALSE)), VLOOKUP(C1600, Resultados_Reales!$A$4:$I$107, 5, FALSE)="", VLOOKUP(C1600, Resultados_Reales!$A$4:$I$107, 6, FALSE)=""), 0, IF(AND(VLOOKUP(C1600, Resultados_Reales!$A$4:$I$107, 5, FALSE)=G1600, VLOOKUP(C1600, Resultados_Reales!$A$4:$I$107, 6, FALSE)=H1600), Configuracion!$B$5, IF(SIGN(VLOOKUP(C1600, Resultados_Reales!$A$4:$I$107, 5, FALSE)-VLOOKUP(C1600, Resultados_Reales!$A$4:$I$107, 6, FALSE)) = SIGN(G1600-H1600), Configuracion!$B$4, 0)))</f>
        <v/>
      </c>
      <c r="L1600" s="11" t="n"/>
      <c r="M1600" s="11" t="n"/>
      <c r="N1600" s="11" t="n"/>
      <c r="O1600" s="11" t="n"/>
      <c r="P1600" s="11" t="n"/>
      <c r="Q1600" s="11" t="n"/>
    </row>
    <row r="1601">
      <c r="A1601" s="8">
        <f>B1601&amp;"_"&amp;C1601</f>
        <v/>
      </c>
      <c r="B1601" s="8" t="n"/>
      <c r="C1601" s="8" t="n"/>
      <c r="D1601" s="8" t="n"/>
      <c r="E1601" s="11" t="n"/>
      <c r="F1601" s="11" t="n"/>
      <c r="G1601" s="8" t="n"/>
      <c r="H1601" s="8" t="n"/>
      <c r="I1601" s="8" t="n"/>
      <c r="J1601" s="8" t="n"/>
      <c r="K1601" s="12">
        <f>IF(OR(ISERROR(VLOOKUP(C1601, Resultados_Reales!$A$4:$I$107, 5, FALSE)), ISERROR(VLOOKUP(C1601, Resultados_Reales!$A$4:$I$107, 6, FALSE)), VLOOKUP(C1601, Resultados_Reales!$A$4:$I$107, 5, FALSE)="", VLOOKUP(C1601, Resultados_Reales!$A$4:$I$107, 6, FALSE)=""), 0, IF(AND(VLOOKUP(C1601, Resultados_Reales!$A$4:$I$107, 5, FALSE)=G1601, VLOOKUP(C1601, Resultados_Reales!$A$4:$I$107, 6, FALSE)=H1601), Configuracion!$B$5, IF(SIGN(VLOOKUP(C1601, Resultados_Reales!$A$4:$I$107, 5, FALSE)-VLOOKUP(C1601, Resultados_Reales!$A$4:$I$107, 6, FALSE)) = SIGN(G1601-H1601), Configuracion!$B$4, 0)))</f>
        <v/>
      </c>
      <c r="L1601" s="11" t="n"/>
      <c r="M1601" s="11" t="n"/>
      <c r="N1601" s="11" t="n"/>
      <c r="O1601" s="11" t="n"/>
      <c r="P1601" s="11" t="n"/>
      <c r="Q1601" s="11" t="n"/>
    </row>
    <row r="1602">
      <c r="A1602" s="8">
        <f>B1602&amp;"_"&amp;C1602</f>
        <v/>
      </c>
      <c r="B1602" s="8" t="n"/>
      <c r="C1602" s="8" t="n"/>
      <c r="D1602" s="8" t="n"/>
      <c r="E1602" s="11" t="n"/>
      <c r="F1602" s="11" t="n"/>
      <c r="G1602" s="8" t="n"/>
      <c r="H1602" s="8" t="n"/>
      <c r="I1602" s="8" t="n"/>
      <c r="J1602" s="8" t="n"/>
      <c r="K1602" s="12">
        <f>IF(OR(ISERROR(VLOOKUP(C1602, Resultados_Reales!$A$4:$I$107, 5, FALSE)), ISERROR(VLOOKUP(C1602, Resultados_Reales!$A$4:$I$107, 6, FALSE)), VLOOKUP(C1602, Resultados_Reales!$A$4:$I$107, 5, FALSE)="", VLOOKUP(C1602, Resultados_Reales!$A$4:$I$107, 6, FALSE)=""), 0, IF(AND(VLOOKUP(C1602, Resultados_Reales!$A$4:$I$107, 5, FALSE)=G1602, VLOOKUP(C1602, Resultados_Reales!$A$4:$I$107, 6, FALSE)=H1602), Configuracion!$B$5, IF(SIGN(VLOOKUP(C1602, Resultados_Reales!$A$4:$I$107, 5, FALSE)-VLOOKUP(C1602, Resultados_Reales!$A$4:$I$107, 6, FALSE)) = SIGN(G1602-H1602), Configuracion!$B$4, 0)))</f>
        <v/>
      </c>
      <c r="L1602" s="11" t="n"/>
      <c r="M1602" s="11" t="n"/>
      <c r="N1602" s="11" t="n"/>
      <c r="O1602" s="11" t="n"/>
      <c r="P1602" s="11" t="n"/>
      <c r="Q1602" s="11" t="n"/>
    </row>
    <row r="1603">
      <c r="A1603" s="8">
        <f>B1603&amp;"_"&amp;C1603</f>
        <v/>
      </c>
      <c r="B1603" s="8" t="n"/>
      <c r="C1603" s="8" t="n"/>
      <c r="D1603" s="8" t="n"/>
      <c r="E1603" s="11" t="n"/>
      <c r="F1603" s="11" t="n"/>
      <c r="G1603" s="8" t="n"/>
      <c r="H1603" s="8" t="n"/>
      <c r="I1603" s="8" t="n"/>
      <c r="J1603" s="8" t="n"/>
      <c r="K1603" s="12">
        <f>IF(OR(ISERROR(VLOOKUP(C1603, Resultados_Reales!$A$4:$I$107, 5, FALSE)), ISERROR(VLOOKUP(C1603, Resultados_Reales!$A$4:$I$107, 6, FALSE)), VLOOKUP(C1603, Resultados_Reales!$A$4:$I$107, 5, FALSE)="", VLOOKUP(C1603, Resultados_Reales!$A$4:$I$107, 6, FALSE)=""), 0, IF(AND(VLOOKUP(C1603, Resultados_Reales!$A$4:$I$107, 5, FALSE)=G1603, VLOOKUP(C1603, Resultados_Reales!$A$4:$I$107, 6, FALSE)=H1603), Configuracion!$B$5, IF(SIGN(VLOOKUP(C1603, Resultados_Reales!$A$4:$I$107, 5, FALSE)-VLOOKUP(C1603, Resultados_Reales!$A$4:$I$107, 6, FALSE)) = SIGN(G1603-H1603), Configuracion!$B$4, 0)))</f>
        <v/>
      </c>
      <c r="L1603" s="11" t="n"/>
      <c r="M1603" s="11" t="n"/>
      <c r="N1603" s="11" t="n"/>
      <c r="O1603" s="11" t="n"/>
      <c r="P1603" s="11" t="n"/>
      <c r="Q1603" s="11" t="n"/>
    </row>
    <row r="1604">
      <c r="A1604" s="8">
        <f>B1604&amp;"_"&amp;C1604</f>
        <v/>
      </c>
      <c r="B1604" s="8" t="n"/>
      <c r="C1604" s="8" t="n"/>
      <c r="D1604" s="8" t="n"/>
      <c r="E1604" s="11" t="n"/>
      <c r="F1604" s="11" t="n"/>
      <c r="G1604" s="8" t="n"/>
      <c r="H1604" s="8" t="n"/>
      <c r="I1604" s="8" t="n"/>
      <c r="J1604" s="8" t="n"/>
      <c r="K1604" s="12">
        <f>IF(OR(ISERROR(VLOOKUP(C1604, Resultados_Reales!$A$4:$I$107, 5, FALSE)), ISERROR(VLOOKUP(C1604, Resultados_Reales!$A$4:$I$107, 6, FALSE)), VLOOKUP(C1604, Resultados_Reales!$A$4:$I$107, 5, FALSE)="", VLOOKUP(C1604, Resultados_Reales!$A$4:$I$107, 6, FALSE)=""), 0, IF(AND(VLOOKUP(C1604, Resultados_Reales!$A$4:$I$107, 5, FALSE)=G1604, VLOOKUP(C1604, Resultados_Reales!$A$4:$I$107, 6, FALSE)=H1604), Configuracion!$B$5, IF(SIGN(VLOOKUP(C1604, Resultados_Reales!$A$4:$I$107, 5, FALSE)-VLOOKUP(C1604, Resultados_Reales!$A$4:$I$107, 6, FALSE)) = SIGN(G1604-H1604), Configuracion!$B$4, 0)))</f>
        <v/>
      </c>
      <c r="L1604" s="11" t="n"/>
      <c r="M1604" s="11" t="n"/>
      <c r="N1604" s="11" t="n"/>
      <c r="O1604" s="11" t="n"/>
      <c r="P1604" s="11" t="n"/>
      <c r="Q1604" s="11" t="n"/>
    </row>
    <row r="1605">
      <c r="A1605" s="8">
        <f>B1605&amp;"_"&amp;C1605</f>
        <v/>
      </c>
      <c r="B1605" s="8" t="n"/>
      <c r="C1605" s="8" t="n"/>
      <c r="D1605" s="8" t="n"/>
      <c r="E1605" s="11" t="n"/>
      <c r="F1605" s="11" t="n"/>
      <c r="G1605" s="8" t="n"/>
      <c r="H1605" s="8" t="n"/>
      <c r="I1605" s="8" t="n"/>
      <c r="J1605" s="8" t="n"/>
      <c r="K1605" s="12">
        <f>IF(OR(ISERROR(VLOOKUP(C1605, Resultados_Reales!$A$4:$I$107, 5, FALSE)), ISERROR(VLOOKUP(C1605, Resultados_Reales!$A$4:$I$107, 6, FALSE)), VLOOKUP(C1605, Resultados_Reales!$A$4:$I$107, 5, FALSE)="", VLOOKUP(C1605, Resultados_Reales!$A$4:$I$107, 6, FALSE)=""), 0, IF(AND(VLOOKUP(C1605, Resultados_Reales!$A$4:$I$107, 5, FALSE)=G1605, VLOOKUP(C1605, Resultados_Reales!$A$4:$I$107, 6, FALSE)=H1605), Configuracion!$B$5, IF(SIGN(VLOOKUP(C1605, Resultados_Reales!$A$4:$I$107, 5, FALSE)-VLOOKUP(C1605, Resultados_Reales!$A$4:$I$107, 6, FALSE)) = SIGN(G1605-H1605), Configuracion!$B$4, 0)))</f>
        <v/>
      </c>
      <c r="L1605" s="11" t="n"/>
      <c r="M1605" s="11" t="n"/>
      <c r="N1605" s="11" t="n"/>
      <c r="O1605" s="11" t="n"/>
      <c r="P1605" s="11" t="n"/>
      <c r="Q1605" s="11" t="n"/>
    </row>
    <row r="1606">
      <c r="A1606" s="8">
        <f>B1606&amp;"_"&amp;C1606</f>
        <v/>
      </c>
      <c r="B1606" s="8" t="n"/>
      <c r="C1606" s="8" t="n"/>
      <c r="D1606" s="8" t="n"/>
      <c r="E1606" s="11" t="n"/>
      <c r="F1606" s="11" t="n"/>
      <c r="G1606" s="8" t="n"/>
      <c r="H1606" s="8" t="n"/>
      <c r="I1606" s="8" t="n"/>
      <c r="J1606" s="8" t="n"/>
      <c r="K1606" s="12">
        <f>IF(OR(ISERROR(VLOOKUP(C1606, Resultados_Reales!$A$4:$I$107, 5, FALSE)), ISERROR(VLOOKUP(C1606, Resultados_Reales!$A$4:$I$107, 6, FALSE)), VLOOKUP(C1606, Resultados_Reales!$A$4:$I$107, 5, FALSE)="", VLOOKUP(C1606, Resultados_Reales!$A$4:$I$107, 6, FALSE)=""), 0, IF(AND(VLOOKUP(C1606, Resultados_Reales!$A$4:$I$107, 5, FALSE)=G1606, VLOOKUP(C1606, Resultados_Reales!$A$4:$I$107, 6, FALSE)=H1606), Configuracion!$B$5, IF(SIGN(VLOOKUP(C1606, Resultados_Reales!$A$4:$I$107, 5, FALSE)-VLOOKUP(C1606, Resultados_Reales!$A$4:$I$107, 6, FALSE)) = SIGN(G1606-H1606), Configuracion!$B$4, 0)))</f>
        <v/>
      </c>
      <c r="L1606" s="11" t="n"/>
      <c r="M1606" s="11" t="n"/>
      <c r="N1606" s="11" t="n"/>
      <c r="O1606" s="11" t="n"/>
      <c r="P1606" s="11" t="n"/>
      <c r="Q1606" s="11" t="n"/>
    </row>
    <row r="1607">
      <c r="A1607" s="8">
        <f>B1607&amp;"_"&amp;C1607</f>
        <v/>
      </c>
      <c r="B1607" s="8" t="n"/>
      <c r="C1607" s="8" t="n"/>
      <c r="D1607" s="8" t="n"/>
      <c r="E1607" s="11" t="n"/>
      <c r="F1607" s="11" t="n"/>
      <c r="G1607" s="8" t="n"/>
      <c r="H1607" s="8" t="n"/>
      <c r="I1607" s="8" t="n"/>
      <c r="J1607" s="8" t="n"/>
      <c r="K1607" s="12">
        <f>IF(OR(ISERROR(VLOOKUP(C1607, Resultados_Reales!$A$4:$I$107, 5, FALSE)), ISERROR(VLOOKUP(C1607, Resultados_Reales!$A$4:$I$107, 6, FALSE)), VLOOKUP(C1607, Resultados_Reales!$A$4:$I$107, 5, FALSE)="", VLOOKUP(C1607, Resultados_Reales!$A$4:$I$107, 6, FALSE)=""), 0, IF(AND(VLOOKUP(C1607, Resultados_Reales!$A$4:$I$107, 5, FALSE)=G1607, VLOOKUP(C1607, Resultados_Reales!$A$4:$I$107, 6, FALSE)=H1607), Configuracion!$B$5, IF(SIGN(VLOOKUP(C1607, Resultados_Reales!$A$4:$I$107, 5, FALSE)-VLOOKUP(C1607, Resultados_Reales!$A$4:$I$107, 6, FALSE)) = SIGN(G1607-H1607), Configuracion!$B$4, 0)))</f>
        <v/>
      </c>
      <c r="L1607" s="11" t="n"/>
      <c r="M1607" s="11" t="n"/>
      <c r="N1607" s="11" t="n"/>
      <c r="O1607" s="11" t="n"/>
      <c r="P1607" s="11" t="n"/>
      <c r="Q1607" s="11" t="n"/>
    </row>
    <row r="1608">
      <c r="A1608" s="8">
        <f>B1608&amp;"_"&amp;C1608</f>
        <v/>
      </c>
      <c r="B1608" s="8" t="n"/>
      <c r="C1608" s="8" t="n"/>
      <c r="D1608" s="8" t="n"/>
      <c r="E1608" s="11" t="n"/>
      <c r="F1608" s="11" t="n"/>
      <c r="G1608" s="8" t="n"/>
      <c r="H1608" s="8" t="n"/>
      <c r="I1608" s="8" t="n"/>
      <c r="J1608" s="8" t="n"/>
      <c r="K1608" s="12">
        <f>IF(OR(ISERROR(VLOOKUP(C1608, Resultados_Reales!$A$4:$I$107, 5, FALSE)), ISERROR(VLOOKUP(C1608, Resultados_Reales!$A$4:$I$107, 6, FALSE)), VLOOKUP(C1608, Resultados_Reales!$A$4:$I$107, 5, FALSE)="", VLOOKUP(C1608, Resultados_Reales!$A$4:$I$107, 6, FALSE)=""), 0, IF(AND(VLOOKUP(C1608, Resultados_Reales!$A$4:$I$107, 5, FALSE)=G1608, VLOOKUP(C1608, Resultados_Reales!$A$4:$I$107, 6, FALSE)=H1608), Configuracion!$B$5, IF(SIGN(VLOOKUP(C1608, Resultados_Reales!$A$4:$I$107, 5, FALSE)-VLOOKUP(C1608, Resultados_Reales!$A$4:$I$107, 6, FALSE)) = SIGN(G1608-H1608), Configuracion!$B$4, 0)))</f>
        <v/>
      </c>
      <c r="L1608" s="11" t="n"/>
      <c r="M1608" s="11" t="n"/>
      <c r="N1608" s="11" t="n"/>
      <c r="O1608" s="11" t="n"/>
      <c r="P1608" s="11" t="n"/>
      <c r="Q1608" s="11" t="n"/>
    </row>
    <row r="1609">
      <c r="A1609" s="8">
        <f>B1609&amp;"_"&amp;C1609</f>
        <v/>
      </c>
      <c r="B1609" s="8" t="n"/>
      <c r="C1609" s="8" t="n"/>
      <c r="D1609" s="8" t="n"/>
      <c r="E1609" s="11" t="n"/>
      <c r="F1609" s="11" t="n"/>
      <c r="G1609" s="8" t="n"/>
      <c r="H1609" s="8" t="n"/>
      <c r="I1609" s="8" t="n"/>
      <c r="J1609" s="8" t="n"/>
      <c r="K1609" s="12">
        <f>IF(OR(ISERROR(VLOOKUP(C1609, Resultados_Reales!$A$4:$I$107, 5, FALSE)), ISERROR(VLOOKUP(C1609, Resultados_Reales!$A$4:$I$107, 6, FALSE)), VLOOKUP(C1609, Resultados_Reales!$A$4:$I$107, 5, FALSE)="", VLOOKUP(C1609, Resultados_Reales!$A$4:$I$107, 6, FALSE)=""), 0, IF(AND(VLOOKUP(C1609, Resultados_Reales!$A$4:$I$107, 5, FALSE)=G1609, VLOOKUP(C1609, Resultados_Reales!$A$4:$I$107, 6, FALSE)=H1609), Configuracion!$B$5, IF(SIGN(VLOOKUP(C1609, Resultados_Reales!$A$4:$I$107, 5, FALSE)-VLOOKUP(C1609, Resultados_Reales!$A$4:$I$107, 6, FALSE)) = SIGN(G1609-H1609), Configuracion!$B$4, 0)))</f>
        <v/>
      </c>
      <c r="L1609" s="11" t="n"/>
      <c r="M1609" s="11" t="n"/>
      <c r="N1609" s="11" t="n"/>
      <c r="O1609" s="11" t="n"/>
      <c r="P1609" s="11" t="n"/>
      <c r="Q1609" s="11" t="n"/>
    </row>
    <row r="1610">
      <c r="A1610" s="8">
        <f>B1610&amp;"_"&amp;C1610</f>
        <v/>
      </c>
      <c r="B1610" s="8" t="n"/>
      <c r="C1610" s="8" t="n"/>
      <c r="D1610" s="8" t="n"/>
      <c r="E1610" s="11" t="n"/>
      <c r="F1610" s="11" t="n"/>
      <c r="G1610" s="8" t="n"/>
      <c r="H1610" s="8" t="n"/>
      <c r="I1610" s="8" t="n"/>
      <c r="J1610" s="8" t="n"/>
      <c r="K1610" s="12">
        <f>IF(OR(ISERROR(VLOOKUP(C1610, Resultados_Reales!$A$4:$I$107, 5, FALSE)), ISERROR(VLOOKUP(C1610, Resultados_Reales!$A$4:$I$107, 6, FALSE)), VLOOKUP(C1610, Resultados_Reales!$A$4:$I$107, 5, FALSE)="", VLOOKUP(C1610, Resultados_Reales!$A$4:$I$107, 6, FALSE)=""), 0, IF(AND(VLOOKUP(C1610, Resultados_Reales!$A$4:$I$107, 5, FALSE)=G1610, VLOOKUP(C1610, Resultados_Reales!$A$4:$I$107, 6, FALSE)=H1610), Configuracion!$B$5, IF(SIGN(VLOOKUP(C1610, Resultados_Reales!$A$4:$I$107, 5, FALSE)-VLOOKUP(C1610, Resultados_Reales!$A$4:$I$107, 6, FALSE)) = SIGN(G1610-H1610), Configuracion!$B$4, 0)))</f>
        <v/>
      </c>
      <c r="L1610" s="11" t="n"/>
      <c r="M1610" s="11" t="n"/>
      <c r="N1610" s="11" t="n"/>
      <c r="O1610" s="11" t="n"/>
      <c r="P1610" s="11" t="n"/>
      <c r="Q1610" s="11" t="n"/>
    </row>
    <row r="1611">
      <c r="A1611" s="8">
        <f>B1611&amp;"_"&amp;C1611</f>
        <v/>
      </c>
      <c r="B1611" s="8" t="n"/>
      <c r="C1611" s="8" t="n"/>
      <c r="D1611" s="8" t="n"/>
      <c r="E1611" s="11" t="n"/>
      <c r="F1611" s="11" t="n"/>
      <c r="G1611" s="8" t="n"/>
      <c r="H1611" s="8" t="n"/>
      <c r="I1611" s="8" t="n"/>
      <c r="J1611" s="8" t="n"/>
      <c r="K1611" s="12">
        <f>IF(OR(ISERROR(VLOOKUP(C1611, Resultados_Reales!$A$4:$I$107, 5, FALSE)), ISERROR(VLOOKUP(C1611, Resultados_Reales!$A$4:$I$107, 6, FALSE)), VLOOKUP(C1611, Resultados_Reales!$A$4:$I$107, 5, FALSE)="", VLOOKUP(C1611, Resultados_Reales!$A$4:$I$107, 6, FALSE)=""), 0, IF(AND(VLOOKUP(C1611, Resultados_Reales!$A$4:$I$107, 5, FALSE)=G1611, VLOOKUP(C1611, Resultados_Reales!$A$4:$I$107, 6, FALSE)=H1611), Configuracion!$B$5, IF(SIGN(VLOOKUP(C1611, Resultados_Reales!$A$4:$I$107, 5, FALSE)-VLOOKUP(C1611, Resultados_Reales!$A$4:$I$107, 6, FALSE)) = SIGN(G1611-H1611), Configuracion!$B$4, 0)))</f>
        <v/>
      </c>
      <c r="L1611" s="11" t="n"/>
      <c r="M1611" s="11" t="n"/>
      <c r="N1611" s="11" t="n"/>
      <c r="O1611" s="11" t="n"/>
      <c r="P1611" s="11" t="n"/>
      <c r="Q1611" s="11" t="n"/>
    </row>
    <row r="1612">
      <c r="A1612" s="8">
        <f>B1612&amp;"_"&amp;C1612</f>
        <v/>
      </c>
      <c r="B1612" s="8" t="n"/>
      <c r="C1612" s="8" t="n"/>
      <c r="D1612" s="8" t="n"/>
      <c r="E1612" s="11" t="n"/>
      <c r="F1612" s="11" t="n"/>
      <c r="G1612" s="8" t="n"/>
      <c r="H1612" s="8" t="n"/>
      <c r="I1612" s="8" t="n"/>
      <c r="J1612" s="8" t="n"/>
      <c r="K1612" s="12">
        <f>IF(OR(ISERROR(VLOOKUP(C1612, Resultados_Reales!$A$4:$I$107, 5, FALSE)), ISERROR(VLOOKUP(C1612, Resultados_Reales!$A$4:$I$107, 6, FALSE)), VLOOKUP(C1612, Resultados_Reales!$A$4:$I$107, 5, FALSE)="", VLOOKUP(C1612, Resultados_Reales!$A$4:$I$107, 6, FALSE)=""), 0, IF(AND(VLOOKUP(C1612, Resultados_Reales!$A$4:$I$107, 5, FALSE)=G1612, VLOOKUP(C1612, Resultados_Reales!$A$4:$I$107, 6, FALSE)=H1612), Configuracion!$B$5, IF(SIGN(VLOOKUP(C1612, Resultados_Reales!$A$4:$I$107, 5, FALSE)-VLOOKUP(C1612, Resultados_Reales!$A$4:$I$107, 6, FALSE)) = SIGN(G1612-H1612), Configuracion!$B$4, 0)))</f>
        <v/>
      </c>
      <c r="L1612" s="11" t="n"/>
      <c r="M1612" s="11" t="n"/>
      <c r="N1612" s="11" t="n"/>
      <c r="O1612" s="11" t="n"/>
      <c r="P1612" s="11" t="n"/>
      <c r="Q1612" s="11" t="n"/>
    </row>
    <row r="1613">
      <c r="A1613" s="8">
        <f>B1613&amp;"_"&amp;C1613</f>
        <v/>
      </c>
      <c r="B1613" s="8" t="n"/>
      <c r="C1613" s="8" t="n"/>
      <c r="D1613" s="8" t="n"/>
      <c r="E1613" s="11" t="n"/>
      <c r="F1613" s="11" t="n"/>
      <c r="G1613" s="8" t="n"/>
      <c r="H1613" s="8" t="n"/>
      <c r="I1613" s="8" t="n"/>
      <c r="J1613" s="8" t="n"/>
      <c r="K1613" s="12">
        <f>IF(OR(ISERROR(VLOOKUP(C1613, Resultados_Reales!$A$4:$I$107, 5, FALSE)), ISERROR(VLOOKUP(C1613, Resultados_Reales!$A$4:$I$107, 6, FALSE)), VLOOKUP(C1613, Resultados_Reales!$A$4:$I$107, 5, FALSE)="", VLOOKUP(C1613, Resultados_Reales!$A$4:$I$107, 6, FALSE)=""), 0, IF(AND(VLOOKUP(C1613, Resultados_Reales!$A$4:$I$107, 5, FALSE)=G1613, VLOOKUP(C1613, Resultados_Reales!$A$4:$I$107, 6, FALSE)=H1613), Configuracion!$B$5, IF(SIGN(VLOOKUP(C1613, Resultados_Reales!$A$4:$I$107, 5, FALSE)-VLOOKUP(C1613, Resultados_Reales!$A$4:$I$107, 6, FALSE)) = SIGN(G1613-H1613), Configuracion!$B$4, 0)))</f>
        <v/>
      </c>
      <c r="L1613" s="11" t="n"/>
      <c r="M1613" s="11" t="n"/>
      <c r="N1613" s="11" t="n"/>
      <c r="O1613" s="11" t="n"/>
      <c r="P1613" s="11" t="n"/>
      <c r="Q1613" s="11" t="n"/>
    </row>
    <row r="1614">
      <c r="A1614" s="8">
        <f>B1614&amp;"_"&amp;C1614</f>
        <v/>
      </c>
      <c r="B1614" s="8" t="n"/>
      <c r="C1614" s="8" t="n"/>
      <c r="D1614" s="8" t="n"/>
      <c r="E1614" s="11" t="n"/>
      <c r="F1614" s="11" t="n"/>
      <c r="G1614" s="8" t="n"/>
      <c r="H1614" s="8" t="n"/>
      <c r="I1614" s="8" t="n"/>
      <c r="J1614" s="8" t="n"/>
      <c r="K1614" s="12">
        <f>IF(OR(ISERROR(VLOOKUP(C1614, Resultados_Reales!$A$4:$I$107, 5, FALSE)), ISERROR(VLOOKUP(C1614, Resultados_Reales!$A$4:$I$107, 6, FALSE)), VLOOKUP(C1614, Resultados_Reales!$A$4:$I$107, 5, FALSE)="", VLOOKUP(C1614, Resultados_Reales!$A$4:$I$107, 6, FALSE)=""), 0, IF(AND(VLOOKUP(C1614, Resultados_Reales!$A$4:$I$107, 5, FALSE)=G1614, VLOOKUP(C1614, Resultados_Reales!$A$4:$I$107, 6, FALSE)=H1614), Configuracion!$B$5, IF(SIGN(VLOOKUP(C1614, Resultados_Reales!$A$4:$I$107, 5, FALSE)-VLOOKUP(C1614, Resultados_Reales!$A$4:$I$107, 6, FALSE)) = SIGN(G1614-H1614), Configuracion!$B$4, 0)))</f>
        <v/>
      </c>
      <c r="L1614" s="11" t="n"/>
      <c r="M1614" s="11" t="n"/>
      <c r="N1614" s="11" t="n"/>
      <c r="O1614" s="11" t="n"/>
      <c r="P1614" s="11" t="n"/>
      <c r="Q1614" s="11" t="n"/>
    </row>
    <row r="1615">
      <c r="A1615" s="8">
        <f>B1615&amp;"_"&amp;C1615</f>
        <v/>
      </c>
      <c r="B1615" s="8" t="n"/>
      <c r="C1615" s="8" t="n"/>
      <c r="D1615" s="8" t="n"/>
      <c r="E1615" s="11" t="n"/>
      <c r="F1615" s="11" t="n"/>
      <c r="G1615" s="8" t="n"/>
      <c r="H1615" s="8" t="n"/>
      <c r="I1615" s="8" t="n"/>
      <c r="J1615" s="8" t="n"/>
      <c r="K1615" s="12">
        <f>IF(OR(ISERROR(VLOOKUP(C1615, Resultados_Reales!$A$4:$I$107, 5, FALSE)), ISERROR(VLOOKUP(C1615, Resultados_Reales!$A$4:$I$107, 6, FALSE)), VLOOKUP(C1615, Resultados_Reales!$A$4:$I$107, 5, FALSE)="", VLOOKUP(C1615, Resultados_Reales!$A$4:$I$107, 6, FALSE)=""), 0, IF(AND(VLOOKUP(C1615, Resultados_Reales!$A$4:$I$107, 5, FALSE)=G1615, VLOOKUP(C1615, Resultados_Reales!$A$4:$I$107, 6, FALSE)=H1615), Configuracion!$B$5, IF(SIGN(VLOOKUP(C1615, Resultados_Reales!$A$4:$I$107, 5, FALSE)-VLOOKUP(C1615, Resultados_Reales!$A$4:$I$107, 6, FALSE)) = SIGN(G1615-H1615), Configuracion!$B$4, 0)))</f>
        <v/>
      </c>
      <c r="L1615" s="11" t="n"/>
      <c r="M1615" s="11" t="n"/>
      <c r="N1615" s="11" t="n"/>
      <c r="O1615" s="11" t="n"/>
      <c r="P1615" s="11" t="n"/>
      <c r="Q1615" s="11" t="n"/>
    </row>
    <row r="1616">
      <c r="A1616" s="8">
        <f>B1616&amp;"_"&amp;C1616</f>
        <v/>
      </c>
      <c r="B1616" s="8" t="n"/>
      <c r="C1616" s="8" t="n"/>
      <c r="D1616" s="8" t="n"/>
      <c r="E1616" s="11" t="n"/>
      <c r="F1616" s="11" t="n"/>
      <c r="G1616" s="8" t="n"/>
      <c r="H1616" s="8" t="n"/>
      <c r="I1616" s="8" t="n"/>
      <c r="J1616" s="8" t="n"/>
      <c r="K1616" s="12">
        <f>IF(OR(ISERROR(VLOOKUP(C1616, Resultados_Reales!$A$4:$I$107, 5, FALSE)), ISERROR(VLOOKUP(C1616, Resultados_Reales!$A$4:$I$107, 6, FALSE)), VLOOKUP(C1616, Resultados_Reales!$A$4:$I$107, 5, FALSE)="", VLOOKUP(C1616, Resultados_Reales!$A$4:$I$107, 6, FALSE)=""), 0, IF(AND(VLOOKUP(C1616, Resultados_Reales!$A$4:$I$107, 5, FALSE)=G1616, VLOOKUP(C1616, Resultados_Reales!$A$4:$I$107, 6, FALSE)=H1616), Configuracion!$B$5, IF(SIGN(VLOOKUP(C1616, Resultados_Reales!$A$4:$I$107, 5, FALSE)-VLOOKUP(C1616, Resultados_Reales!$A$4:$I$107, 6, FALSE)) = SIGN(G1616-H1616), Configuracion!$B$4, 0)))</f>
        <v/>
      </c>
      <c r="L1616" s="11" t="n"/>
      <c r="M1616" s="11" t="n"/>
      <c r="N1616" s="11" t="n"/>
      <c r="O1616" s="11" t="n"/>
      <c r="P1616" s="11" t="n"/>
      <c r="Q1616" s="11" t="n"/>
    </row>
    <row r="1617">
      <c r="A1617" s="8">
        <f>B1617&amp;"_"&amp;C1617</f>
        <v/>
      </c>
      <c r="B1617" s="8" t="n"/>
      <c r="C1617" s="8" t="n"/>
      <c r="D1617" s="8" t="n"/>
      <c r="E1617" s="11" t="n"/>
      <c r="F1617" s="11" t="n"/>
      <c r="G1617" s="8" t="n"/>
      <c r="H1617" s="8" t="n"/>
      <c r="I1617" s="8" t="n"/>
      <c r="J1617" s="8" t="n"/>
      <c r="K1617" s="12">
        <f>IF(OR(ISERROR(VLOOKUP(C1617, Resultados_Reales!$A$4:$I$107, 5, FALSE)), ISERROR(VLOOKUP(C1617, Resultados_Reales!$A$4:$I$107, 6, FALSE)), VLOOKUP(C1617, Resultados_Reales!$A$4:$I$107, 5, FALSE)="", VLOOKUP(C1617, Resultados_Reales!$A$4:$I$107, 6, FALSE)=""), 0, IF(AND(VLOOKUP(C1617, Resultados_Reales!$A$4:$I$107, 5, FALSE)=G1617, VLOOKUP(C1617, Resultados_Reales!$A$4:$I$107, 6, FALSE)=H1617), Configuracion!$B$5, IF(SIGN(VLOOKUP(C1617, Resultados_Reales!$A$4:$I$107, 5, FALSE)-VLOOKUP(C1617, Resultados_Reales!$A$4:$I$107, 6, FALSE)) = SIGN(G1617-H1617), Configuracion!$B$4, 0)))</f>
        <v/>
      </c>
      <c r="L1617" s="11" t="n"/>
      <c r="M1617" s="11" t="n"/>
      <c r="N1617" s="11" t="n"/>
      <c r="O1617" s="11" t="n"/>
      <c r="P1617" s="11" t="n"/>
      <c r="Q1617" s="11" t="n"/>
    </row>
    <row r="1618">
      <c r="A1618" s="8">
        <f>B1618&amp;"_"&amp;C1618</f>
        <v/>
      </c>
      <c r="B1618" s="8" t="n"/>
      <c r="C1618" s="8" t="n"/>
      <c r="D1618" s="8" t="n"/>
      <c r="E1618" s="11" t="n"/>
      <c r="F1618" s="11" t="n"/>
      <c r="G1618" s="8" t="n"/>
      <c r="H1618" s="8" t="n"/>
      <c r="I1618" s="8" t="n"/>
      <c r="J1618" s="8" t="n"/>
      <c r="K1618" s="12">
        <f>IF(OR(ISERROR(VLOOKUP(C1618, Resultados_Reales!$A$4:$I$107, 5, FALSE)), ISERROR(VLOOKUP(C1618, Resultados_Reales!$A$4:$I$107, 6, FALSE)), VLOOKUP(C1618, Resultados_Reales!$A$4:$I$107, 5, FALSE)="", VLOOKUP(C1618, Resultados_Reales!$A$4:$I$107, 6, FALSE)=""), 0, IF(AND(VLOOKUP(C1618, Resultados_Reales!$A$4:$I$107, 5, FALSE)=G1618, VLOOKUP(C1618, Resultados_Reales!$A$4:$I$107, 6, FALSE)=H1618), Configuracion!$B$5, IF(SIGN(VLOOKUP(C1618, Resultados_Reales!$A$4:$I$107, 5, FALSE)-VLOOKUP(C1618, Resultados_Reales!$A$4:$I$107, 6, FALSE)) = SIGN(G1618-H1618), Configuracion!$B$4, 0)))</f>
        <v/>
      </c>
      <c r="L1618" s="11" t="n"/>
      <c r="M1618" s="11" t="n"/>
      <c r="N1618" s="11" t="n"/>
      <c r="O1618" s="11" t="n"/>
      <c r="P1618" s="11" t="n"/>
      <c r="Q1618" s="11" t="n"/>
    </row>
    <row r="1619">
      <c r="A1619" s="8">
        <f>B1619&amp;"_"&amp;C1619</f>
        <v/>
      </c>
      <c r="B1619" s="8" t="n"/>
      <c r="C1619" s="8" t="n"/>
      <c r="D1619" s="8" t="n"/>
      <c r="E1619" s="11" t="n"/>
      <c r="F1619" s="11" t="n"/>
      <c r="G1619" s="8" t="n"/>
      <c r="H1619" s="8" t="n"/>
      <c r="I1619" s="8" t="n"/>
      <c r="J1619" s="8" t="n"/>
      <c r="K1619" s="12">
        <f>IF(OR(ISERROR(VLOOKUP(C1619, Resultados_Reales!$A$4:$I$107, 5, FALSE)), ISERROR(VLOOKUP(C1619, Resultados_Reales!$A$4:$I$107, 6, FALSE)), VLOOKUP(C1619, Resultados_Reales!$A$4:$I$107, 5, FALSE)="", VLOOKUP(C1619, Resultados_Reales!$A$4:$I$107, 6, FALSE)=""), 0, IF(AND(VLOOKUP(C1619, Resultados_Reales!$A$4:$I$107, 5, FALSE)=G1619, VLOOKUP(C1619, Resultados_Reales!$A$4:$I$107, 6, FALSE)=H1619), Configuracion!$B$5, IF(SIGN(VLOOKUP(C1619, Resultados_Reales!$A$4:$I$107, 5, FALSE)-VLOOKUP(C1619, Resultados_Reales!$A$4:$I$107, 6, FALSE)) = SIGN(G1619-H1619), Configuracion!$B$4, 0)))</f>
        <v/>
      </c>
      <c r="L1619" s="11" t="n"/>
      <c r="M1619" s="11" t="n"/>
      <c r="N1619" s="11" t="n"/>
      <c r="O1619" s="11" t="n"/>
      <c r="P1619" s="11" t="n"/>
      <c r="Q1619" s="11" t="n"/>
    </row>
    <row r="1620">
      <c r="A1620" s="8">
        <f>B1620&amp;"_"&amp;C1620</f>
        <v/>
      </c>
      <c r="B1620" s="8" t="n"/>
      <c r="C1620" s="8" t="n"/>
      <c r="D1620" s="8" t="n"/>
      <c r="E1620" s="11" t="n"/>
      <c r="F1620" s="11" t="n"/>
      <c r="G1620" s="8" t="n"/>
      <c r="H1620" s="8" t="n"/>
      <c r="I1620" s="8" t="n"/>
      <c r="J1620" s="8" t="n"/>
      <c r="K1620" s="12">
        <f>IF(OR(ISERROR(VLOOKUP(C1620, Resultados_Reales!$A$4:$I$107, 5, FALSE)), ISERROR(VLOOKUP(C1620, Resultados_Reales!$A$4:$I$107, 6, FALSE)), VLOOKUP(C1620, Resultados_Reales!$A$4:$I$107, 5, FALSE)="", VLOOKUP(C1620, Resultados_Reales!$A$4:$I$107, 6, FALSE)=""), 0, IF(AND(VLOOKUP(C1620, Resultados_Reales!$A$4:$I$107, 5, FALSE)=G1620, VLOOKUP(C1620, Resultados_Reales!$A$4:$I$107, 6, FALSE)=H1620), Configuracion!$B$5, IF(SIGN(VLOOKUP(C1620, Resultados_Reales!$A$4:$I$107, 5, FALSE)-VLOOKUP(C1620, Resultados_Reales!$A$4:$I$107, 6, FALSE)) = SIGN(G1620-H1620), Configuracion!$B$4, 0)))</f>
        <v/>
      </c>
      <c r="L1620" s="11" t="n"/>
      <c r="M1620" s="11" t="n"/>
      <c r="N1620" s="11" t="n"/>
      <c r="O1620" s="11" t="n"/>
      <c r="P1620" s="11" t="n"/>
      <c r="Q1620" s="11" t="n"/>
    </row>
    <row r="1621">
      <c r="A1621" s="8">
        <f>B1621&amp;"_"&amp;C1621</f>
        <v/>
      </c>
      <c r="B1621" s="8" t="n"/>
      <c r="C1621" s="8" t="n"/>
      <c r="D1621" s="8" t="n"/>
      <c r="E1621" s="11" t="n"/>
      <c r="F1621" s="11" t="n"/>
      <c r="G1621" s="8" t="n"/>
      <c r="H1621" s="8" t="n"/>
      <c r="I1621" s="8" t="n"/>
      <c r="J1621" s="8" t="n"/>
      <c r="K1621" s="12">
        <f>IF(OR(ISERROR(VLOOKUP(C1621, Resultados_Reales!$A$4:$I$107, 5, FALSE)), ISERROR(VLOOKUP(C1621, Resultados_Reales!$A$4:$I$107, 6, FALSE)), VLOOKUP(C1621, Resultados_Reales!$A$4:$I$107, 5, FALSE)="", VLOOKUP(C1621, Resultados_Reales!$A$4:$I$107, 6, FALSE)=""), 0, IF(AND(VLOOKUP(C1621, Resultados_Reales!$A$4:$I$107, 5, FALSE)=G1621, VLOOKUP(C1621, Resultados_Reales!$A$4:$I$107, 6, FALSE)=H1621), Configuracion!$B$5, IF(SIGN(VLOOKUP(C1621, Resultados_Reales!$A$4:$I$107, 5, FALSE)-VLOOKUP(C1621, Resultados_Reales!$A$4:$I$107, 6, FALSE)) = SIGN(G1621-H1621), Configuracion!$B$4, 0)))</f>
        <v/>
      </c>
      <c r="L1621" s="11" t="n"/>
      <c r="M1621" s="11" t="n"/>
      <c r="N1621" s="11" t="n"/>
      <c r="O1621" s="11" t="n"/>
      <c r="P1621" s="11" t="n"/>
      <c r="Q1621" s="11" t="n"/>
    </row>
    <row r="1622">
      <c r="A1622" s="8">
        <f>B1622&amp;"_"&amp;C1622</f>
        <v/>
      </c>
      <c r="B1622" s="8" t="n"/>
      <c r="C1622" s="8" t="n"/>
      <c r="D1622" s="8" t="n"/>
      <c r="E1622" s="11" t="n"/>
      <c r="F1622" s="11" t="n"/>
      <c r="G1622" s="8" t="n"/>
      <c r="H1622" s="8" t="n"/>
      <c r="I1622" s="8" t="n"/>
      <c r="J1622" s="8" t="n"/>
      <c r="K1622" s="12">
        <f>IF(OR(ISERROR(VLOOKUP(C1622, Resultados_Reales!$A$4:$I$107, 5, FALSE)), ISERROR(VLOOKUP(C1622, Resultados_Reales!$A$4:$I$107, 6, FALSE)), VLOOKUP(C1622, Resultados_Reales!$A$4:$I$107, 5, FALSE)="", VLOOKUP(C1622, Resultados_Reales!$A$4:$I$107, 6, FALSE)=""), 0, IF(AND(VLOOKUP(C1622, Resultados_Reales!$A$4:$I$107, 5, FALSE)=G1622, VLOOKUP(C1622, Resultados_Reales!$A$4:$I$107, 6, FALSE)=H1622), Configuracion!$B$5, IF(SIGN(VLOOKUP(C1622, Resultados_Reales!$A$4:$I$107, 5, FALSE)-VLOOKUP(C1622, Resultados_Reales!$A$4:$I$107, 6, FALSE)) = SIGN(G1622-H1622), Configuracion!$B$4, 0)))</f>
        <v/>
      </c>
      <c r="L1622" s="11" t="n"/>
      <c r="M1622" s="11" t="n"/>
      <c r="N1622" s="11" t="n"/>
      <c r="O1622" s="11" t="n"/>
      <c r="P1622" s="11" t="n"/>
      <c r="Q1622" s="11" t="n"/>
    </row>
    <row r="1623">
      <c r="A1623" s="8">
        <f>B1623&amp;"_"&amp;C1623</f>
        <v/>
      </c>
      <c r="B1623" s="8" t="n"/>
      <c r="C1623" s="8" t="n"/>
      <c r="D1623" s="8" t="n"/>
      <c r="E1623" s="11" t="n"/>
      <c r="F1623" s="11" t="n"/>
      <c r="G1623" s="8" t="n"/>
      <c r="H1623" s="8" t="n"/>
      <c r="I1623" s="8" t="n"/>
      <c r="J1623" s="8" t="n"/>
      <c r="K1623" s="12">
        <f>IF(OR(ISERROR(VLOOKUP(C1623, Resultados_Reales!$A$4:$I$107, 5, FALSE)), ISERROR(VLOOKUP(C1623, Resultados_Reales!$A$4:$I$107, 6, FALSE)), VLOOKUP(C1623, Resultados_Reales!$A$4:$I$107, 5, FALSE)="", VLOOKUP(C1623, Resultados_Reales!$A$4:$I$107, 6, FALSE)=""), 0, IF(AND(VLOOKUP(C1623, Resultados_Reales!$A$4:$I$107, 5, FALSE)=G1623, VLOOKUP(C1623, Resultados_Reales!$A$4:$I$107, 6, FALSE)=H1623), Configuracion!$B$5, IF(SIGN(VLOOKUP(C1623, Resultados_Reales!$A$4:$I$107, 5, FALSE)-VLOOKUP(C1623, Resultados_Reales!$A$4:$I$107, 6, FALSE)) = SIGN(G1623-H1623), Configuracion!$B$4, 0)))</f>
        <v/>
      </c>
      <c r="L1623" s="11" t="n"/>
      <c r="M1623" s="11" t="n"/>
      <c r="N1623" s="11" t="n"/>
      <c r="O1623" s="11" t="n"/>
      <c r="P1623" s="11" t="n"/>
      <c r="Q1623" s="11" t="n"/>
    </row>
    <row r="1624">
      <c r="A1624" s="8">
        <f>B1624&amp;"_"&amp;C1624</f>
        <v/>
      </c>
      <c r="B1624" s="8" t="n"/>
      <c r="C1624" s="8" t="n"/>
      <c r="D1624" s="8" t="n"/>
      <c r="E1624" s="11" t="n"/>
      <c r="F1624" s="11" t="n"/>
      <c r="G1624" s="8" t="n"/>
      <c r="H1624" s="8" t="n"/>
      <c r="I1624" s="8" t="n"/>
      <c r="J1624" s="8" t="n"/>
      <c r="K1624" s="12">
        <f>IF(OR(ISERROR(VLOOKUP(C1624, Resultados_Reales!$A$4:$I$107, 5, FALSE)), ISERROR(VLOOKUP(C1624, Resultados_Reales!$A$4:$I$107, 6, FALSE)), VLOOKUP(C1624, Resultados_Reales!$A$4:$I$107, 5, FALSE)="", VLOOKUP(C1624, Resultados_Reales!$A$4:$I$107, 6, FALSE)=""), 0, IF(AND(VLOOKUP(C1624, Resultados_Reales!$A$4:$I$107, 5, FALSE)=G1624, VLOOKUP(C1624, Resultados_Reales!$A$4:$I$107, 6, FALSE)=H1624), Configuracion!$B$5, IF(SIGN(VLOOKUP(C1624, Resultados_Reales!$A$4:$I$107, 5, FALSE)-VLOOKUP(C1624, Resultados_Reales!$A$4:$I$107, 6, FALSE)) = SIGN(G1624-H1624), Configuracion!$B$4, 0)))</f>
        <v/>
      </c>
      <c r="L1624" s="11" t="n"/>
      <c r="M1624" s="11" t="n"/>
      <c r="N1624" s="11" t="n"/>
      <c r="O1624" s="11" t="n"/>
      <c r="P1624" s="11" t="n"/>
      <c r="Q1624" s="11" t="n"/>
    </row>
    <row r="1625">
      <c r="A1625" s="8">
        <f>B1625&amp;"_"&amp;C1625</f>
        <v/>
      </c>
      <c r="B1625" s="8" t="n"/>
      <c r="C1625" s="8" t="n"/>
      <c r="D1625" s="8" t="n"/>
      <c r="E1625" s="11" t="n"/>
      <c r="F1625" s="11" t="n"/>
      <c r="G1625" s="8" t="n"/>
      <c r="H1625" s="8" t="n"/>
      <c r="I1625" s="8" t="n"/>
      <c r="J1625" s="8" t="n"/>
      <c r="K1625" s="12">
        <f>IF(OR(ISERROR(VLOOKUP(C1625, Resultados_Reales!$A$4:$I$107, 5, FALSE)), ISERROR(VLOOKUP(C1625, Resultados_Reales!$A$4:$I$107, 6, FALSE)), VLOOKUP(C1625, Resultados_Reales!$A$4:$I$107, 5, FALSE)="", VLOOKUP(C1625, Resultados_Reales!$A$4:$I$107, 6, FALSE)=""), 0, IF(AND(VLOOKUP(C1625, Resultados_Reales!$A$4:$I$107, 5, FALSE)=G1625, VLOOKUP(C1625, Resultados_Reales!$A$4:$I$107, 6, FALSE)=H1625), Configuracion!$B$5, IF(SIGN(VLOOKUP(C1625, Resultados_Reales!$A$4:$I$107, 5, FALSE)-VLOOKUP(C1625, Resultados_Reales!$A$4:$I$107, 6, FALSE)) = SIGN(G1625-H1625), Configuracion!$B$4, 0)))</f>
        <v/>
      </c>
      <c r="L1625" s="11" t="n"/>
      <c r="M1625" s="11" t="n"/>
      <c r="N1625" s="11" t="n"/>
      <c r="O1625" s="11" t="n"/>
      <c r="P1625" s="11" t="n"/>
      <c r="Q1625" s="11" t="n"/>
    </row>
    <row r="1626">
      <c r="A1626" s="8">
        <f>B1626&amp;"_"&amp;C1626</f>
        <v/>
      </c>
      <c r="B1626" s="8" t="n"/>
      <c r="C1626" s="8" t="n"/>
      <c r="D1626" s="8" t="n"/>
      <c r="E1626" s="11" t="n"/>
      <c r="F1626" s="11" t="n"/>
      <c r="G1626" s="8" t="n"/>
      <c r="H1626" s="8" t="n"/>
      <c r="I1626" s="8" t="n"/>
      <c r="J1626" s="8" t="n"/>
      <c r="K1626" s="12">
        <f>IF(OR(ISERROR(VLOOKUP(C1626, Resultados_Reales!$A$4:$I$107, 5, FALSE)), ISERROR(VLOOKUP(C1626, Resultados_Reales!$A$4:$I$107, 6, FALSE)), VLOOKUP(C1626, Resultados_Reales!$A$4:$I$107, 5, FALSE)="", VLOOKUP(C1626, Resultados_Reales!$A$4:$I$107, 6, FALSE)=""), 0, IF(AND(VLOOKUP(C1626, Resultados_Reales!$A$4:$I$107, 5, FALSE)=G1626, VLOOKUP(C1626, Resultados_Reales!$A$4:$I$107, 6, FALSE)=H1626), Configuracion!$B$5, IF(SIGN(VLOOKUP(C1626, Resultados_Reales!$A$4:$I$107, 5, FALSE)-VLOOKUP(C1626, Resultados_Reales!$A$4:$I$107, 6, FALSE)) = SIGN(G1626-H1626), Configuracion!$B$4, 0)))</f>
        <v/>
      </c>
      <c r="L1626" s="11" t="n"/>
      <c r="M1626" s="11" t="n"/>
      <c r="N1626" s="11" t="n"/>
      <c r="O1626" s="11" t="n"/>
      <c r="P1626" s="11" t="n"/>
      <c r="Q1626" s="11" t="n"/>
    </row>
    <row r="1627">
      <c r="A1627" s="8">
        <f>B1627&amp;"_"&amp;C1627</f>
        <v/>
      </c>
      <c r="B1627" s="8" t="n"/>
      <c r="C1627" s="8" t="n"/>
      <c r="D1627" s="8" t="n"/>
      <c r="E1627" s="11" t="n"/>
      <c r="F1627" s="11" t="n"/>
      <c r="G1627" s="8" t="n"/>
      <c r="H1627" s="8" t="n"/>
      <c r="I1627" s="8" t="n"/>
      <c r="J1627" s="8" t="n"/>
      <c r="K1627" s="12">
        <f>IF(OR(ISERROR(VLOOKUP(C1627, Resultados_Reales!$A$4:$I$107, 5, FALSE)), ISERROR(VLOOKUP(C1627, Resultados_Reales!$A$4:$I$107, 6, FALSE)), VLOOKUP(C1627, Resultados_Reales!$A$4:$I$107, 5, FALSE)="", VLOOKUP(C1627, Resultados_Reales!$A$4:$I$107, 6, FALSE)=""), 0, IF(AND(VLOOKUP(C1627, Resultados_Reales!$A$4:$I$107, 5, FALSE)=G1627, VLOOKUP(C1627, Resultados_Reales!$A$4:$I$107, 6, FALSE)=H1627), Configuracion!$B$5, IF(SIGN(VLOOKUP(C1627, Resultados_Reales!$A$4:$I$107, 5, FALSE)-VLOOKUP(C1627, Resultados_Reales!$A$4:$I$107, 6, FALSE)) = SIGN(G1627-H1627), Configuracion!$B$4, 0)))</f>
        <v/>
      </c>
      <c r="L1627" s="11" t="n"/>
      <c r="M1627" s="11" t="n"/>
      <c r="N1627" s="11" t="n"/>
      <c r="O1627" s="11" t="n"/>
      <c r="P1627" s="11" t="n"/>
      <c r="Q1627" s="11" t="n"/>
    </row>
    <row r="1628">
      <c r="A1628" s="8">
        <f>B1628&amp;"_"&amp;C1628</f>
        <v/>
      </c>
      <c r="B1628" s="8" t="n"/>
      <c r="C1628" s="8" t="n"/>
      <c r="D1628" s="8" t="n"/>
      <c r="E1628" s="11" t="n"/>
      <c r="F1628" s="11" t="n"/>
      <c r="G1628" s="8" t="n"/>
      <c r="H1628" s="8" t="n"/>
      <c r="I1628" s="8" t="n"/>
      <c r="J1628" s="8" t="n"/>
      <c r="K1628" s="12">
        <f>IF(OR(ISERROR(VLOOKUP(C1628, Resultados_Reales!$A$4:$I$107, 5, FALSE)), ISERROR(VLOOKUP(C1628, Resultados_Reales!$A$4:$I$107, 6, FALSE)), VLOOKUP(C1628, Resultados_Reales!$A$4:$I$107, 5, FALSE)="", VLOOKUP(C1628, Resultados_Reales!$A$4:$I$107, 6, FALSE)=""), 0, IF(AND(VLOOKUP(C1628, Resultados_Reales!$A$4:$I$107, 5, FALSE)=G1628, VLOOKUP(C1628, Resultados_Reales!$A$4:$I$107, 6, FALSE)=H1628), Configuracion!$B$5, IF(SIGN(VLOOKUP(C1628, Resultados_Reales!$A$4:$I$107, 5, FALSE)-VLOOKUP(C1628, Resultados_Reales!$A$4:$I$107, 6, FALSE)) = SIGN(G1628-H1628), Configuracion!$B$4, 0)))</f>
        <v/>
      </c>
      <c r="L1628" s="11" t="n"/>
      <c r="M1628" s="11" t="n"/>
      <c r="N1628" s="11" t="n"/>
      <c r="O1628" s="11" t="n"/>
      <c r="P1628" s="11" t="n"/>
      <c r="Q1628" s="11" t="n"/>
    </row>
    <row r="1629">
      <c r="A1629" s="8">
        <f>B1629&amp;"_"&amp;C1629</f>
        <v/>
      </c>
      <c r="B1629" s="8" t="n"/>
      <c r="C1629" s="8" t="n"/>
      <c r="D1629" s="8" t="n"/>
      <c r="E1629" s="11" t="n"/>
      <c r="F1629" s="11" t="n"/>
      <c r="G1629" s="8" t="n"/>
      <c r="H1629" s="8" t="n"/>
      <c r="I1629" s="8" t="n"/>
      <c r="J1629" s="8" t="n"/>
      <c r="K1629" s="12">
        <f>IF(OR(ISERROR(VLOOKUP(C1629, Resultados_Reales!$A$4:$I$107, 5, FALSE)), ISERROR(VLOOKUP(C1629, Resultados_Reales!$A$4:$I$107, 6, FALSE)), VLOOKUP(C1629, Resultados_Reales!$A$4:$I$107, 5, FALSE)="", VLOOKUP(C1629, Resultados_Reales!$A$4:$I$107, 6, FALSE)=""), 0, IF(AND(VLOOKUP(C1629, Resultados_Reales!$A$4:$I$107, 5, FALSE)=G1629, VLOOKUP(C1629, Resultados_Reales!$A$4:$I$107, 6, FALSE)=H1629), Configuracion!$B$5, IF(SIGN(VLOOKUP(C1629, Resultados_Reales!$A$4:$I$107, 5, FALSE)-VLOOKUP(C1629, Resultados_Reales!$A$4:$I$107, 6, FALSE)) = SIGN(G1629-H1629), Configuracion!$B$4, 0)))</f>
        <v/>
      </c>
      <c r="L1629" s="11" t="n"/>
      <c r="M1629" s="11" t="n"/>
      <c r="N1629" s="11" t="n"/>
      <c r="O1629" s="11" t="n"/>
      <c r="P1629" s="11" t="n"/>
      <c r="Q1629" s="11" t="n"/>
    </row>
    <row r="1630">
      <c r="A1630" s="8">
        <f>B1630&amp;"_"&amp;C1630</f>
        <v/>
      </c>
      <c r="B1630" s="8" t="n"/>
      <c r="C1630" s="8" t="n"/>
      <c r="D1630" s="8" t="n"/>
      <c r="E1630" s="11" t="n"/>
      <c r="F1630" s="11" t="n"/>
      <c r="G1630" s="8" t="n"/>
      <c r="H1630" s="8" t="n"/>
      <c r="I1630" s="8" t="n"/>
      <c r="J1630" s="8" t="n"/>
      <c r="K1630" s="12">
        <f>IF(OR(ISERROR(VLOOKUP(C1630, Resultados_Reales!$A$4:$I$107, 5, FALSE)), ISERROR(VLOOKUP(C1630, Resultados_Reales!$A$4:$I$107, 6, FALSE)), VLOOKUP(C1630, Resultados_Reales!$A$4:$I$107, 5, FALSE)="", VLOOKUP(C1630, Resultados_Reales!$A$4:$I$107, 6, FALSE)=""), 0, IF(AND(VLOOKUP(C1630, Resultados_Reales!$A$4:$I$107, 5, FALSE)=G1630, VLOOKUP(C1630, Resultados_Reales!$A$4:$I$107, 6, FALSE)=H1630), Configuracion!$B$5, IF(SIGN(VLOOKUP(C1630, Resultados_Reales!$A$4:$I$107, 5, FALSE)-VLOOKUP(C1630, Resultados_Reales!$A$4:$I$107, 6, FALSE)) = SIGN(G1630-H1630), Configuracion!$B$4, 0)))</f>
        <v/>
      </c>
      <c r="L1630" s="11" t="n"/>
      <c r="M1630" s="11" t="n"/>
      <c r="N1630" s="11" t="n"/>
      <c r="O1630" s="11" t="n"/>
      <c r="P1630" s="11" t="n"/>
      <c r="Q1630" s="11" t="n"/>
    </row>
    <row r="1631">
      <c r="A1631" s="8">
        <f>B1631&amp;"_"&amp;C1631</f>
        <v/>
      </c>
      <c r="B1631" s="8" t="n"/>
      <c r="C1631" s="8" t="n"/>
      <c r="D1631" s="8" t="n"/>
      <c r="E1631" s="11" t="n"/>
      <c r="F1631" s="11" t="n"/>
      <c r="G1631" s="8" t="n"/>
      <c r="H1631" s="8" t="n"/>
      <c r="I1631" s="8" t="n"/>
      <c r="J1631" s="8" t="n"/>
      <c r="K1631" s="12">
        <f>IF(OR(ISERROR(VLOOKUP(C1631, Resultados_Reales!$A$4:$I$107, 5, FALSE)), ISERROR(VLOOKUP(C1631, Resultados_Reales!$A$4:$I$107, 6, FALSE)), VLOOKUP(C1631, Resultados_Reales!$A$4:$I$107, 5, FALSE)="", VLOOKUP(C1631, Resultados_Reales!$A$4:$I$107, 6, FALSE)=""), 0, IF(AND(VLOOKUP(C1631, Resultados_Reales!$A$4:$I$107, 5, FALSE)=G1631, VLOOKUP(C1631, Resultados_Reales!$A$4:$I$107, 6, FALSE)=H1631), Configuracion!$B$5, IF(SIGN(VLOOKUP(C1631, Resultados_Reales!$A$4:$I$107, 5, FALSE)-VLOOKUP(C1631, Resultados_Reales!$A$4:$I$107, 6, FALSE)) = SIGN(G1631-H1631), Configuracion!$B$4, 0)))</f>
        <v/>
      </c>
      <c r="L1631" s="11" t="n"/>
      <c r="M1631" s="11" t="n"/>
      <c r="N1631" s="11" t="n"/>
      <c r="O1631" s="11" t="n"/>
      <c r="P1631" s="11" t="n"/>
      <c r="Q1631" s="11" t="n"/>
    </row>
    <row r="1632">
      <c r="A1632" s="8">
        <f>B1632&amp;"_"&amp;C1632</f>
        <v/>
      </c>
      <c r="B1632" s="8" t="n"/>
      <c r="C1632" s="8" t="n"/>
      <c r="D1632" s="8" t="n"/>
      <c r="E1632" s="11" t="n"/>
      <c r="F1632" s="11" t="n"/>
      <c r="G1632" s="8" t="n"/>
      <c r="H1632" s="8" t="n"/>
      <c r="I1632" s="8" t="n"/>
      <c r="J1632" s="8" t="n"/>
      <c r="K1632" s="12">
        <f>IF(OR(ISERROR(VLOOKUP(C1632, Resultados_Reales!$A$4:$I$107, 5, FALSE)), ISERROR(VLOOKUP(C1632, Resultados_Reales!$A$4:$I$107, 6, FALSE)), VLOOKUP(C1632, Resultados_Reales!$A$4:$I$107, 5, FALSE)="", VLOOKUP(C1632, Resultados_Reales!$A$4:$I$107, 6, FALSE)=""), 0, IF(AND(VLOOKUP(C1632, Resultados_Reales!$A$4:$I$107, 5, FALSE)=G1632, VLOOKUP(C1632, Resultados_Reales!$A$4:$I$107, 6, FALSE)=H1632), Configuracion!$B$5, IF(SIGN(VLOOKUP(C1632, Resultados_Reales!$A$4:$I$107, 5, FALSE)-VLOOKUP(C1632, Resultados_Reales!$A$4:$I$107, 6, FALSE)) = SIGN(G1632-H1632), Configuracion!$B$4, 0)))</f>
        <v/>
      </c>
      <c r="L1632" s="11" t="n"/>
      <c r="M1632" s="11" t="n"/>
      <c r="N1632" s="11" t="n"/>
      <c r="O1632" s="11" t="n"/>
      <c r="P1632" s="11" t="n"/>
      <c r="Q1632" s="11" t="n"/>
    </row>
    <row r="1633">
      <c r="A1633" s="8">
        <f>B1633&amp;"_"&amp;C1633</f>
        <v/>
      </c>
      <c r="B1633" s="8" t="n"/>
      <c r="C1633" s="8" t="n"/>
      <c r="D1633" s="8" t="n"/>
      <c r="E1633" s="11" t="n"/>
      <c r="F1633" s="11" t="n"/>
      <c r="G1633" s="8" t="n"/>
      <c r="H1633" s="8" t="n"/>
      <c r="I1633" s="8" t="n"/>
      <c r="J1633" s="8" t="n"/>
      <c r="K1633" s="12">
        <f>IF(OR(ISERROR(VLOOKUP(C1633, Resultados_Reales!$A$4:$I$107, 5, FALSE)), ISERROR(VLOOKUP(C1633, Resultados_Reales!$A$4:$I$107, 6, FALSE)), VLOOKUP(C1633, Resultados_Reales!$A$4:$I$107, 5, FALSE)="", VLOOKUP(C1633, Resultados_Reales!$A$4:$I$107, 6, FALSE)=""), 0, IF(AND(VLOOKUP(C1633, Resultados_Reales!$A$4:$I$107, 5, FALSE)=G1633, VLOOKUP(C1633, Resultados_Reales!$A$4:$I$107, 6, FALSE)=H1633), Configuracion!$B$5, IF(SIGN(VLOOKUP(C1633, Resultados_Reales!$A$4:$I$107, 5, FALSE)-VLOOKUP(C1633, Resultados_Reales!$A$4:$I$107, 6, FALSE)) = SIGN(G1633-H1633), Configuracion!$B$4, 0)))</f>
        <v/>
      </c>
      <c r="L1633" s="11" t="n"/>
      <c r="M1633" s="11" t="n"/>
      <c r="N1633" s="11" t="n"/>
      <c r="O1633" s="11" t="n"/>
      <c r="P1633" s="11" t="n"/>
      <c r="Q1633" s="11" t="n"/>
    </row>
    <row r="1634">
      <c r="A1634" s="8">
        <f>B1634&amp;"_"&amp;C1634</f>
        <v/>
      </c>
      <c r="B1634" s="8" t="n"/>
      <c r="C1634" s="8" t="n"/>
      <c r="D1634" s="8" t="n"/>
      <c r="E1634" s="11" t="n"/>
      <c r="F1634" s="11" t="n"/>
      <c r="G1634" s="8" t="n"/>
      <c r="H1634" s="8" t="n"/>
      <c r="I1634" s="8" t="n"/>
      <c r="J1634" s="8" t="n"/>
      <c r="K1634" s="12">
        <f>IF(OR(ISERROR(VLOOKUP(C1634, Resultados_Reales!$A$4:$I$107, 5, FALSE)), ISERROR(VLOOKUP(C1634, Resultados_Reales!$A$4:$I$107, 6, FALSE)), VLOOKUP(C1634, Resultados_Reales!$A$4:$I$107, 5, FALSE)="", VLOOKUP(C1634, Resultados_Reales!$A$4:$I$107, 6, FALSE)=""), 0, IF(AND(VLOOKUP(C1634, Resultados_Reales!$A$4:$I$107, 5, FALSE)=G1634, VLOOKUP(C1634, Resultados_Reales!$A$4:$I$107, 6, FALSE)=H1634), Configuracion!$B$5, IF(SIGN(VLOOKUP(C1634, Resultados_Reales!$A$4:$I$107, 5, FALSE)-VLOOKUP(C1634, Resultados_Reales!$A$4:$I$107, 6, FALSE)) = SIGN(G1634-H1634), Configuracion!$B$4, 0)))</f>
        <v/>
      </c>
      <c r="L1634" s="11" t="n"/>
      <c r="M1634" s="11" t="n"/>
      <c r="N1634" s="11" t="n"/>
      <c r="O1634" s="11" t="n"/>
      <c r="P1634" s="11" t="n"/>
      <c r="Q1634" s="11" t="n"/>
    </row>
    <row r="1635">
      <c r="A1635" s="8">
        <f>B1635&amp;"_"&amp;C1635</f>
        <v/>
      </c>
      <c r="B1635" s="8" t="n"/>
      <c r="C1635" s="8" t="n"/>
      <c r="D1635" s="8" t="n"/>
      <c r="E1635" s="11" t="n"/>
      <c r="F1635" s="11" t="n"/>
      <c r="G1635" s="8" t="n"/>
      <c r="H1635" s="8" t="n"/>
      <c r="I1635" s="8" t="n"/>
      <c r="J1635" s="8" t="n"/>
      <c r="K1635" s="12">
        <f>IF(OR(ISERROR(VLOOKUP(C1635, Resultados_Reales!$A$4:$I$107, 5, FALSE)), ISERROR(VLOOKUP(C1635, Resultados_Reales!$A$4:$I$107, 6, FALSE)), VLOOKUP(C1635, Resultados_Reales!$A$4:$I$107, 5, FALSE)="", VLOOKUP(C1635, Resultados_Reales!$A$4:$I$107, 6, FALSE)=""), 0, IF(AND(VLOOKUP(C1635, Resultados_Reales!$A$4:$I$107, 5, FALSE)=G1635, VLOOKUP(C1635, Resultados_Reales!$A$4:$I$107, 6, FALSE)=H1635), Configuracion!$B$5, IF(SIGN(VLOOKUP(C1635, Resultados_Reales!$A$4:$I$107, 5, FALSE)-VLOOKUP(C1635, Resultados_Reales!$A$4:$I$107, 6, FALSE)) = SIGN(G1635-H1635), Configuracion!$B$4, 0)))</f>
        <v/>
      </c>
      <c r="L1635" s="11" t="n"/>
      <c r="M1635" s="11" t="n"/>
      <c r="N1635" s="11" t="n"/>
      <c r="O1635" s="11" t="n"/>
      <c r="P1635" s="11" t="n"/>
      <c r="Q1635" s="11" t="n"/>
    </row>
    <row r="1636">
      <c r="A1636" s="8">
        <f>B1636&amp;"_"&amp;C1636</f>
        <v/>
      </c>
      <c r="B1636" s="8" t="n"/>
      <c r="C1636" s="8" t="n"/>
      <c r="D1636" s="8" t="n"/>
      <c r="E1636" s="11" t="n"/>
      <c r="F1636" s="11" t="n"/>
      <c r="G1636" s="8" t="n"/>
      <c r="H1636" s="8" t="n"/>
      <c r="I1636" s="8" t="n"/>
      <c r="J1636" s="8" t="n"/>
      <c r="K1636" s="12">
        <f>IF(OR(ISERROR(VLOOKUP(C1636, Resultados_Reales!$A$4:$I$107, 5, FALSE)), ISERROR(VLOOKUP(C1636, Resultados_Reales!$A$4:$I$107, 6, FALSE)), VLOOKUP(C1636, Resultados_Reales!$A$4:$I$107, 5, FALSE)="", VLOOKUP(C1636, Resultados_Reales!$A$4:$I$107, 6, FALSE)=""), 0, IF(AND(VLOOKUP(C1636, Resultados_Reales!$A$4:$I$107, 5, FALSE)=G1636, VLOOKUP(C1636, Resultados_Reales!$A$4:$I$107, 6, FALSE)=H1636), Configuracion!$B$5, IF(SIGN(VLOOKUP(C1636, Resultados_Reales!$A$4:$I$107, 5, FALSE)-VLOOKUP(C1636, Resultados_Reales!$A$4:$I$107, 6, FALSE)) = SIGN(G1636-H1636), Configuracion!$B$4, 0)))</f>
        <v/>
      </c>
      <c r="L1636" s="11" t="n"/>
      <c r="M1636" s="11" t="n"/>
      <c r="N1636" s="11" t="n"/>
      <c r="O1636" s="11" t="n"/>
      <c r="P1636" s="11" t="n"/>
      <c r="Q1636" s="11" t="n"/>
    </row>
    <row r="1637">
      <c r="A1637" s="8">
        <f>B1637&amp;"_"&amp;C1637</f>
        <v/>
      </c>
      <c r="B1637" s="8" t="n"/>
      <c r="C1637" s="8" t="n"/>
      <c r="D1637" s="8" t="n"/>
      <c r="E1637" s="11" t="n"/>
      <c r="F1637" s="11" t="n"/>
      <c r="G1637" s="8" t="n"/>
      <c r="H1637" s="8" t="n"/>
      <c r="I1637" s="8" t="n"/>
      <c r="J1637" s="8" t="n"/>
      <c r="K1637" s="12">
        <f>IF(OR(ISERROR(VLOOKUP(C1637, Resultados_Reales!$A$4:$I$107, 5, FALSE)), ISERROR(VLOOKUP(C1637, Resultados_Reales!$A$4:$I$107, 6, FALSE)), VLOOKUP(C1637, Resultados_Reales!$A$4:$I$107, 5, FALSE)="", VLOOKUP(C1637, Resultados_Reales!$A$4:$I$107, 6, FALSE)=""), 0, IF(AND(VLOOKUP(C1637, Resultados_Reales!$A$4:$I$107, 5, FALSE)=G1637, VLOOKUP(C1637, Resultados_Reales!$A$4:$I$107, 6, FALSE)=H1637), Configuracion!$B$5, IF(SIGN(VLOOKUP(C1637, Resultados_Reales!$A$4:$I$107, 5, FALSE)-VLOOKUP(C1637, Resultados_Reales!$A$4:$I$107, 6, FALSE)) = SIGN(G1637-H1637), Configuracion!$B$4, 0)))</f>
        <v/>
      </c>
      <c r="L1637" s="11" t="n"/>
      <c r="M1637" s="11" t="n"/>
      <c r="N1637" s="11" t="n"/>
      <c r="O1637" s="11" t="n"/>
      <c r="P1637" s="11" t="n"/>
      <c r="Q1637" s="11" t="n"/>
    </row>
    <row r="1638">
      <c r="A1638" s="8">
        <f>B1638&amp;"_"&amp;C1638</f>
        <v/>
      </c>
      <c r="B1638" s="8" t="n"/>
      <c r="C1638" s="8" t="n"/>
      <c r="D1638" s="8" t="n"/>
      <c r="E1638" s="11" t="n"/>
      <c r="F1638" s="11" t="n"/>
      <c r="G1638" s="8" t="n"/>
      <c r="H1638" s="8" t="n"/>
      <c r="I1638" s="8" t="n"/>
      <c r="J1638" s="8" t="n"/>
      <c r="K1638" s="12">
        <f>IF(OR(ISERROR(VLOOKUP(C1638, Resultados_Reales!$A$4:$I$107, 5, FALSE)), ISERROR(VLOOKUP(C1638, Resultados_Reales!$A$4:$I$107, 6, FALSE)), VLOOKUP(C1638, Resultados_Reales!$A$4:$I$107, 5, FALSE)="", VLOOKUP(C1638, Resultados_Reales!$A$4:$I$107, 6, FALSE)=""), 0, IF(AND(VLOOKUP(C1638, Resultados_Reales!$A$4:$I$107, 5, FALSE)=G1638, VLOOKUP(C1638, Resultados_Reales!$A$4:$I$107, 6, FALSE)=H1638), Configuracion!$B$5, IF(SIGN(VLOOKUP(C1638, Resultados_Reales!$A$4:$I$107, 5, FALSE)-VLOOKUP(C1638, Resultados_Reales!$A$4:$I$107, 6, FALSE)) = SIGN(G1638-H1638), Configuracion!$B$4, 0)))</f>
        <v/>
      </c>
      <c r="L1638" s="11" t="n"/>
      <c r="M1638" s="11" t="n"/>
      <c r="N1638" s="11" t="n"/>
      <c r="O1638" s="11" t="n"/>
      <c r="P1638" s="11" t="n"/>
      <c r="Q1638" s="11" t="n"/>
    </row>
    <row r="1639">
      <c r="A1639" s="8">
        <f>B1639&amp;"_"&amp;C1639</f>
        <v/>
      </c>
      <c r="B1639" s="8" t="n"/>
      <c r="C1639" s="8" t="n"/>
      <c r="D1639" s="8" t="n"/>
      <c r="E1639" s="11" t="n"/>
      <c r="F1639" s="11" t="n"/>
      <c r="G1639" s="8" t="n"/>
      <c r="H1639" s="8" t="n"/>
      <c r="I1639" s="8" t="n"/>
      <c r="J1639" s="8" t="n"/>
      <c r="K1639" s="12">
        <f>IF(OR(ISERROR(VLOOKUP(C1639, Resultados_Reales!$A$4:$I$107, 5, FALSE)), ISERROR(VLOOKUP(C1639, Resultados_Reales!$A$4:$I$107, 6, FALSE)), VLOOKUP(C1639, Resultados_Reales!$A$4:$I$107, 5, FALSE)="", VLOOKUP(C1639, Resultados_Reales!$A$4:$I$107, 6, FALSE)=""), 0, IF(AND(VLOOKUP(C1639, Resultados_Reales!$A$4:$I$107, 5, FALSE)=G1639, VLOOKUP(C1639, Resultados_Reales!$A$4:$I$107, 6, FALSE)=H1639), Configuracion!$B$5, IF(SIGN(VLOOKUP(C1639, Resultados_Reales!$A$4:$I$107, 5, FALSE)-VLOOKUP(C1639, Resultados_Reales!$A$4:$I$107, 6, FALSE)) = SIGN(G1639-H1639), Configuracion!$B$4, 0)))</f>
        <v/>
      </c>
      <c r="L1639" s="11" t="n"/>
      <c r="M1639" s="11" t="n"/>
      <c r="N1639" s="11" t="n"/>
      <c r="O1639" s="11" t="n"/>
      <c r="P1639" s="11" t="n"/>
      <c r="Q1639" s="11" t="n"/>
    </row>
    <row r="1640">
      <c r="A1640" s="8">
        <f>B1640&amp;"_"&amp;C1640</f>
        <v/>
      </c>
      <c r="B1640" s="8" t="n"/>
      <c r="C1640" s="8" t="n"/>
      <c r="D1640" s="8" t="n"/>
      <c r="E1640" s="11" t="n"/>
      <c r="F1640" s="11" t="n"/>
      <c r="G1640" s="8" t="n"/>
      <c r="H1640" s="8" t="n"/>
      <c r="I1640" s="8" t="n"/>
      <c r="J1640" s="8" t="n"/>
      <c r="K1640" s="12">
        <f>IF(OR(ISERROR(VLOOKUP(C1640, Resultados_Reales!$A$4:$I$107, 5, FALSE)), ISERROR(VLOOKUP(C1640, Resultados_Reales!$A$4:$I$107, 6, FALSE)), VLOOKUP(C1640, Resultados_Reales!$A$4:$I$107, 5, FALSE)="", VLOOKUP(C1640, Resultados_Reales!$A$4:$I$107, 6, FALSE)=""), 0, IF(AND(VLOOKUP(C1640, Resultados_Reales!$A$4:$I$107, 5, FALSE)=G1640, VLOOKUP(C1640, Resultados_Reales!$A$4:$I$107, 6, FALSE)=H1640), Configuracion!$B$5, IF(SIGN(VLOOKUP(C1640, Resultados_Reales!$A$4:$I$107, 5, FALSE)-VLOOKUP(C1640, Resultados_Reales!$A$4:$I$107, 6, FALSE)) = SIGN(G1640-H1640), Configuracion!$B$4, 0)))</f>
        <v/>
      </c>
      <c r="L1640" s="11" t="n"/>
      <c r="M1640" s="11" t="n"/>
      <c r="N1640" s="11" t="n"/>
      <c r="O1640" s="11" t="n"/>
      <c r="P1640" s="11" t="n"/>
      <c r="Q1640" s="11" t="n"/>
    </row>
    <row r="1641">
      <c r="A1641" s="8">
        <f>B1641&amp;"_"&amp;C1641</f>
        <v/>
      </c>
      <c r="B1641" s="8" t="n"/>
      <c r="C1641" s="8" t="n"/>
      <c r="D1641" s="8" t="n"/>
      <c r="E1641" s="11" t="n"/>
      <c r="F1641" s="11" t="n"/>
      <c r="G1641" s="8" t="n"/>
      <c r="H1641" s="8" t="n"/>
      <c r="I1641" s="8" t="n"/>
      <c r="J1641" s="8" t="n"/>
      <c r="K1641" s="12">
        <f>IF(OR(ISERROR(VLOOKUP(C1641, Resultados_Reales!$A$4:$I$107, 5, FALSE)), ISERROR(VLOOKUP(C1641, Resultados_Reales!$A$4:$I$107, 6, FALSE)), VLOOKUP(C1641, Resultados_Reales!$A$4:$I$107, 5, FALSE)="", VLOOKUP(C1641, Resultados_Reales!$A$4:$I$107, 6, FALSE)=""), 0, IF(AND(VLOOKUP(C1641, Resultados_Reales!$A$4:$I$107, 5, FALSE)=G1641, VLOOKUP(C1641, Resultados_Reales!$A$4:$I$107, 6, FALSE)=H1641), Configuracion!$B$5, IF(SIGN(VLOOKUP(C1641, Resultados_Reales!$A$4:$I$107, 5, FALSE)-VLOOKUP(C1641, Resultados_Reales!$A$4:$I$107, 6, FALSE)) = SIGN(G1641-H1641), Configuracion!$B$4, 0)))</f>
        <v/>
      </c>
      <c r="L1641" s="11" t="n"/>
      <c r="M1641" s="11" t="n"/>
      <c r="N1641" s="11" t="n"/>
      <c r="O1641" s="11" t="n"/>
      <c r="P1641" s="11" t="n"/>
      <c r="Q1641" s="11" t="n"/>
    </row>
    <row r="1642">
      <c r="A1642" s="8">
        <f>B1642&amp;"_"&amp;C1642</f>
        <v/>
      </c>
      <c r="B1642" s="8" t="n"/>
      <c r="C1642" s="8" t="n"/>
      <c r="D1642" s="8" t="n"/>
      <c r="E1642" s="11" t="n"/>
      <c r="F1642" s="11" t="n"/>
      <c r="G1642" s="8" t="n"/>
      <c r="H1642" s="8" t="n"/>
      <c r="I1642" s="8" t="n"/>
      <c r="J1642" s="8" t="n"/>
      <c r="K1642" s="12">
        <f>IF(OR(ISERROR(VLOOKUP(C1642, Resultados_Reales!$A$4:$I$107, 5, FALSE)), ISERROR(VLOOKUP(C1642, Resultados_Reales!$A$4:$I$107, 6, FALSE)), VLOOKUP(C1642, Resultados_Reales!$A$4:$I$107, 5, FALSE)="", VLOOKUP(C1642, Resultados_Reales!$A$4:$I$107, 6, FALSE)=""), 0, IF(AND(VLOOKUP(C1642, Resultados_Reales!$A$4:$I$107, 5, FALSE)=G1642, VLOOKUP(C1642, Resultados_Reales!$A$4:$I$107, 6, FALSE)=H1642), Configuracion!$B$5, IF(SIGN(VLOOKUP(C1642, Resultados_Reales!$A$4:$I$107, 5, FALSE)-VLOOKUP(C1642, Resultados_Reales!$A$4:$I$107, 6, FALSE)) = SIGN(G1642-H1642), Configuracion!$B$4, 0)))</f>
        <v/>
      </c>
      <c r="L1642" s="11" t="n"/>
      <c r="M1642" s="11" t="n"/>
      <c r="N1642" s="11" t="n"/>
      <c r="O1642" s="11" t="n"/>
      <c r="P1642" s="11" t="n"/>
      <c r="Q1642" s="11" t="n"/>
    </row>
    <row r="1643">
      <c r="A1643" s="8">
        <f>B1643&amp;"_"&amp;C1643</f>
        <v/>
      </c>
      <c r="B1643" s="8" t="n"/>
      <c r="C1643" s="8" t="n"/>
      <c r="D1643" s="8" t="n"/>
      <c r="E1643" s="11" t="n"/>
      <c r="F1643" s="11" t="n"/>
      <c r="G1643" s="8" t="n"/>
      <c r="H1643" s="8" t="n"/>
      <c r="I1643" s="8" t="n"/>
      <c r="J1643" s="8" t="n"/>
      <c r="K1643" s="12">
        <f>IF(OR(ISERROR(VLOOKUP(C1643, Resultados_Reales!$A$4:$I$107, 5, FALSE)), ISERROR(VLOOKUP(C1643, Resultados_Reales!$A$4:$I$107, 6, FALSE)), VLOOKUP(C1643, Resultados_Reales!$A$4:$I$107, 5, FALSE)="", VLOOKUP(C1643, Resultados_Reales!$A$4:$I$107, 6, FALSE)=""), 0, IF(AND(VLOOKUP(C1643, Resultados_Reales!$A$4:$I$107, 5, FALSE)=G1643, VLOOKUP(C1643, Resultados_Reales!$A$4:$I$107, 6, FALSE)=H1643), Configuracion!$B$5, IF(SIGN(VLOOKUP(C1643, Resultados_Reales!$A$4:$I$107, 5, FALSE)-VLOOKUP(C1643, Resultados_Reales!$A$4:$I$107, 6, FALSE)) = SIGN(G1643-H1643), Configuracion!$B$4, 0)))</f>
        <v/>
      </c>
      <c r="L1643" s="11" t="n"/>
      <c r="M1643" s="11" t="n"/>
      <c r="N1643" s="11" t="n"/>
      <c r="O1643" s="11" t="n"/>
      <c r="P1643" s="11" t="n"/>
      <c r="Q1643" s="11" t="n"/>
    </row>
    <row r="1644">
      <c r="A1644" s="8">
        <f>B1644&amp;"_"&amp;C1644</f>
        <v/>
      </c>
      <c r="B1644" s="8" t="n"/>
      <c r="C1644" s="8" t="n"/>
      <c r="D1644" s="8" t="n"/>
      <c r="E1644" s="11" t="n"/>
      <c r="F1644" s="11" t="n"/>
      <c r="G1644" s="8" t="n"/>
      <c r="H1644" s="8" t="n"/>
      <c r="I1644" s="8" t="n"/>
      <c r="J1644" s="8" t="n"/>
      <c r="K1644" s="12">
        <f>IF(OR(ISERROR(VLOOKUP(C1644, Resultados_Reales!$A$4:$I$107, 5, FALSE)), ISERROR(VLOOKUP(C1644, Resultados_Reales!$A$4:$I$107, 6, FALSE)), VLOOKUP(C1644, Resultados_Reales!$A$4:$I$107, 5, FALSE)="", VLOOKUP(C1644, Resultados_Reales!$A$4:$I$107, 6, FALSE)=""), 0, IF(AND(VLOOKUP(C1644, Resultados_Reales!$A$4:$I$107, 5, FALSE)=G1644, VLOOKUP(C1644, Resultados_Reales!$A$4:$I$107, 6, FALSE)=H1644), Configuracion!$B$5, IF(SIGN(VLOOKUP(C1644, Resultados_Reales!$A$4:$I$107, 5, FALSE)-VLOOKUP(C1644, Resultados_Reales!$A$4:$I$107, 6, FALSE)) = SIGN(G1644-H1644), Configuracion!$B$4, 0)))</f>
        <v/>
      </c>
      <c r="L1644" s="11" t="n"/>
      <c r="M1644" s="11" t="n"/>
      <c r="N1644" s="11" t="n"/>
      <c r="O1644" s="11" t="n"/>
      <c r="P1644" s="11" t="n"/>
      <c r="Q1644" s="11" t="n"/>
    </row>
    <row r="1645">
      <c r="A1645" s="8">
        <f>B1645&amp;"_"&amp;C1645</f>
        <v/>
      </c>
      <c r="B1645" s="8" t="n"/>
      <c r="C1645" s="8" t="n"/>
      <c r="D1645" s="8" t="n"/>
      <c r="E1645" s="11" t="n"/>
      <c r="F1645" s="11" t="n"/>
      <c r="G1645" s="8" t="n"/>
      <c r="H1645" s="8" t="n"/>
      <c r="I1645" s="8" t="n"/>
      <c r="J1645" s="8" t="n"/>
      <c r="K1645" s="12">
        <f>IF(OR(ISERROR(VLOOKUP(C1645, Resultados_Reales!$A$4:$I$107, 5, FALSE)), ISERROR(VLOOKUP(C1645, Resultados_Reales!$A$4:$I$107, 6, FALSE)), VLOOKUP(C1645, Resultados_Reales!$A$4:$I$107, 5, FALSE)="", VLOOKUP(C1645, Resultados_Reales!$A$4:$I$107, 6, FALSE)=""), 0, IF(AND(VLOOKUP(C1645, Resultados_Reales!$A$4:$I$107, 5, FALSE)=G1645, VLOOKUP(C1645, Resultados_Reales!$A$4:$I$107, 6, FALSE)=H1645), Configuracion!$B$5, IF(SIGN(VLOOKUP(C1645, Resultados_Reales!$A$4:$I$107, 5, FALSE)-VLOOKUP(C1645, Resultados_Reales!$A$4:$I$107, 6, FALSE)) = SIGN(G1645-H1645), Configuracion!$B$4, 0)))</f>
        <v/>
      </c>
      <c r="L1645" s="11" t="n"/>
      <c r="M1645" s="11" t="n"/>
      <c r="N1645" s="11" t="n"/>
      <c r="O1645" s="11" t="n"/>
      <c r="P1645" s="11" t="n"/>
      <c r="Q1645" s="11" t="n"/>
    </row>
    <row r="1646">
      <c r="A1646" s="8">
        <f>B1646&amp;"_"&amp;C1646</f>
        <v/>
      </c>
      <c r="B1646" s="8" t="n"/>
      <c r="C1646" s="8" t="n"/>
      <c r="D1646" s="8" t="n"/>
      <c r="E1646" s="11" t="n"/>
      <c r="F1646" s="11" t="n"/>
      <c r="G1646" s="8" t="n"/>
      <c r="H1646" s="8" t="n"/>
      <c r="I1646" s="8" t="n"/>
      <c r="J1646" s="8" t="n"/>
      <c r="K1646" s="12">
        <f>IF(OR(ISERROR(VLOOKUP(C1646, Resultados_Reales!$A$4:$I$107, 5, FALSE)), ISERROR(VLOOKUP(C1646, Resultados_Reales!$A$4:$I$107, 6, FALSE)), VLOOKUP(C1646, Resultados_Reales!$A$4:$I$107, 5, FALSE)="", VLOOKUP(C1646, Resultados_Reales!$A$4:$I$107, 6, FALSE)=""), 0, IF(AND(VLOOKUP(C1646, Resultados_Reales!$A$4:$I$107, 5, FALSE)=G1646, VLOOKUP(C1646, Resultados_Reales!$A$4:$I$107, 6, FALSE)=H1646), Configuracion!$B$5, IF(SIGN(VLOOKUP(C1646, Resultados_Reales!$A$4:$I$107, 5, FALSE)-VLOOKUP(C1646, Resultados_Reales!$A$4:$I$107, 6, FALSE)) = SIGN(G1646-H1646), Configuracion!$B$4, 0)))</f>
        <v/>
      </c>
      <c r="L1646" s="11" t="n"/>
      <c r="M1646" s="11" t="n"/>
      <c r="N1646" s="11" t="n"/>
      <c r="O1646" s="11" t="n"/>
      <c r="P1646" s="11" t="n"/>
      <c r="Q1646" s="11" t="n"/>
    </row>
    <row r="1647">
      <c r="A1647" s="8">
        <f>B1647&amp;"_"&amp;C1647</f>
        <v/>
      </c>
      <c r="B1647" s="8" t="n"/>
      <c r="C1647" s="8" t="n"/>
      <c r="D1647" s="8" t="n"/>
      <c r="E1647" s="11" t="n"/>
      <c r="F1647" s="11" t="n"/>
      <c r="G1647" s="8" t="n"/>
      <c r="H1647" s="8" t="n"/>
      <c r="I1647" s="8" t="n"/>
      <c r="J1647" s="8" t="n"/>
      <c r="K1647" s="12">
        <f>IF(OR(ISERROR(VLOOKUP(C1647, Resultados_Reales!$A$4:$I$107, 5, FALSE)), ISERROR(VLOOKUP(C1647, Resultados_Reales!$A$4:$I$107, 6, FALSE)), VLOOKUP(C1647, Resultados_Reales!$A$4:$I$107, 5, FALSE)="", VLOOKUP(C1647, Resultados_Reales!$A$4:$I$107, 6, FALSE)=""), 0, IF(AND(VLOOKUP(C1647, Resultados_Reales!$A$4:$I$107, 5, FALSE)=G1647, VLOOKUP(C1647, Resultados_Reales!$A$4:$I$107, 6, FALSE)=H1647), Configuracion!$B$5, IF(SIGN(VLOOKUP(C1647, Resultados_Reales!$A$4:$I$107, 5, FALSE)-VLOOKUP(C1647, Resultados_Reales!$A$4:$I$107, 6, FALSE)) = SIGN(G1647-H1647), Configuracion!$B$4, 0)))</f>
        <v/>
      </c>
      <c r="L1647" s="11" t="n"/>
      <c r="M1647" s="11" t="n"/>
      <c r="N1647" s="11" t="n"/>
      <c r="O1647" s="11" t="n"/>
      <c r="P1647" s="11" t="n"/>
      <c r="Q1647" s="11" t="n"/>
    </row>
    <row r="1648">
      <c r="A1648" s="8">
        <f>B1648&amp;"_"&amp;C1648</f>
        <v/>
      </c>
      <c r="B1648" s="8" t="n"/>
      <c r="C1648" s="8" t="n"/>
      <c r="D1648" s="8" t="n"/>
      <c r="E1648" s="11" t="n"/>
      <c r="F1648" s="11" t="n"/>
      <c r="G1648" s="8" t="n"/>
      <c r="H1648" s="8" t="n"/>
      <c r="I1648" s="8" t="n"/>
      <c r="J1648" s="8" t="n"/>
      <c r="K1648" s="12">
        <f>IF(OR(ISERROR(VLOOKUP(C1648, Resultados_Reales!$A$4:$I$107, 5, FALSE)), ISERROR(VLOOKUP(C1648, Resultados_Reales!$A$4:$I$107, 6, FALSE)), VLOOKUP(C1648, Resultados_Reales!$A$4:$I$107, 5, FALSE)="", VLOOKUP(C1648, Resultados_Reales!$A$4:$I$107, 6, FALSE)=""), 0, IF(AND(VLOOKUP(C1648, Resultados_Reales!$A$4:$I$107, 5, FALSE)=G1648, VLOOKUP(C1648, Resultados_Reales!$A$4:$I$107, 6, FALSE)=H1648), Configuracion!$B$5, IF(SIGN(VLOOKUP(C1648, Resultados_Reales!$A$4:$I$107, 5, FALSE)-VLOOKUP(C1648, Resultados_Reales!$A$4:$I$107, 6, FALSE)) = SIGN(G1648-H1648), Configuracion!$B$4, 0)))</f>
        <v/>
      </c>
      <c r="L1648" s="11" t="n"/>
      <c r="M1648" s="11" t="n"/>
      <c r="N1648" s="11" t="n"/>
      <c r="O1648" s="11" t="n"/>
      <c r="P1648" s="11" t="n"/>
      <c r="Q1648" s="11" t="n"/>
    </row>
    <row r="1649">
      <c r="A1649" s="8">
        <f>B1649&amp;"_"&amp;C1649</f>
        <v/>
      </c>
      <c r="B1649" s="8" t="n"/>
      <c r="C1649" s="8" t="n"/>
      <c r="D1649" s="8" t="n"/>
      <c r="E1649" s="11" t="n"/>
      <c r="F1649" s="11" t="n"/>
      <c r="G1649" s="8" t="n"/>
      <c r="H1649" s="8" t="n"/>
      <c r="I1649" s="8" t="n"/>
      <c r="J1649" s="8" t="n"/>
      <c r="K1649" s="12">
        <f>IF(OR(ISERROR(VLOOKUP(C1649, Resultados_Reales!$A$4:$I$107, 5, FALSE)), ISERROR(VLOOKUP(C1649, Resultados_Reales!$A$4:$I$107, 6, FALSE)), VLOOKUP(C1649, Resultados_Reales!$A$4:$I$107, 5, FALSE)="", VLOOKUP(C1649, Resultados_Reales!$A$4:$I$107, 6, FALSE)=""), 0, IF(AND(VLOOKUP(C1649, Resultados_Reales!$A$4:$I$107, 5, FALSE)=G1649, VLOOKUP(C1649, Resultados_Reales!$A$4:$I$107, 6, FALSE)=H1649), Configuracion!$B$5, IF(SIGN(VLOOKUP(C1649, Resultados_Reales!$A$4:$I$107, 5, FALSE)-VLOOKUP(C1649, Resultados_Reales!$A$4:$I$107, 6, FALSE)) = SIGN(G1649-H1649), Configuracion!$B$4, 0)))</f>
        <v/>
      </c>
      <c r="L1649" s="11" t="n"/>
      <c r="M1649" s="11" t="n"/>
      <c r="N1649" s="11" t="n"/>
      <c r="O1649" s="11" t="n"/>
      <c r="P1649" s="11" t="n"/>
      <c r="Q1649" s="11" t="n"/>
    </row>
    <row r="1650">
      <c r="A1650" s="8">
        <f>B1650&amp;"_"&amp;C1650</f>
        <v/>
      </c>
      <c r="B1650" s="8" t="n"/>
      <c r="C1650" s="8" t="n"/>
      <c r="D1650" s="8" t="n"/>
      <c r="E1650" s="11" t="n"/>
      <c r="F1650" s="11" t="n"/>
      <c r="G1650" s="8" t="n"/>
      <c r="H1650" s="8" t="n"/>
      <c r="I1650" s="8" t="n"/>
      <c r="J1650" s="8" t="n"/>
      <c r="K1650" s="12">
        <f>IF(OR(ISERROR(VLOOKUP(C1650, Resultados_Reales!$A$4:$I$107, 5, FALSE)), ISERROR(VLOOKUP(C1650, Resultados_Reales!$A$4:$I$107, 6, FALSE)), VLOOKUP(C1650, Resultados_Reales!$A$4:$I$107, 5, FALSE)="", VLOOKUP(C1650, Resultados_Reales!$A$4:$I$107, 6, FALSE)=""), 0, IF(AND(VLOOKUP(C1650, Resultados_Reales!$A$4:$I$107, 5, FALSE)=G1650, VLOOKUP(C1650, Resultados_Reales!$A$4:$I$107, 6, FALSE)=H1650), Configuracion!$B$5, IF(SIGN(VLOOKUP(C1650, Resultados_Reales!$A$4:$I$107, 5, FALSE)-VLOOKUP(C1650, Resultados_Reales!$A$4:$I$107, 6, FALSE)) = SIGN(G1650-H1650), Configuracion!$B$4, 0)))</f>
        <v/>
      </c>
      <c r="L1650" s="11" t="n"/>
      <c r="M1650" s="11" t="n"/>
      <c r="N1650" s="11" t="n"/>
      <c r="O1650" s="11" t="n"/>
      <c r="P1650" s="11" t="n"/>
      <c r="Q1650" s="11" t="n"/>
    </row>
    <row r="1651">
      <c r="A1651" s="8">
        <f>B1651&amp;"_"&amp;C1651</f>
        <v/>
      </c>
      <c r="B1651" s="8" t="n"/>
      <c r="C1651" s="8" t="n"/>
      <c r="D1651" s="8" t="n"/>
      <c r="E1651" s="11" t="n"/>
      <c r="F1651" s="11" t="n"/>
      <c r="G1651" s="8" t="n"/>
      <c r="H1651" s="8" t="n"/>
      <c r="I1651" s="8" t="n"/>
      <c r="J1651" s="8" t="n"/>
      <c r="K1651" s="12">
        <f>IF(OR(ISERROR(VLOOKUP(C1651, Resultados_Reales!$A$4:$I$107, 5, FALSE)), ISERROR(VLOOKUP(C1651, Resultados_Reales!$A$4:$I$107, 6, FALSE)), VLOOKUP(C1651, Resultados_Reales!$A$4:$I$107, 5, FALSE)="", VLOOKUP(C1651, Resultados_Reales!$A$4:$I$107, 6, FALSE)=""), 0, IF(AND(VLOOKUP(C1651, Resultados_Reales!$A$4:$I$107, 5, FALSE)=G1651, VLOOKUP(C1651, Resultados_Reales!$A$4:$I$107, 6, FALSE)=H1651), Configuracion!$B$5, IF(SIGN(VLOOKUP(C1651, Resultados_Reales!$A$4:$I$107, 5, FALSE)-VLOOKUP(C1651, Resultados_Reales!$A$4:$I$107, 6, FALSE)) = SIGN(G1651-H1651), Configuracion!$B$4, 0)))</f>
        <v/>
      </c>
      <c r="L1651" s="11" t="n"/>
      <c r="M1651" s="11" t="n"/>
      <c r="N1651" s="11" t="n"/>
      <c r="O1651" s="11" t="n"/>
      <c r="P1651" s="11" t="n"/>
      <c r="Q1651" s="11" t="n"/>
    </row>
    <row r="1652">
      <c r="A1652" s="8">
        <f>B1652&amp;"_"&amp;C1652</f>
        <v/>
      </c>
      <c r="B1652" s="8" t="n"/>
      <c r="C1652" s="8" t="n"/>
      <c r="D1652" s="8" t="n"/>
      <c r="E1652" s="11" t="n"/>
      <c r="F1652" s="11" t="n"/>
      <c r="G1652" s="8" t="n"/>
      <c r="H1652" s="8" t="n"/>
      <c r="I1652" s="8" t="n"/>
      <c r="J1652" s="8" t="n"/>
      <c r="K1652" s="12">
        <f>IF(OR(ISERROR(VLOOKUP(C1652, Resultados_Reales!$A$4:$I$107, 5, FALSE)), ISERROR(VLOOKUP(C1652, Resultados_Reales!$A$4:$I$107, 6, FALSE)), VLOOKUP(C1652, Resultados_Reales!$A$4:$I$107, 5, FALSE)="", VLOOKUP(C1652, Resultados_Reales!$A$4:$I$107, 6, FALSE)=""), 0, IF(AND(VLOOKUP(C1652, Resultados_Reales!$A$4:$I$107, 5, FALSE)=G1652, VLOOKUP(C1652, Resultados_Reales!$A$4:$I$107, 6, FALSE)=H1652), Configuracion!$B$5, IF(SIGN(VLOOKUP(C1652, Resultados_Reales!$A$4:$I$107, 5, FALSE)-VLOOKUP(C1652, Resultados_Reales!$A$4:$I$107, 6, FALSE)) = SIGN(G1652-H1652), Configuracion!$B$4, 0)))</f>
        <v/>
      </c>
      <c r="L1652" s="11" t="n"/>
      <c r="M1652" s="11" t="n"/>
      <c r="N1652" s="11" t="n"/>
      <c r="O1652" s="11" t="n"/>
      <c r="P1652" s="11" t="n"/>
      <c r="Q1652" s="11" t="n"/>
    </row>
    <row r="1653">
      <c r="A1653" s="8">
        <f>B1653&amp;"_"&amp;C1653</f>
        <v/>
      </c>
      <c r="B1653" s="8" t="n"/>
      <c r="C1653" s="8" t="n"/>
      <c r="D1653" s="8" t="n"/>
      <c r="E1653" s="11" t="n"/>
      <c r="F1653" s="11" t="n"/>
      <c r="G1653" s="8" t="n"/>
      <c r="H1653" s="8" t="n"/>
      <c r="I1653" s="8" t="n"/>
      <c r="J1653" s="8" t="n"/>
      <c r="K1653" s="12">
        <f>IF(OR(ISERROR(VLOOKUP(C1653, Resultados_Reales!$A$4:$I$107, 5, FALSE)), ISERROR(VLOOKUP(C1653, Resultados_Reales!$A$4:$I$107, 6, FALSE)), VLOOKUP(C1653, Resultados_Reales!$A$4:$I$107, 5, FALSE)="", VLOOKUP(C1653, Resultados_Reales!$A$4:$I$107, 6, FALSE)=""), 0, IF(AND(VLOOKUP(C1653, Resultados_Reales!$A$4:$I$107, 5, FALSE)=G1653, VLOOKUP(C1653, Resultados_Reales!$A$4:$I$107, 6, FALSE)=H1653), Configuracion!$B$5, IF(SIGN(VLOOKUP(C1653, Resultados_Reales!$A$4:$I$107, 5, FALSE)-VLOOKUP(C1653, Resultados_Reales!$A$4:$I$107, 6, FALSE)) = SIGN(G1653-H1653), Configuracion!$B$4, 0)))</f>
        <v/>
      </c>
      <c r="L1653" s="11" t="n"/>
      <c r="M1653" s="11" t="n"/>
      <c r="N1653" s="11" t="n"/>
      <c r="O1653" s="11" t="n"/>
      <c r="P1653" s="11" t="n"/>
      <c r="Q1653" s="11" t="n"/>
    </row>
    <row r="1654">
      <c r="A1654" s="8">
        <f>B1654&amp;"_"&amp;C1654</f>
        <v/>
      </c>
      <c r="B1654" s="8" t="n"/>
      <c r="C1654" s="8" t="n"/>
      <c r="D1654" s="8" t="n"/>
      <c r="E1654" s="11" t="n"/>
      <c r="F1654" s="11" t="n"/>
      <c r="G1654" s="8" t="n"/>
      <c r="H1654" s="8" t="n"/>
      <c r="I1654" s="8" t="n"/>
      <c r="J1654" s="8" t="n"/>
      <c r="K1654" s="12">
        <f>IF(OR(ISERROR(VLOOKUP(C1654, Resultados_Reales!$A$4:$I$107, 5, FALSE)), ISERROR(VLOOKUP(C1654, Resultados_Reales!$A$4:$I$107, 6, FALSE)), VLOOKUP(C1654, Resultados_Reales!$A$4:$I$107, 5, FALSE)="", VLOOKUP(C1654, Resultados_Reales!$A$4:$I$107, 6, FALSE)=""), 0, IF(AND(VLOOKUP(C1654, Resultados_Reales!$A$4:$I$107, 5, FALSE)=G1654, VLOOKUP(C1654, Resultados_Reales!$A$4:$I$107, 6, FALSE)=H1654), Configuracion!$B$5, IF(SIGN(VLOOKUP(C1654, Resultados_Reales!$A$4:$I$107, 5, FALSE)-VLOOKUP(C1654, Resultados_Reales!$A$4:$I$107, 6, FALSE)) = SIGN(G1654-H1654), Configuracion!$B$4, 0)))</f>
        <v/>
      </c>
      <c r="L1654" s="11" t="n"/>
      <c r="M1654" s="11" t="n"/>
      <c r="N1654" s="11" t="n"/>
      <c r="O1654" s="11" t="n"/>
      <c r="P1654" s="11" t="n"/>
      <c r="Q1654" s="11" t="n"/>
    </row>
    <row r="1655">
      <c r="A1655" s="8">
        <f>B1655&amp;"_"&amp;C1655</f>
        <v/>
      </c>
      <c r="B1655" s="8" t="n"/>
      <c r="C1655" s="8" t="n"/>
      <c r="D1655" s="8" t="n"/>
      <c r="E1655" s="11" t="n"/>
      <c r="F1655" s="11" t="n"/>
      <c r="G1655" s="8" t="n"/>
      <c r="H1655" s="8" t="n"/>
      <c r="I1655" s="8" t="n"/>
      <c r="J1655" s="8" t="n"/>
      <c r="K1655" s="12">
        <f>IF(OR(ISERROR(VLOOKUP(C1655, Resultados_Reales!$A$4:$I$107, 5, FALSE)), ISERROR(VLOOKUP(C1655, Resultados_Reales!$A$4:$I$107, 6, FALSE)), VLOOKUP(C1655, Resultados_Reales!$A$4:$I$107, 5, FALSE)="", VLOOKUP(C1655, Resultados_Reales!$A$4:$I$107, 6, FALSE)=""), 0, IF(AND(VLOOKUP(C1655, Resultados_Reales!$A$4:$I$107, 5, FALSE)=G1655, VLOOKUP(C1655, Resultados_Reales!$A$4:$I$107, 6, FALSE)=H1655), Configuracion!$B$5, IF(SIGN(VLOOKUP(C1655, Resultados_Reales!$A$4:$I$107, 5, FALSE)-VLOOKUP(C1655, Resultados_Reales!$A$4:$I$107, 6, FALSE)) = SIGN(G1655-H1655), Configuracion!$B$4, 0)))</f>
        <v/>
      </c>
      <c r="L1655" s="11" t="n"/>
      <c r="M1655" s="11" t="n"/>
      <c r="N1655" s="11" t="n"/>
      <c r="O1655" s="11" t="n"/>
      <c r="P1655" s="11" t="n"/>
      <c r="Q1655" s="11" t="n"/>
    </row>
    <row r="1656">
      <c r="A1656" s="8">
        <f>B1656&amp;"_"&amp;C1656</f>
        <v/>
      </c>
      <c r="B1656" s="8" t="n"/>
      <c r="C1656" s="8" t="n"/>
      <c r="D1656" s="8" t="n"/>
      <c r="E1656" s="11" t="n"/>
      <c r="F1656" s="11" t="n"/>
      <c r="G1656" s="8" t="n"/>
      <c r="H1656" s="8" t="n"/>
      <c r="I1656" s="8" t="n"/>
      <c r="J1656" s="8" t="n"/>
      <c r="K1656" s="12">
        <f>IF(OR(ISERROR(VLOOKUP(C1656, Resultados_Reales!$A$4:$I$107, 5, FALSE)), ISERROR(VLOOKUP(C1656, Resultados_Reales!$A$4:$I$107, 6, FALSE)), VLOOKUP(C1656, Resultados_Reales!$A$4:$I$107, 5, FALSE)="", VLOOKUP(C1656, Resultados_Reales!$A$4:$I$107, 6, FALSE)=""), 0, IF(AND(VLOOKUP(C1656, Resultados_Reales!$A$4:$I$107, 5, FALSE)=G1656, VLOOKUP(C1656, Resultados_Reales!$A$4:$I$107, 6, FALSE)=H1656), Configuracion!$B$5, IF(SIGN(VLOOKUP(C1656, Resultados_Reales!$A$4:$I$107, 5, FALSE)-VLOOKUP(C1656, Resultados_Reales!$A$4:$I$107, 6, FALSE)) = SIGN(G1656-H1656), Configuracion!$B$4, 0)))</f>
        <v/>
      </c>
      <c r="L1656" s="11" t="n"/>
      <c r="M1656" s="11" t="n"/>
      <c r="N1656" s="11" t="n"/>
      <c r="O1656" s="11" t="n"/>
      <c r="P1656" s="11" t="n"/>
      <c r="Q1656" s="11" t="n"/>
    </row>
    <row r="1657">
      <c r="A1657" s="8">
        <f>B1657&amp;"_"&amp;C1657</f>
        <v/>
      </c>
      <c r="B1657" s="8" t="n"/>
      <c r="C1657" s="8" t="n"/>
      <c r="D1657" s="8" t="n"/>
      <c r="E1657" s="11" t="n"/>
      <c r="F1657" s="11" t="n"/>
      <c r="G1657" s="8" t="n"/>
      <c r="H1657" s="8" t="n"/>
      <c r="I1657" s="8" t="n"/>
      <c r="J1657" s="8" t="n"/>
      <c r="K1657" s="12">
        <f>IF(OR(ISERROR(VLOOKUP(C1657, Resultados_Reales!$A$4:$I$107, 5, FALSE)), ISERROR(VLOOKUP(C1657, Resultados_Reales!$A$4:$I$107, 6, FALSE)), VLOOKUP(C1657, Resultados_Reales!$A$4:$I$107, 5, FALSE)="", VLOOKUP(C1657, Resultados_Reales!$A$4:$I$107, 6, FALSE)=""), 0, IF(AND(VLOOKUP(C1657, Resultados_Reales!$A$4:$I$107, 5, FALSE)=G1657, VLOOKUP(C1657, Resultados_Reales!$A$4:$I$107, 6, FALSE)=H1657), Configuracion!$B$5, IF(SIGN(VLOOKUP(C1657, Resultados_Reales!$A$4:$I$107, 5, FALSE)-VLOOKUP(C1657, Resultados_Reales!$A$4:$I$107, 6, FALSE)) = SIGN(G1657-H1657), Configuracion!$B$4, 0)))</f>
        <v/>
      </c>
      <c r="L1657" s="11" t="n"/>
      <c r="M1657" s="11" t="n"/>
      <c r="N1657" s="11" t="n"/>
      <c r="O1657" s="11" t="n"/>
      <c r="P1657" s="11" t="n"/>
      <c r="Q1657" s="11" t="n"/>
    </row>
    <row r="1658">
      <c r="A1658" s="8">
        <f>B1658&amp;"_"&amp;C1658</f>
        <v/>
      </c>
      <c r="B1658" s="8" t="n"/>
      <c r="C1658" s="8" t="n"/>
      <c r="D1658" s="8" t="n"/>
      <c r="E1658" s="11" t="n"/>
      <c r="F1658" s="11" t="n"/>
      <c r="G1658" s="8" t="n"/>
      <c r="H1658" s="8" t="n"/>
      <c r="I1658" s="8" t="n"/>
      <c r="J1658" s="8" t="n"/>
      <c r="K1658" s="12">
        <f>IF(OR(ISERROR(VLOOKUP(C1658, Resultados_Reales!$A$4:$I$107, 5, FALSE)), ISERROR(VLOOKUP(C1658, Resultados_Reales!$A$4:$I$107, 6, FALSE)), VLOOKUP(C1658, Resultados_Reales!$A$4:$I$107, 5, FALSE)="", VLOOKUP(C1658, Resultados_Reales!$A$4:$I$107, 6, FALSE)=""), 0, IF(AND(VLOOKUP(C1658, Resultados_Reales!$A$4:$I$107, 5, FALSE)=G1658, VLOOKUP(C1658, Resultados_Reales!$A$4:$I$107, 6, FALSE)=H1658), Configuracion!$B$5, IF(SIGN(VLOOKUP(C1658, Resultados_Reales!$A$4:$I$107, 5, FALSE)-VLOOKUP(C1658, Resultados_Reales!$A$4:$I$107, 6, FALSE)) = SIGN(G1658-H1658), Configuracion!$B$4, 0)))</f>
        <v/>
      </c>
      <c r="L1658" s="11" t="n"/>
      <c r="M1658" s="11" t="n"/>
      <c r="N1658" s="11" t="n"/>
      <c r="O1658" s="11" t="n"/>
      <c r="P1658" s="11" t="n"/>
      <c r="Q1658" s="11" t="n"/>
    </row>
    <row r="1659">
      <c r="A1659" s="8">
        <f>B1659&amp;"_"&amp;C1659</f>
        <v/>
      </c>
      <c r="B1659" s="8" t="n"/>
      <c r="C1659" s="8" t="n"/>
      <c r="D1659" s="8" t="n"/>
      <c r="E1659" s="11" t="n"/>
      <c r="F1659" s="11" t="n"/>
      <c r="G1659" s="8" t="n"/>
      <c r="H1659" s="8" t="n"/>
      <c r="I1659" s="8" t="n"/>
      <c r="J1659" s="8" t="n"/>
      <c r="K1659" s="12">
        <f>IF(OR(ISERROR(VLOOKUP(C1659, Resultados_Reales!$A$4:$I$107, 5, FALSE)), ISERROR(VLOOKUP(C1659, Resultados_Reales!$A$4:$I$107, 6, FALSE)), VLOOKUP(C1659, Resultados_Reales!$A$4:$I$107, 5, FALSE)="", VLOOKUP(C1659, Resultados_Reales!$A$4:$I$107, 6, FALSE)=""), 0, IF(AND(VLOOKUP(C1659, Resultados_Reales!$A$4:$I$107, 5, FALSE)=G1659, VLOOKUP(C1659, Resultados_Reales!$A$4:$I$107, 6, FALSE)=H1659), Configuracion!$B$5, IF(SIGN(VLOOKUP(C1659, Resultados_Reales!$A$4:$I$107, 5, FALSE)-VLOOKUP(C1659, Resultados_Reales!$A$4:$I$107, 6, FALSE)) = SIGN(G1659-H1659), Configuracion!$B$4, 0)))</f>
        <v/>
      </c>
      <c r="L1659" s="11" t="n"/>
      <c r="M1659" s="11" t="n"/>
      <c r="N1659" s="11" t="n"/>
      <c r="O1659" s="11" t="n"/>
      <c r="P1659" s="11" t="n"/>
      <c r="Q1659" s="11" t="n"/>
    </row>
    <row r="1660">
      <c r="A1660" s="8">
        <f>B1660&amp;"_"&amp;C1660</f>
        <v/>
      </c>
      <c r="B1660" s="8" t="n"/>
      <c r="C1660" s="8" t="n"/>
      <c r="D1660" s="8" t="n"/>
      <c r="E1660" s="11" t="n"/>
      <c r="F1660" s="11" t="n"/>
      <c r="G1660" s="8" t="n"/>
      <c r="H1660" s="8" t="n"/>
      <c r="I1660" s="8" t="n"/>
      <c r="J1660" s="8" t="n"/>
      <c r="K1660" s="12">
        <f>IF(OR(ISERROR(VLOOKUP(C1660, Resultados_Reales!$A$4:$I$107, 5, FALSE)), ISERROR(VLOOKUP(C1660, Resultados_Reales!$A$4:$I$107, 6, FALSE)), VLOOKUP(C1660, Resultados_Reales!$A$4:$I$107, 5, FALSE)="", VLOOKUP(C1660, Resultados_Reales!$A$4:$I$107, 6, FALSE)=""), 0, IF(AND(VLOOKUP(C1660, Resultados_Reales!$A$4:$I$107, 5, FALSE)=G1660, VLOOKUP(C1660, Resultados_Reales!$A$4:$I$107, 6, FALSE)=H1660), Configuracion!$B$5, IF(SIGN(VLOOKUP(C1660, Resultados_Reales!$A$4:$I$107, 5, FALSE)-VLOOKUP(C1660, Resultados_Reales!$A$4:$I$107, 6, FALSE)) = SIGN(G1660-H1660), Configuracion!$B$4, 0)))</f>
        <v/>
      </c>
      <c r="L1660" s="11" t="n"/>
      <c r="M1660" s="11" t="n"/>
      <c r="N1660" s="11" t="n"/>
      <c r="O1660" s="11" t="n"/>
      <c r="P1660" s="11" t="n"/>
      <c r="Q1660" s="11" t="n"/>
    </row>
    <row r="1661">
      <c r="A1661" s="8">
        <f>B1661&amp;"_"&amp;C1661</f>
        <v/>
      </c>
      <c r="B1661" s="8" t="n"/>
      <c r="C1661" s="8" t="n"/>
      <c r="D1661" s="8" t="n"/>
      <c r="E1661" s="11" t="n"/>
      <c r="F1661" s="11" t="n"/>
      <c r="G1661" s="8" t="n"/>
      <c r="H1661" s="8" t="n"/>
      <c r="I1661" s="8" t="n"/>
      <c r="J1661" s="8" t="n"/>
      <c r="K1661" s="12">
        <f>IF(OR(ISERROR(VLOOKUP(C1661, Resultados_Reales!$A$4:$I$107, 5, FALSE)), ISERROR(VLOOKUP(C1661, Resultados_Reales!$A$4:$I$107, 6, FALSE)), VLOOKUP(C1661, Resultados_Reales!$A$4:$I$107, 5, FALSE)="", VLOOKUP(C1661, Resultados_Reales!$A$4:$I$107, 6, FALSE)=""), 0, IF(AND(VLOOKUP(C1661, Resultados_Reales!$A$4:$I$107, 5, FALSE)=G1661, VLOOKUP(C1661, Resultados_Reales!$A$4:$I$107, 6, FALSE)=H1661), Configuracion!$B$5, IF(SIGN(VLOOKUP(C1661, Resultados_Reales!$A$4:$I$107, 5, FALSE)-VLOOKUP(C1661, Resultados_Reales!$A$4:$I$107, 6, FALSE)) = SIGN(G1661-H1661), Configuracion!$B$4, 0)))</f>
        <v/>
      </c>
      <c r="L1661" s="11" t="n"/>
      <c r="M1661" s="11" t="n"/>
      <c r="N1661" s="11" t="n"/>
      <c r="O1661" s="11" t="n"/>
      <c r="P1661" s="11" t="n"/>
      <c r="Q1661" s="11" t="n"/>
    </row>
    <row r="1662">
      <c r="A1662" s="8">
        <f>B1662&amp;"_"&amp;C1662</f>
        <v/>
      </c>
      <c r="B1662" s="8" t="n"/>
      <c r="C1662" s="8" t="n"/>
      <c r="D1662" s="8" t="n"/>
      <c r="E1662" s="11" t="n"/>
      <c r="F1662" s="11" t="n"/>
      <c r="G1662" s="8" t="n"/>
      <c r="H1662" s="8" t="n"/>
      <c r="I1662" s="8" t="n"/>
      <c r="J1662" s="8" t="n"/>
      <c r="K1662" s="12">
        <f>IF(OR(ISERROR(VLOOKUP(C1662, Resultados_Reales!$A$4:$I$107, 5, FALSE)), ISERROR(VLOOKUP(C1662, Resultados_Reales!$A$4:$I$107, 6, FALSE)), VLOOKUP(C1662, Resultados_Reales!$A$4:$I$107, 5, FALSE)="", VLOOKUP(C1662, Resultados_Reales!$A$4:$I$107, 6, FALSE)=""), 0, IF(AND(VLOOKUP(C1662, Resultados_Reales!$A$4:$I$107, 5, FALSE)=G1662, VLOOKUP(C1662, Resultados_Reales!$A$4:$I$107, 6, FALSE)=H1662), Configuracion!$B$5, IF(SIGN(VLOOKUP(C1662, Resultados_Reales!$A$4:$I$107, 5, FALSE)-VLOOKUP(C1662, Resultados_Reales!$A$4:$I$107, 6, FALSE)) = SIGN(G1662-H1662), Configuracion!$B$4, 0)))</f>
        <v/>
      </c>
      <c r="L1662" s="11" t="n"/>
      <c r="M1662" s="11" t="n"/>
      <c r="N1662" s="11" t="n"/>
      <c r="O1662" s="11" t="n"/>
      <c r="P1662" s="11" t="n"/>
      <c r="Q1662" s="11" t="n"/>
    </row>
    <row r="1663">
      <c r="A1663" s="8">
        <f>B1663&amp;"_"&amp;C1663</f>
        <v/>
      </c>
      <c r="B1663" s="8" t="n"/>
      <c r="C1663" s="8" t="n"/>
      <c r="D1663" s="8" t="n"/>
      <c r="E1663" s="11" t="n"/>
      <c r="F1663" s="11" t="n"/>
      <c r="G1663" s="8" t="n"/>
      <c r="H1663" s="8" t="n"/>
      <c r="I1663" s="8" t="n"/>
      <c r="J1663" s="8" t="n"/>
      <c r="K1663" s="12">
        <f>IF(OR(ISERROR(VLOOKUP(C1663, Resultados_Reales!$A$4:$I$107, 5, FALSE)), ISERROR(VLOOKUP(C1663, Resultados_Reales!$A$4:$I$107, 6, FALSE)), VLOOKUP(C1663, Resultados_Reales!$A$4:$I$107, 5, FALSE)="", VLOOKUP(C1663, Resultados_Reales!$A$4:$I$107, 6, FALSE)=""), 0, IF(AND(VLOOKUP(C1663, Resultados_Reales!$A$4:$I$107, 5, FALSE)=G1663, VLOOKUP(C1663, Resultados_Reales!$A$4:$I$107, 6, FALSE)=H1663), Configuracion!$B$5, IF(SIGN(VLOOKUP(C1663, Resultados_Reales!$A$4:$I$107, 5, FALSE)-VLOOKUP(C1663, Resultados_Reales!$A$4:$I$107, 6, FALSE)) = SIGN(G1663-H1663), Configuracion!$B$4, 0)))</f>
        <v/>
      </c>
      <c r="L1663" s="11" t="n"/>
      <c r="M1663" s="11" t="n"/>
      <c r="N1663" s="11" t="n"/>
      <c r="O1663" s="11" t="n"/>
      <c r="P1663" s="11" t="n"/>
      <c r="Q1663" s="11" t="n"/>
    </row>
    <row r="1664">
      <c r="A1664" s="8">
        <f>B1664&amp;"_"&amp;C1664</f>
        <v/>
      </c>
      <c r="B1664" s="8" t="n"/>
      <c r="C1664" s="8" t="n"/>
      <c r="D1664" s="8" t="n"/>
      <c r="E1664" s="11" t="n"/>
      <c r="F1664" s="11" t="n"/>
      <c r="G1664" s="8" t="n"/>
      <c r="H1664" s="8" t="n"/>
      <c r="I1664" s="8" t="n"/>
      <c r="J1664" s="8" t="n"/>
      <c r="K1664" s="12">
        <f>IF(OR(ISERROR(VLOOKUP(C1664, Resultados_Reales!$A$4:$I$107, 5, FALSE)), ISERROR(VLOOKUP(C1664, Resultados_Reales!$A$4:$I$107, 6, FALSE)), VLOOKUP(C1664, Resultados_Reales!$A$4:$I$107, 5, FALSE)="", VLOOKUP(C1664, Resultados_Reales!$A$4:$I$107, 6, FALSE)=""), 0, IF(AND(VLOOKUP(C1664, Resultados_Reales!$A$4:$I$107, 5, FALSE)=G1664, VLOOKUP(C1664, Resultados_Reales!$A$4:$I$107, 6, FALSE)=H1664), Configuracion!$B$5, IF(SIGN(VLOOKUP(C1664, Resultados_Reales!$A$4:$I$107, 5, FALSE)-VLOOKUP(C1664, Resultados_Reales!$A$4:$I$107, 6, FALSE)) = SIGN(G1664-H1664), Configuracion!$B$4, 0)))</f>
        <v/>
      </c>
      <c r="L1664" s="11" t="n"/>
      <c r="M1664" s="11" t="n"/>
      <c r="N1664" s="11" t="n"/>
      <c r="O1664" s="11" t="n"/>
      <c r="P1664" s="11" t="n"/>
      <c r="Q1664" s="11" t="n"/>
    </row>
    <row r="1665">
      <c r="A1665" s="8">
        <f>B1665&amp;"_"&amp;C1665</f>
        <v/>
      </c>
      <c r="B1665" s="8" t="n"/>
      <c r="C1665" s="8" t="n"/>
      <c r="D1665" s="8" t="n"/>
      <c r="E1665" s="11" t="n"/>
      <c r="F1665" s="11" t="n"/>
      <c r="G1665" s="8" t="n"/>
      <c r="H1665" s="8" t="n"/>
      <c r="I1665" s="8" t="n"/>
      <c r="J1665" s="8" t="n"/>
      <c r="K1665" s="12">
        <f>IF(OR(ISERROR(VLOOKUP(C1665, Resultados_Reales!$A$4:$I$107, 5, FALSE)), ISERROR(VLOOKUP(C1665, Resultados_Reales!$A$4:$I$107, 6, FALSE)), VLOOKUP(C1665, Resultados_Reales!$A$4:$I$107, 5, FALSE)="", VLOOKUP(C1665, Resultados_Reales!$A$4:$I$107, 6, FALSE)=""), 0, IF(AND(VLOOKUP(C1665, Resultados_Reales!$A$4:$I$107, 5, FALSE)=G1665, VLOOKUP(C1665, Resultados_Reales!$A$4:$I$107, 6, FALSE)=H1665), Configuracion!$B$5, IF(SIGN(VLOOKUP(C1665, Resultados_Reales!$A$4:$I$107, 5, FALSE)-VLOOKUP(C1665, Resultados_Reales!$A$4:$I$107, 6, FALSE)) = SIGN(G1665-H1665), Configuracion!$B$4, 0)))</f>
        <v/>
      </c>
      <c r="L1665" s="11" t="n"/>
      <c r="M1665" s="11" t="n"/>
      <c r="N1665" s="11" t="n"/>
      <c r="O1665" s="11" t="n"/>
      <c r="P1665" s="11" t="n"/>
      <c r="Q1665" s="11" t="n"/>
    </row>
    <row r="1666">
      <c r="A1666" s="8">
        <f>B1666&amp;"_"&amp;C1666</f>
        <v/>
      </c>
      <c r="B1666" s="8" t="n"/>
      <c r="C1666" s="8" t="n"/>
      <c r="D1666" s="8" t="n"/>
      <c r="E1666" s="11" t="n"/>
      <c r="F1666" s="11" t="n"/>
      <c r="G1666" s="8" t="n"/>
      <c r="H1666" s="8" t="n"/>
      <c r="I1666" s="8" t="n"/>
      <c r="J1666" s="8" t="n"/>
      <c r="K1666" s="12">
        <f>IF(OR(ISERROR(VLOOKUP(C1666, Resultados_Reales!$A$4:$I$107, 5, FALSE)), ISERROR(VLOOKUP(C1666, Resultados_Reales!$A$4:$I$107, 6, FALSE)), VLOOKUP(C1666, Resultados_Reales!$A$4:$I$107, 5, FALSE)="", VLOOKUP(C1666, Resultados_Reales!$A$4:$I$107, 6, FALSE)=""), 0, IF(AND(VLOOKUP(C1666, Resultados_Reales!$A$4:$I$107, 5, FALSE)=G1666, VLOOKUP(C1666, Resultados_Reales!$A$4:$I$107, 6, FALSE)=H1666), Configuracion!$B$5, IF(SIGN(VLOOKUP(C1666, Resultados_Reales!$A$4:$I$107, 5, FALSE)-VLOOKUP(C1666, Resultados_Reales!$A$4:$I$107, 6, FALSE)) = SIGN(G1666-H1666), Configuracion!$B$4, 0)))</f>
        <v/>
      </c>
      <c r="L1666" s="11" t="n"/>
      <c r="M1666" s="11" t="n"/>
      <c r="N1666" s="11" t="n"/>
      <c r="O1666" s="11" t="n"/>
      <c r="P1666" s="11" t="n"/>
      <c r="Q1666" s="11" t="n"/>
    </row>
    <row r="1667">
      <c r="A1667" s="8">
        <f>B1667&amp;"_"&amp;C1667</f>
        <v/>
      </c>
      <c r="B1667" s="8" t="n"/>
      <c r="C1667" s="8" t="n"/>
      <c r="D1667" s="8" t="n"/>
      <c r="E1667" s="11" t="n"/>
      <c r="F1667" s="11" t="n"/>
      <c r="G1667" s="8" t="n"/>
      <c r="H1667" s="8" t="n"/>
      <c r="I1667" s="8" t="n"/>
      <c r="J1667" s="8" t="n"/>
      <c r="K1667" s="12">
        <f>IF(OR(ISERROR(VLOOKUP(C1667, Resultados_Reales!$A$4:$I$107, 5, FALSE)), ISERROR(VLOOKUP(C1667, Resultados_Reales!$A$4:$I$107, 6, FALSE)), VLOOKUP(C1667, Resultados_Reales!$A$4:$I$107, 5, FALSE)="", VLOOKUP(C1667, Resultados_Reales!$A$4:$I$107, 6, FALSE)=""), 0, IF(AND(VLOOKUP(C1667, Resultados_Reales!$A$4:$I$107, 5, FALSE)=G1667, VLOOKUP(C1667, Resultados_Reales!$A$4:$I$107, 6, FALSE)=H1667), Configuracion!$B$5, IF(SIGN(VLOOKUP(C1667, Resultados_Reales!$A$4:$I$107, 5, FALSE)-VLOOKUP(C1667, Resultados_Reales!$A$4:$I$107, 6, FALSE)) = SIGN(G1667-H1667), Configuracion!$B$4, 0)))</f>
        <v/>
      </c>
      <c r="L1667" s="11" t="n"/>
      <c r="M1667" s="11" t="n"/>
      <c r="N1667" s="11" t="n"/>
      <c r="O1667" s="11" t="n"/>
      <c r="P1667" s="11" t="n"/>
      <c r="Q1667" s="11" t="n"/>
    </row>
    <row r="1668">
      <c r="A1668" s="8">
        <f>B1668&amp;"_"&amp;C1668</f>
        <v/>
      </c>
      <c r="B1668" s="8" t="n"/>
      <c r="C1668" s="8" t="n"/>
      <c r="D1668" s="8" t="n"/>
      <c r="E1668" s="11" t="n"/>
      <c r="F1668" s="11" t="n"/>
      <c r="G1668" s="8" t="n"/>
      <c r="H1668" s="8" t="n"/>
      <c r="I1668" s="8" t="n"/>
      <c r="J1668" s="8" t="n"/>
      <c r="K1668" s="12">
        <f>IF(OR(ISERROR(VLOOKUP(C1668, Resultados_Reales!$A$4:$I$107, 5, FALSE)), ISERROR(VLOOKUP(C1668, Resultados_Reales!$A$4:$I$107, 6, FALSE)), VLOOKUP(C1668, Resultados_Reales!$A$4:$I$107, 5, FALSE)="", VLOOKUP(C1668, Resultados_Reales!$A$4:$I$107, 6, FALSE)=""), 0, IF(AND(VLOOKUP(C1668, Resultados_Reales!$A$4:$I$107, 5, FALSE)=G1668, VLOOKUP(C1668, Resultados_Reales!$A$4:$I$107, 6, FALSE)=H1668), Configuracion!$B$5, IF(SIGN(VLOOKUP(C1668, Resultados_Reales!$A$4:$I$107, 5, FALSE)-VLOOKUP(C1668, Resultados_Reales!$A$4:$I$107, 6, FALSE)) = SIGN(G1668-H1668), Configuracion!$B$4, 0)))</f>
        <v/>
      </c>
      <c r="L1668" s="11" t="n"/>
      <c r="M1668" s="11" t="n"/>
      <c r="N1668" s="11" t="n"/>
      <c r="O1668" s="11" t="n"/>
      <c r="P1668" s="11" t="n"/>
      <c r="Q1668" s="11" t="n"/>
    </row>
    <row r="1669">
      <c r="A1669" s="8">
        <f>B1669&amp;"_"&amp;C1669</f>
        <v/>
      </c>
      <c r="B1669" s="8" t="n"/>
      <c r="C1669" s="8" t="n"/>
      <c r="D1669" s="8" t="n"/>
      <c r="E1669" s="11" t="n"/>
      <c r="F1669" s="11" t="n"/>
      <c r="G1669" s="8" t="n"/>
      <c r="H1669" s="8" t="n"/>
      <c r="I1669" s="8" t="n"/>
      <c r="J1669" s="8" t="n"/>
      <c r="K1669" s="12">
        <f>IF(OR(ISERROR(VLOOKUP(C1669, Resultados_Reales!$A$4:$I$107, 5, FALSE)), ISERROR(VLOOKUP(C1669, Resultados_Reales!$A$4:$I$107, 6, FALSE)), VLOOKUP(C1669, Resultados_Reales!$A$4:$I$107, 5, FALSE)="", VLOOKUP(C1669, Resultados_Reales!$A$4:$I$107, 6, FALSE)=""), 0, IF(AND(VLOOKUP(C1669, Resultados_Reales!$A$4:$I$107, 5, FALSE)=G1669, VLOOKUP(C1669, Resultados_Reales!$A$4:$I$107, 6, FALSE)=H1669), Configuracion!$B$5, IF(SIGN(VLOOKUP(C1669, Resultados_Reales!$A$4:$I$107, 5, FALSE)-VLOOKUP(C1669, Resultados_Reales!$A$4:$I$107, 6, FALSE)) = SIGN(G1669-H1669), Configuracion!$B$4, 0)))</f>
        <v/>
      </c>
      <c r="L1669" s="11" t="n"/>
      <c r="M1669" s="11" t="n"/>
      <c r="N1669" s="11" t="n"/>
      <c r="O1669" s="11" t="n"/>
      <c r="P1669" s="11" t="n"/>
      <c r="Q1669" s="11" t="n"/>
    </row>
    <row r="1670">
      <c r="A1670" s="8">
        <f>B1670&amp;"_"&amp;C1670</f>
        <v/>
      </c>
      <c r="B1670" s="8" t="n"/>
      <c r="C1670" s="8" t="n"/>
      <c r="D1670" s="8" t="n"/>
      <c r="E1670" s="11" t="n"/>
      <c r="F1670" s="11" t="n"/>
      <c r="G1670" s="8" t="n"/>
      <c r="H1670" s="8" t="n"/>
      <c r="I1670" s="8" t="n"/>
      <c r="J1670" s="8" t="n"/>
      <c r="K1670" s="12">
        <f>IF(OR(ISERROR(VLOOKUP(C1670, Resultados_Reales!$A$4:$I$107, 5, FALSE)), ISERROR(VLOOKUP(C1670, Resultados_Reales!$A$4:$I$107, 6, FALSE)), VLOOKUP(C1670, Resultados_Reales!$A$4:$I$107, 5, FALSE)="", VLOOKUP(C1670, Resultados_Reales!$A$4:$I$107, 6, FALSE)=""), 0, IF(AND(VLOOKUP(C1670, Resultados_Reales!$A$4:$I$107, 5, FALSE)=G1670, VLOOKUP(C1670, Resultados_Reales!$A$4:$I$107, 6, FALSE)=H1670), Configuracion!$B$5, IF(SIGN(VLOOKUP(C1670, Resultados_Reales!$A$4:$I$107, 5, FALSE)-VLOOKUP(C1670, Resultados_Reales!$A$4:$I$107, 6, FALSE)) = SIGN(G1670-H1670), Configuracion!$B$4, 0)))</f>
        <v/>
      </c>
      <c r="L1670" s="11" t="n"/>
      <c r="M1670" s="11" t="n"/>
      <c r="N1670" s="11" t="n"/>
      <c r="O1670" s="11" t="n"/>
      <c r="P1670" s="11" t="n"/>
      <c r="Q1670" s="11" t="n"/>
    </row>
    <row r="1671">
      <c r="A1671" s="8">
        <f>B1671&amp;"_"&amp;C1671</f>
        <v/>
      </c>
      <c r="B1671" s="8" t="n"/>
      <c r="C1671" s="8" t="n"/>
      <c r="D1671" s="8" t="n"/>
      <c r="E1671" s="11" t="n"/>
      <c r="F1671" s="11" t="n"/>
      <c r="G1671" s="8" t="n"/>
      <c r="H1671" s="8" t="n"/>
      <c r="I1671" s="8" t="n"/>
      <c r="J1671" s="8" t="n"/>
      <c r="K1671" s="12">
        <f>IF(OR(ISERROR(VLOOKUP(C1671, Resultados_Reales!$A$4:$I$107, 5, FALSE)), ISERROR(VLOOKUP(C1671, Resultados_Reales!$A$4:$I$107, 6, FALSE)), VLOOKUP(C1671, Resultados_Reales!$A$4:$I$107, 5, FALSE)="", VLOOKUP(C1671, Resultados_Reales!$A$4:$I$107, 6, FALSE)=""), 0, IF(AND(VLOOKUP(C1671, Resultados_Reales!$A$4:$I$107, 5, FALSE)=G1671, VLOOKUP(C1671, Resultados_Reales!$A$4:$I$107, 6, FALSE)=H1671), Configuracion!$B$5, IF(SIGN(VLOOKUP(C1671, Resultados_Reales!$A$4:$I$107, 5, FALSE)-VLOOKUP(C1671, Resultados_Reales!$A$4:$I$107, 6, FALSE)) = SIGN(G1671-H1671), Configuracion!$B$4, 0)))</f>
        <v/>
      </c>
      <c r="L1671" s="11" t="n"/>
      <c r="M1671" s="11" t="n"/>
      <c r="N1671" s="11" t="n"/>
      <c r="O1671" s="11" t="n"/>
      <c r="P1671" s="11" t="n"/>
      <c r="Q1671" s="11" t="n"/>
    </row>
    <row r="1672">
      <c r="A1672" s="8">
        <f>B1672&amp;"_"&amp;C1672</f>
        <v/>
      </c>
      <c r="B1672" s="8" t="n"/>
      <c r="C1672" s="8" t="n"/>
      <c r="D1672" s="8" t="n"/>
      <c r="E1672" s="11" t="n"/>
      <c r="F1672" s="11" t="n"/>
      <c r="G1672" s="8" t="n"/>
      <c r="H1672" s="8" t="n"/>
      <c r="I1672" s="8" t="n"/>
      <c r="J1672" s="8" t="n"/>
      <c r="K1672" s="12">
        <f>IF(OR(ISERROR(VLOOKUP(C1672, Resultados_Reales!$A$4:$I$107, 5, FALSE)), ISERROR(VLOOKUP(C1672, Resultados_Reales!$A$4:$I$107, 6, FALSE)), VLOOKUP(C1672, Resultados_Reales!$A$4:$I$107, 5, FALSE)="", VLOOKUP(C1672, Resultados_Reales!$A$4:$I$107, 6, FALSE)=""), 0, IF(AND(VLOOKUP(C1672, Resultados_Reales!$A$4:$I$107, 5, FALSE)=G1672, VLOOKUP(C1672, Resultados_Reales!$A$4:$I$107, 6, FALSE)=H1672), Configuracion!$B$5, IF(SIGN(VLOOKUP(C1672, Resultados_Reales!$A$4:$I$107, 5, FALSE)-VLOOKUP(C1672, Resultados_Reales!$A$4:$I$107, 6, FALSE)) = SIGN(G1672-H1672), Configuracion!$B$4, 0)))</f>
        <v/>
      </c>
      <c r="L1672" s="11" t="n"/>
      <c r="M1672" s="11" t="n"/>
      <c r="N1672" s="11" t="n"/>
      <c r="O1672" s="11" t="n"/>
      <c r="P1672" s="11" t="n"/>
      <c r="Q1672" s="11" t="n"/>
    </row>
    <row r="1673">
      <c r="A1673" s="8">
        <f>B1673&amp;"_"&amp;C1673</f>
        <v/>
      </c>
      <c r="B1673" s="8" t="n"/>
      <c r="C1673" s="8" t="n"/>
      <c r="D1673" s="8" t="n"/>
      <c r="E1673" s="11" t="n"/>
      <c r="F1673" s="11" t="n"/>
      <c r="G1673" s="8" t="n"/>
      <c r="H1673" s="8" t="n"/>
      <c r="I1673" s="8" t="n"/>
      <c r="J1673" s="8" t="n"/>
      <c r="K1673" s="12">
        <f>IF(OR(ISERROR(VLOOKUP(C1673, Resultados_Reales!$A$4:$I$107, 5, FALSE)), ISERROR(VLOOKUP(C1673, Resultados_Reales!$A$4:$I$107, 6, FALSE)), VLOOKUP(C1673, Resultados_Reales!$A$4:$I$107, 5, FALSE)="", VLOOKUP(C1673, Resultados_Reales!$A$4:$I$107, 6, FALSE)=""), 0, IF(AND(VLOOKUP(C1673, Resultados_Reales!$A$4:$I$107, 5, FALSE)=G1673, VLOOKUP(C1673, Resultados_Reales!$A$4:$I$107, 6, FALSE)=H1673), Configuracion!$B$5, IF(SIGN(VLOOKUP(C1673, Resultados_Reales!$A$4:$I$107, 5, FALSE)-VLOOKUP(C1673, Resultados_Reales!$A$4:$I$107, 6, FALSE)) = SIGN(G1673-H1673), Configuracion!$B$4, 0)))</f>
        <v/>
      </c>
      <c r="L1673" s="11" t="n"/>
      <c r="M1673" s="11" t="n"/>
      <c r="N1673" s="11" t="n"/>
      <c r="O1673" s="11" t="n"/>
      <c r="P1673" s="11" t="n"/>
      <c r="Q1673" s="11" t="n"/>
    </row>
    <row r="1674">
      <c r="A1674" s="8">
        <f>B1674&amp;"_"&amp;C1674</f>
        <v/>
      </c>
      <c r="B1674" s="8" t="n"/>
      <c r="C1674" s="8" t="n"/>
      <c r="D1674" s="8" t="n"/>
      <c r="E1674" s="11" t="n"/>
      <c r="F1674" s="11" t="n"/>
      <c r="G1674" s="8" t="n"/>
      <c r="H1674" s="8" t="n"/>
      <c r="I1674" s="8" t="n"/>
      <c r="J1674" s="8" t="n"/>
      <c r="K1674" s="12">
        <f>IF(OR(ISERROR(VLOOKUP(C1674, Resultados_Reales!$A$4:$I$107, 5, FALSE)), ISERROR(VLOOKUP(C1674, Resultados_Reales!$A$4:$I$107, 6, FALSE)), VLOOKUP(C1674, Resultados_Reales!$A$4:$I$107, 5, FALSE)="", VLOOKUP(C1674, Resultados_Reales!$A$4:$I$107, 6, FALSE)=""), 0, IF(AND(VLOOKUP(C1674, Resultados_Reales!$A$4:$I$107, 5, FALSE)=G1674, VLOOKUP(C1674, Resultados_Reales!$A$4:$I$107, 6, FALSE)=H1674), Configuracion!$B$5, IF(SIGN(VLOOKUP(C1674, Resultados_Reales!$A$4:$I$107, 5, FALSE)-VLOOKUP(C1674, Resultados_Reales!$A$4:$I$107, 6, FALSE)) = SIGN(G1674-H1674), Configuracion!$B$4, 0)))</f>
        <v/>
      </c>
      <c r="L1674" s="11" t="n"/>
      <c r="M1674" s="11" t="n"/>
      <c r="N1674" s="11" t="n"/>
      <c r="O1674" s="11" t="n"/>
      <c r="P1674" s="11" t="n"/>
      <c r="Q1674" s="11" t="n"/>
    </row>
    <row r="1675">
      <c r="A1675" s="8">
        <f>B1675&amp;"_"&amp;C1675</f>
        <v/>
      </c>
      <c r="B1675" s="8" t="n"/>
      <c r="C1675" s="8" t="n"/>
      <c r="D1675" s="8" t="n"/>
      <c r="E1675" s="11" t="n"/>
      <c r="F1675" s="11" t="n"/>
      <c r="G1675" s="8" t="n"/>
      <c r="H1675" s="8" t="n"/>
      <c r="I1675" s="8" t="n"/>
      <c r="J1675" s="8" t="n"/>
      <c r="K1675" s="12">
        <f>IF(OR(ISERROR(VLOOKUP(C1675, Resultados_Reales!$A$4:$I$107, 5, FALSE)), ISERROR(VLOOKUP(C1675, Resultados_Reales!$A$4:$I$107, 6, FALSE)), VLOOKUP(C1675, Resultados_Reales!$A$4:$I$107, 5, FALSE)="", VLOOKUP(C1675, Resultados_Reales!$A$4:$I$107, 6, FALSE)=""), 0, IF(AND(VLOOKUP(C1675, Resultados_Reales!$A$4:$I$107, 5, FALSE)=G1675, VLOOKUP(C1675, Resultados_Reales!$A$4:$I$107, 6, FALSE)=H1675), Configuracion!$B$5, IF(SIGN(VLOOKUP(C1675, Resultados_Reales!$A$4:$I$107, 5, FALSE)-VLOOKUP(C1675, Resultados_Reales!$A$4:$I$107, 6, FALSE)) = SIGN(G1675-H1675), Configuracion!$B$4, 0)))</f>
        <v/>
      </c>
      <c r="L1675" s="11" t="n"/>
      <c r="M1675" s="11" t="n"/>
      <c r="N1675" s="11" t="n"/>
      <c r="O1675" s="11" t="n"/>
      <c r="P1675" s="11" t="n"/>
      <c r="Q1675" s="11" t="n"/>
    </row>
    <row r="1676">
      <c r="A1676" s="8">
        <f>B1676&amp;"_"&amp;C1676</f>
        <v/>
      </c>
      <c r="B1676" s="8" t="n"/>
      <c r="C1676" s="8" t="n"/>
      <c r="D1676" s="8" t="n"/>
      <c r="E1676" s="11" t="n"/>
      <c r="F1676" s="11" t="n"/>
      <c r="G1676" s="8" t="n"/>
      <c r="H1676" s="8" t="n"/>
      <c r="I1676" s="8" t="n"/>
      <c r="J1676" s="8" t="n"/>
      <c r="K1676" s="12">
        <f>IF(OR(ISERROR(VLOOKUP(C1676, Resultados_Reales!$A$4:$I$107, 5, FALSE)), ISERROR(VLOOKUP(C1676, Resultados_Reales!$A$4:$I$107, 6, FALSE)), VLOOKUP(C1676, Resultados_Reales!$A$4:$I$107, 5, FALSE)="", VLOOKUP(C1676, Resultados_Reales!$A$4:$I$107, 6, FALSE)=""), 0, IF(AND(VLOOKUP(C1676, Resultados_Reales!$A$4:$I$107, 5, FALSE)=G1676, VLOOKUP(C1676, Resultados_Reales!$A$4:$I$107, 6, FALSE)=H1676), Configuracion!$B$5, IF(SIGN(VLOOKUP(C1676, Resultados_Reales!$A$4:$I$107, 5, FALSE)-VLOOKUP(C1676, Resultados_Reales!$A$4:$I$107, 6, FALSE)) = SIGN(G1676-H1676), Configuracion!$B$4, 0)))</f>
        <v/>
      </c>
      <c r="L1676" s="11" t="n"/>
      <c r="M1676" s="11" t="n"/>
      <c r="N1676" s="11" t="n"/>
      <c r="O1676" s="11" t="n"/>
      <c r="P1676" s="11" t="n"/>
      <c r="Q1676" s="11" t="n"/>
    </row>
    <row r="1677">
      <c r="A1677" s="8">
        <f>B1677&amp;"_"&amp;C1677</f>
        <v/>
      </c>
      <c r="B1677" s="8" t="n"/>
      <c r="C1677" s="8" t="n"/>
      <c r="D1677" s="8" t="n"/>
      <c r="E1677" s="11" t="n"/>
      <c r="F1677" s="11" t="n"/>
      <c r="G1677" s="8" t="n"/>
      <c r="H1677" s="8" t="n"/>
      <c r="I1677" s="8" t="n"/>
      <c r="J1677" s="8" t="n"/>
      <c r="K1677" s="12">
        <f>IF(OR(ISERROR(VLOOKUP(C1677, Resultados_Reales!$A$4:$I$107, 5, FALSE)), ISERROR(VLOOKUP(C1677, Resultados_Reales!$A$4:$I$107, 6, FALSE)), VLOOKUP(C1677, Resultados_Reales!$A$4:$I$107, 5, FALSE)="", VLOOKUP(C1677, Resultados_Reales!$A$4:$I$107, 6, FALSE)=""), 0, IF(AND(VLOOKUP(C1677, Resultados_Reales!$A$4:$I$107, 5, FALSE)=G1677, VLOOKUP(C1677, Resultados_Reales!$A$4:$I$107, 6, FALSE)=H1677), Configuracion!$B$5, IF(SIGN(VLOOKUP(C1677, Resultados_Reales!$A$4:$I$107, 5, FALSE)-VLOOKUP(C1677, Resultados_Reales!$A$4:$I$107, 6, FALSE)) = SIGN(G1677-H1677), Configuracion!$B$4, 0)))</f>
        <v/>
      </c>
      <c r="L1677" s="11" t="n"/>
      <c r="M1677" s="11" t="n"/>
      <c r="N1677" s="11" t="n"/>
      <c r="O1677" s="11" t="n"/>
      <c r="P1677" s="11" t="n"/>
      <c r="Q1677" s="11" t="n"/>
    </row>
    <row r="1678">
      <c r="A1678" s="8">
        <f>B1678&amp;"_"&amp;C1678</f>
        <v/>
      </c>
      <c r="B1678" s="8" t="n"/>
      <c r="C1678" s="8" t="n"/>
      <c r="D1678" s="8" t="n"/>
      <c r="E1678" s="11" t="n"/>
      <c r="F1678" s="11" t="n"/>
      <c r="G1678" s="8" t="n"/>
      <c r="H1678" s="8" t="n"/>
      <c r="I1678" s="8" t="n"/>
      <c r="J1678" s="8" t="n"/>
      <c r="K1678" s="12">
        <f>IF(OR(ISERROR(VLOOKUP(C1678, Resultados_Reales!$A$4:$I$107, 5, FALSE)), ISERROR(VLOOKUP(C1678, Resultados_Reales!$A$4:$I$107, 6, FALSE)), VLOOKUP(C1678, Resultados_Reales!$A$4:$I$107, 5, FALSE)="", VLOOKUP(C1678, Resultados_Reales!$A$4:$I$107, 6, FALSE)=""), 0, IF(AND(VLOOKUP(C1678, Resultados_Reales!$A$4:$I$107, 5, FALSE)=G1678, VLOOKUP(C1678, Resultados_Reales!$A$4:$I$107, 6, FALSE)=H1678), Configuracion!$B$5, IF(SIGN(VLOOKUP(C1678, Resultados_Reales!$A$4:$I$107, 5, FALSE)-VLOOKUP(C1678, Resultados_Reales!$A$4:$I$107, 6, FALSE)) = SIGN(G1678-H1678), Configuracion!$B$4, 0)))</f>
        <v/>
      </c>
      <c r="L1678" s="11" t="n"/>
      <c r="M1678" s="11" t="n"/>
      <c r="N1678" s="11" t="n"/>
      <c r="O1678" s="11" t="n"/>
      <c r="P1678" s="11" t="n"/>
      <c r="Q1678" s="11" t="n"/>
    </row>
    <row r="1679">
      <c r="A1679" s="8">
        <f>B1679&amp;"_"&amp;C1679</f>
        <v/>
      </c>
      <c r="B1679" s="8" t="n"/>
      <c r="C1679" s="8" t="n"/>
      <c r="D1679" s="8" t="n"/>
      <c r="E1679" s="11" t="n"/>
      <c r="F1679" s="11" t="n"/>
      <c r="G1679" s="8" t="n"/>
      <c r="H1679" s="8" t="n"/>
      <c r="I1679" s="8" t="n"/>
      <c r="J1679" s="8" t="n"/>
      <c r="K1679" s="12">
        <f>IF(OR(ISERROR(VLOOKUP(C1679, Resultados_Reales!$A$4:$I$107, 5, FALSE)), ISERROR(VLOOKUP(C1679, Resultados_Reales!$A$4:$I$107, 6, FALSE)), VLOOKUP(C1679, Resultados_Reales!$A$4:$I$107, 5, FALSE)="", VLOOKUP(C1679, Resultados_Reales!$A$4:$I$107, 6, FALSE)=""), 0, IF(AND(VLOOKUP(C1679, Resultados_Reales!$A$4:$I$107, 5, FALSE)=G1679, VLOOKUP(C1679, Resultados_Reales!$A$4:$I$107, 6, FALSE)=H1679), Configuracion!$B$5, IF(SIGN(VLOOKUP(C1679, Resultados_Reales!$A$4:$I$107, 5, FALSE)-VLOOKUP(C1679, Resultados_Reales!$A$4:$I$107, 6, FALSE)) = SIGN(G1679-H1679), Configuracion!$B$4, 0)))</f>
        <v/>
      </c>
      <c r="L1679" s="11" t="n"/>
      <c r="M1679" s="11" t="n"/>
      <c r="N1679" s="11" t="n"/>
      <c r="O1679" s="11" t="n"/>
      <c r="P1679" s="11" t="n"/>
      <c r="Q1679" s="11" t="n"/>
    </row>
    <row r="1680">
      <c r="A1680" s="8">
        <f>B1680&amp;"_"&amp;C1680</f>
        <v/>
      </c>
      <c r="B1680" s="8" t="n"/>
      <c r="C1680" s="8" t="n"/>
      <c r="D1680" s="8" t="n"/>
      <c r="E1680" s="11" t="n"/>
      <c r="F1680" s="11" t="n"/>
      <c r="G1680" s="8" t="n"/>
      <c r="H1680" s="8" t="n"/>
      <c r="I1680" s="8" t="n"/>
      <c r="J1680" s="8" t="n"/>
      <c r="K1680" s="12">
        <f>IF(OR(ISERROR(VLOOKUP(C1680, Resultados_Reales!$A$4:$I$107, 5, FALSE)), ISERROR(VLOOKUP(C1680, Resultados_Reales!$A$4:$I$107, 6, FALSE)), VLOOKUP(C1680, Resultados_Reales!$A$4:$I$107, 5, FALSE)="", VLOOKUP(C1680, Resultados_Reales!$A$4:$I$107, 6, FALSE)=""), 0, IF(AND(VLOOKUP(C1680, Resultados_Reales!$A$4:$I$107, 5, FALSE)=G1680, VLOOKUP(C1680, Resultados_Reales!$A$4:$I$107, 6, FALSE)=H1680), Configuracion!$B$5, IF(SIGN(VLOOKUP(C1680, Resultados_Reales!$A$4:$I$107, 5, FALSE)-VLOOKUP(C1680, Resultados_Reales!$A$4:$I$107, 6, FALSE)) = SIGN(G1680-H1680), Configuracion!$B$4, 0)))</f>
        <v/>
      </c>
      <c r="L1680" s="11" t="n"/>
      <c r="M1680" s="11" t="n"/>
      <c r="N1680" s="11" t="n"/>
      <c r="O1680" s="11" t="n"/>
      <c r="P1680" s="11" t="n"/>
      <c r="Q1680" s="11" t="n"/>
    </row>
    <row r="1681">
      <c r="A1681" s="8">
        <f>B1681&amp;"_"&amp;C1681</f>
        <v/>
      </c>
      <c r="B1681" s="8" t="n"/>
      <c r="C1681" s="8" t="n"/>
      <c r="D1681" s="8" t="n"/>
      <c r="E1681" s="11" t="n"/>
      <c r="F1681" s="11" t="n"/>
      <c r="G1681" s="8" t="n"/>
      <c r="H1681" s="8" t="n"/>
      <c r="I1681" s="8" t="n"/>
      <c r="J1681" s="8" t="n"/>
      <c r="K1681" s="12">
        <f>IF(OR(ISERROR(VLOOKUP(C1681, Resultados_Reales!$A$4:$I$107, 5, FALSE)), ISERROR(VLOOKUP(C1681, Resultados_Reales!$A$4:$I$107, 6, FALSE)), VLOOKUP(C1681, Resultados_Reales!$A$4:$I$107, 5, FALSE)="", VLOOKUP(C1681, Resultados_Reales!$A$4:$I$107, 6, FALSE)=""), 0, IF(AND(VLOOKUP(C1681, Resultados_Reales!$A$4:$I$107, 5, FALSE)=G1681, VLOOKUP(C1681, Resultados_Reales!$A$4:$I$107, 6, FALSE)=H1681), Configuracion!$B$5, IF(SIGN(VLOOKUP(C1681, Resultados_Reales!$A$4:$I$107, 5, FALSE)-VLOOKUP(C1681, Resultados_Reales!$A$4:$I$107, 6, FALSE)) = SIGN(G1681-H1681), Configuracion!$B$4, 0)))</f>
        <v/>
      </c>
      <c r="L1681" s="11" t="n"/>
      <c r="M1681" s="11" t="n"/>
      <c r="N1681" s="11" t="n"/>
      <c r="O1681" s="11" t="n"/>
      <c r="P1681" s="11" t="n"/>
      <c r="Q1681" s="11" t="n"/>
    </row>
    <row r="1682">
      <c r="A1682" s="8">
        <f>B1682&amp;"_"&amp;C1682</f>
        <v/>
      </c>
      <c r="B1682" s="8" t="n"/>
      <c r="C1682" s="8" t="n"/>
      <c r="D1682" s="8" t="n"/>
      <c r="E1682" s="11" t="n"/>
      <c r="F1682" s="11" t="n"/>
      <c r="G1682" s="8" t="n"/>
      <c r="H1682" s="8" t="n"/>
      <c r="I1682" s="8" t="n"/>
      <c r="J1682" s="8" t="n"/>
      <c r="K1682" s="12">
        <f>IF(OR(ISERROR(VLOOKUP(C1682, Resultados_Reales!$A$4:$I$107, 5, FALSE)), ISERROR(VLOOKUP(C1682, Resultados_Reales!$A$4:$I$107, 6, FALSE)), VLOOKUP(C1682, Resultados_Reales!$A$4:$I$107, 5, FALSE)="", VLOOKUP(C1682, Resultados_Reales!$A$4:$I$107, 6, FALSE)=""), 0, IF(AND(VLOOKUP(C1682, Resultados_Reales!$A$4:$I$107, 5, FALSE)=G1682, VLOOKUP(C1682, Resultados_Reales!$A$4:$I$107, 6, FALSE)=H1682), Configuracion!$B$5, IF(SIGN(VLOOKUP(C1682, Resultados_Reales!$A$4:$I$107, 5, FALSE)-VLOOKUP(C1682, Resultados_Reales!$A$4:$I$107, 6, FALSE)) = SIGN(G1682-H1682), Configuracion!$B$4, 0)))</f>
        <v/>
      </c>
      <c r="L1682" s="11" t="n"/>
      <c r="M1682" s="11" t="n"/>
      <c r="N1682" s="11" t="n"/>
      <c r="O1682" s="11" t="n"/>
      <c r="P1682" s="11" t="n"/>
      <c r="Q1682" s="11" t="n"/>
    </row>
    <row r="1683">
      <c r="A1683" s="8">
        <f>B1683&amp;"_"&amp;C1683</f>
        <v/>
      </c>
      <c r="B1683" s="8" t="n"/>
      <c r="C1683" s="8" t="n"/>
      <c r="D1683" s="8" t="n"/>
      <c r="E1683" s="11" t="n"/>
      <c r="F1683" s="11" t="n"/>
      <c r="G1683" s="8" t="n"/>
      <c r="H1683" s="8" t="n"/>
      <c r="I1683" s="8" t="n"/>
      <c r="J1683" s="8" t="n"/>
      <c r="K1683" s="12">
        <f>IF(OR(ISERROR(VLOOKUP(C1683, Resultados_Reales!$A$4:$I$107, 5, FALSE)), ISERROR(VLOOKUP(C1683, Resultados_Reales!$A$4:$I$107, 6, FALSE)), VLOOKUP(C1683, Resultados_Reales!$A$4:$I$107, 5, FALSE)="", VLOOKUP(C1683, Resultados_Reales!$A$4:$I$107, 6, FALSE)=""), 0, IF(AND(VLOOKUP(C1683, Resultados_Reales!$A$4:$I$107, 5, FALSE)=G1683, VLOOKUP(C1683, Resultados_Reales!$A$4:$I$107, 6, FALSE)=H1683), Configuracion!$B$5, IF(SIGN(VLOOKUP(C1683, Resultados_Reales!$A$4:$I$107, 5, FALSE)-VLOOKUP(C1683, Resultados_Reales!$A$4:$I$107, 6, FALSE)) = SIGN(G1683-H1683), Configuracion!$B$4, 0)))</f>
        <v/>
      </c>
      <c r="L1683" s="11" t="n"/>
      <c r="M1683" s="11" t="n"/>
      <c r="N1683" s="11" t="n"/>
      <c r="O1683" s="11" t="n"/>
      <c r="P1683" s="11" t="n"/>
      <c r="Q1683" s="11" t="n"/>
    </row>
    <row r="1684">
      <c r="A1684" s="8">
        <f>B1684&amp;"_"&amp;C1684</f>
        <v/>
      </c>
      <c r="B1684" s="8" t="n"/>
      <c r="C1684" s="8" t="n"/>
      <c r="D1684" s="8" t="n"/>
      <c r="E1684" s="11" t="n"/>
      <c r="F1684" s="11" t="n"/>
      <c r="G1684" s="8" t="n"/>
      <c r="H1684" s="8" t="n"/>
      <c r="I1684" s="8" t="n"/>
      <c r="J1684" s="8" t="n"/>
      <c r="K1684" s="12">
        <f>IF(OR(ISERROR(VLOOKUP(C1684, Resultados_Reales!$A$4:$I$107, 5, FALSE)), ISERROR(VLOOKUP(C1684, Resultados_Reales!$A$4:$I$107, 6, FALSE)), VLOOKUP(C1684, Resultados_Reales!$A$4:$I$107, 5, FALSE)="", VLOOKUP(C1684, Resultados_Reales!$A$4:$I$107, 6, FALSE)=""), 0, IF(AND(VLOOKUP(C1684, Resultados_Reales!$A$4:$I$107, 5, FALSE)=G1684, VLOOKUP(C1684, Resultados_Reales!$A$4:$I$107, 6, FALSE)=H1684), Configuracion!$B$5, IF(SIGN(VLOOKUP(C1684, Resultados_Reales!$A$4:$I$107, 5, FALSE)-VLOOKUP(C1684, Resultados_Reales!$A$4:$I$107, 6, FALSE)) = SIGN(G1684-H1684), Configuracion!$B$4, 0)))</f>
        <v/>
      </c>
      <c r="L1684" s="11" t="n"/>
      <c r="M1684" s="11" t="n"/>
      <c r="N1684" s="11" t="n"/>
      <c r="O1684" s="11" t="n"/>
      <c r="P1684" s="11" t="n"/>
      <c r="Q1684" s="11" t="n"/>
    </row>
    <row r="1685">
      <c r="A1685" s="8">
        <f>B1685&amp;"_"&amp;C1685</f>
        <v/>
      </c>
      <c r="B1685" s="8" t="n"/>
      <c r="C1685" s="8" t="n"/>
      <c r="D1685" s="8" t="n"/>
      <c r="E1685" s="11" t="n"/>
      <c r="F1685" s="11" t="n"/>
      <c r="G1685" s="8" t="n"/>
      <c r="H1685" s="8" t="n"/>
      <c r="I1685" s="8" t="n"/>
      <c r="J1685" s="8" t="n"/>
      <c r="K1685" s="12">
        <f>IF(OR(ISERROR(VLOOKUP(C1685, Resultados_Reales!$A$4:$I$107, 5, FALSE)), ISERROR(VLOOKUP(C1685, Resultados_Reales!$A$4:$I$107, 6, FALSE)), VLOOKUP(C1685, Resultados_Reales!$A$4:$I$107, 5, FALSE)="", VLOOKUP(C1685, Resultados_Reales!$A$4:$I$107, 6, FALSE)=""), 0, IF(AND(VLOOKUP(C1685, Resultados_Reales!$A$4:$I$107, 5, FALSE)=G1685, VLOOKUP(C1685, Resultados_Reales!$A$4:$I$107, 6, FALSE)=H1685), Configuracion!$B$5, IF(SIGN(VLOOKUP(C1685, Resultados_Reales!$A$4:$I$107, 5, FALSE)-VLOOKUP(C1685, Resultados_Reales!$A$4:$I$107, 6, FALSE)) = SIGN(G1685-H1685), Configuracion!$B$4, 0)))</f>
        <v/>
      </c>
      <c r="L1685" s="11" t="n"/>
      <c r="M1685" s="11" t="n"/>
      <c r="N1685" s="11" t="n"/>
      <c r="O1685" s="11" t="n"/>
      <c r="P1685" s="11" t="n"/>
      <c r="Q1685" s="11" t="n"/>
    </row>
    <row r="1686">
      <c r="A1686" s="8">
        <f>B1686&amp;"_"&amp;C1686</f>
        <v/>
      </c>
      <c r="B1686" s="8" t="n"/>
      <c r="C1686" s="8" t="n"/>
      <c r="D1686" s="8" t="n"/>
      <c r="E1686" s="11" t="n"/>
      <c r="F1686" s="11" t="n"/>
      <c r="G1686" s="8" t="n"/>
      <c r="H1686" s="8" t="n"/>
      <c r="I1686" s="8" t="n"/>
      <c r="J1686" s="8" t="n"/>
      <c r="K1686" s="12">
        <f>IF(OR(ISERROR(VLOOKUP(C1686, Resultados_Reales!$A$4:$I$107, 5, FALSE)), ISERROR(VLOOKUP(C1686, Resultados_Reales!$A$4:$I$107, 6, FALSE)), VLOOKUP(C1686, Resultados_Reales!$A$4:$I$107, 5, FALSE)="", VLOOKUP(C1686, Resultados_Reales!$A$4:$I$107, 6, FALSE)=""), 0, IF(AND(VLOOKUP(C1686, Resultados_Reales!$A$4:$I$107, 5, FALSE)=G1686, VLOOKUP(C1686, Resultados_Reales!$A$4:$I$107, 6, FALSE)=H1686), Configuracion!$B$5, IF(SIGN(VLOOKUP(C1686, Resultados_Reales!$A$4:$I$107, 5, FALSE)-VLOOKUP(C1686, Resultados_Reales!$A$4:$I$107, 6, FALSE)) = SIGN(G1686-H1686), Configuracion!$B$4, 0)))</f>
        <v/>
      </c>
      <c r="L1686" s="11" t="n"/>
      <c r="M1686" s="11" t="n"/>
      <c r="N1686" s="11" t="n"/>
      <c r="O1686" s="11" t="n"/>
      <c r="P1686" s="11" t="n"/>
      <c r="Q1686" s="11" t="n"/>
    </row>
    <row r="1687">
      <c r="A1687" s="8">
        <f>B1687&amp;"_"&amp;C1687</f>
        <v/>
      </c>
      <c r="B1687" s="8" t="n"/>
      <c r="C1687" s="8" t="n"/>
      <c r="D1687" s="8" t="n"/>
      <c r="E1687" s="11" t="n"/>
      <c r="F1687" s="11" t="n"/>
      <c r="G1687" s="8" t="n"/>
      <c r="H1687" s="8" t="n"/>
      <c r="I1687" s="8" t="n"/>
      <c r="J1687" s="8" t="n"/>
      <c r="K1687" s="12">
        <f>IF(OR(ISERROR(VLOOKUP(C1687, Resultados_Reales!$A$4:$I$107, 5, FALSE)), ISERROR(VLOOKUP(C1687, Resultados_Reales!$A$4:$I$107, 6, FALSE)), VLOOKUP(C1687, Resultados_Reales!$A$4:$I$107, 5, FALSE)="", VLOOKUP(C1687, Resultados_Reales!$A$4:$I$107, 6, FALSE)=""), 0, IF(AND(VLOOKUP(C1687, Resultados_Reales!$A$4:$I$107, 5, FALSE)=G1687, VLOOKUP(C1687, Resultados_Reales!$A$4:$I$107, 6, FALSE)=H1687), Configuracion!$B$5, IF(SIGN(VLOOKUP(C1687, Resultados_Reales!$A$4:$I$107, 5, FALSE)-VLOOKUP(C1687, Resultados_Reales!$A$4:$I$107, 6, FALSE)) = SIGN(G1687-H1687), Configuracion!$B$4, 0)))</f>
        <v/>
      </c>
      <c r="L1687" s="11" t="n"/>
      <c r="M1687" s="11" t="n"/>
      <c r="N1687" s="11" t="n"/>
      <c r="O1687" s="11" t="n"/>
      <c r="P1687" s="11" t="n"/>
      <c r="Q1687" s="11" t="n"/>
    </row>
    <row r="1688">
      <c r="A1688" s="8">
        <f>B1688&amp;"_"&amp;C1688</f>
        <v/>
      </c>
      <c r="B1688" s="8" t="n"/>
      <c r="C1688" s="8" t="n"/>
      <c r="D1688" s="8" t="n"/>
      <c r="E1688" s="11" t="n"/>
      <c r="F1688" s="11" t="n"/>
      <c r="G1688" s="8" t="n"/>
      <c r="H1688" s="8" t="n"/>
      <c r="I1688" s="8" t="n"/>
      <c r="J1688" s="8" t="n"/>
      <c r="K1688" s="12">
        <f>IF(OR(ISERROR(VLOOKUP(C1688, Resultados_Reales!$A$4:$I$107, 5, FALSE)), ISERROR(VLOOKUP(C1688, Resultados_Reales!$A$4:$I$107, 6, FALSE)), VLOOKUP(C1688, Resultados_Reales!$A$4:$I$107, 5, FALSE)="", VLOOKUP(C1688, Resultados_Reales!$A$4:$I$107, 6, FALSE)=""), 0, IF(AND(VLOOKUP(C1688, Resultados_Reales!$A$4:$I$107, 5, FALSE)=G1688, VLOOKUP(C1688, Resultados_Reales!$A$4:$I$107, 6, FALSE)=H1688), Configuracion!$B$5, IF(SIGN(VLOOKUP(C1688, Resultados_Reales!$A$4:$I$107, 5, FALSE)-VLOOKUP(C1688, Resultados_Reales!$A$4:$I$107, 6, FALSE)) = SIGN(G1688-H1688), Configuracion!$B$4, 0)))</f>
        <v/>
      </c>
      <c r="L1688" s="11" t="n"/>
      <c r="M1688" s="11" t="n"/>
      <c r="N1688" s="11" t="n"/>
      <c r="O1688" s="11" t="n"/>
      <c r="P1688" s="11" t="n"/>
      <c r="Q1688" s="11" t="n"/>
    </row>
    <row r="1689">
      <c r="A1689" s="8">
        <f>B1689&amp;"_"&amp;C1689</f>
        <v/>
      </c>
      <c r="B1689" s="8" t="n"/>
      <c r="C1689" s="8" t="n"/>
      <c r="D1689" s="8" t="n"/>
      <c r="E1689" s="11" t="n"/>
      <c r="F1689" s="11" t="n"/>
      <c r="G1689" s="8" t="n"/>
      <c r="H1689" s="8" t="n"/>
      <c r="I1689" s="8" t="n"/>
      <c r="J1689" s="8" t="n"/>
      <c r="K1689" s="12">
        <f>IF(OR(ISERROR(VLOOKUP(C1689, Resultados_Reales!$A$4:$I$107, 5, FALSE)), ISERROR(VLOOKUP(C1689, Resultados_Reales!$A$4:$I$107, 6, FALSE)), VLOOKUP(C1689, Resultados_Reales!$A$4:$I$107, 5, FALSE)="", VLOOKUP(C1689, Resultados_Reales!$A$4:$I$107, 6, FALSE)=""), 0, IF(AND(VLOOKUP(C1689, Resultados_Reales!$A$4:$I$107, 5, FALSE)=G1689, VLOOKUP(C1689, Resultados_Reales!$A$4:$I$107, 6, FALSE)=H1689), Configuracion!$B$5, IF(SIGN(VLOOKUP(C1689, Resultados_Reales!$A$4:$I$107, 5, FALSE)-VLOOKUP(C1689, Resultados_Reales!$A$4:$I$107, 6, FALSE)) = SIGN(G1689-H1689), Configuracion!$B$4, 0)))</f>
        <v/>
      </c>
      <c r="L1689" s="11" t="n"/>
      <c r="M1689" s="11" t="n"/>
      <c r="N1689" s="11" t="n"/>
      <c r="O1689" s="11" t="n"/>
      <c r="P1689" s="11" t="n"/>
      <c r="Q1689" s="11" t="n"/>
    </row>
    <row r="1690">
      <c r="A1690" s="8">
        <f>B1690&amp;"_"&amp;C1690</f>
        <v/>
      </c>
      <c r="B1690" s="8" t="n"/>
      <c r="C1690" s="8" t="n"/>
      <c r="D1690" s="8" t="n"/>
      <c r="E1690" s="11" t="n"/>
      <c r="F1690" s="11" t="n"/>
      <c r="G1690" s="8" t="n"/>
      <c r="H1690" s="8" t="n"/>
      <c r="I1690" s="8" t="n"/>
      <c r="J1690" s="8" t="n"/>
      <c r="K1690" s="12">
        <f>IF(OR(ISERROR(VLOOKUP(C1690, Resultados_Reales!$A$4:$I$107, 5, FALSE)), ISERROR(VLOOKUP(C1690, Resultados_Reales!$A$4:$I$107, 6, FALSE)), VLOOKUP(C1690, Resultados_Reales!$A$4:$I$107, 5, FALSE)="", VLOOKUP(C1690, Resultados_Reales!$A$4:$I$107, 6, FALSE)=""), 0, IF(AND(VLOOKUP(C1690, Resultados_Reales!$A$4:$I$107, 5, FALSE)=G1690, VLOOKUP(C1690, Resultados_Reales!$A$4:$I$107, 6, FALSE)=H1690), Configuracion!$B$5, IF(SIGN(VLOOKUP(C1690, Resultados_Reales!$A$4:$I$107, 5, FALSE)-VLOOKUP(C1690, Resultados_Reales!$A$4:$I$107, 6, FALSE)) = SIGN(G1690-H1690), Configuracion!$B$4, 0)))</f>
        <v/>
      </c>
      <c r="L1690" s="11" t="n"/>
      <c r="M1690" s="11" t="n"/>
      <c r="N1690" s="11" t="n"/>
      <c r="O1690" s="11" t="n"/>
      <c r="P1690" s="11" t="n"/>
      <c r="Q1690" s="11" t="n"/>
    </row>
    <row r="1691">
      <c r="A1691" s="8">
        <f>B1691&amp;"_"&amp;C1691</f>
        <v/>
      </c>
      <c r="B1691" s="8" t="n"/>
      <c r="C1691" s="8" t="n"/>
      <c r="D1691" s="8" t="n"/>
      <c r="E1691" s="11" t="n"/>
      <c r="F1691" s="11" t="n"/>
      <c r="G1691" s="8" t="n"/>
      <c r="H1691" s="8" t="n"/>
      <c r="I1691" s="8" t="n"/>
      <c r="J1691" s="8" t="n"/>
      <c r="K1691" s="12">
        <f>IF(OR(ISERROR(VLOOKUP(C1691, Resultados_Reales!$A$4:$I$107, 5, FALSE)), ISERROR(VLOOKUP(C1691, Resultados_Reales!$A$4:$I$107, 6, FALSE)), VLOOKUP(C1691, Resultados_Reales!$A$4:$I$107, 5, FALSE)="", VLOOKUP(C1691, Resultados_Reales!$A$4:$I$107, 6, FALSE)=""), 0, IF(AND(VLOOKUP(C1691, Resultados_Reales!$A$4:$I$107, 5, FALSE)=G1691, VLOOKUP(C1691, Resultados_Reales!$A$4:$I$107, 6, FALSE)=H1691), Configuracion!$B$5, IF(SIGN(VLOOKUP(C1691, Resultados_Reales!$A$4:$I$107, 5, FALSE)-VLOOKUP(C1691, Resultados_Reales!$A$4:$I$107, 6, FALSE)) = SIGN(G1691-H1691), Configuracion!$B$4, 0)))</f>
        <v/>
      </c>
      <c r="L1691" s="11" t="n"/>
      <c r="M1691" s="11" t="n"/>
      <c r="N1691" s="11" t="n"/>
      <c r="O1691" s="11" t="n"/>
      <c r="P1691" s="11" t="n"/>
      <c r="Q1691" s="11" t="n"/>
    </row>
    <row r="1692">
      <c r="A1692" s="8">
        <f>B1692&amp;"_"&amp;C1692</f>
        <v/>
      </c>
      <c r="B1692" s="8" t="n"/>
      <c r="C1692" s="8" t="n"/>
      <c r="D1692" s="8" t="n"/>
      <c r="E1692" s="11" t="n"/>
      <c r="F1692" s="11" t="n"/>
      <c r="G1692" s="8" t="n"/>
      <c r="H1692" s="8" t="n"/>
      <c r="I1692" s="8" t="n"/>
      <c r="J1692" s="8" t="n"/>
      <c r="K1692" s="12">
        <f>IF(OR(ISERROR(VLOOKUP(C1692, Resultados_Reales!$A$4:$I$107, 5, FALSE)), ISERROR(VLOOKUP(C1692, Resultados_Reales!$A$4:$I$107, 6, FALSE)), VLOOKUP(C1692, Resultados_Reales!$A$4:$I$107, 5, FALSE)="", VLOOKUP(C1692, Resultados_Reales!$A$4:$I$107, 6, FALSE)=""), 0, IF(AND(VLOOKUP(C1692, Resultados_Reales!$A$4:$I$107, 5, FALSE)=G1692, VLOOKUP(C1692, Resultados_Reales!$A$4:$I$107, 6, FALSE)=H1692), Configuracion!$B$5, IF(SIGN(VLOOKUP(C1692, Resultados_Reales!$A$4:$I$107, 5, FALSE)-VLOOKUP(C1692, Resultados_Reales!$A$4:$I$107, 6, FALSE)) = SIGN(G1692-H1692), Configuracion!$B$4, 0)))</f>
        <v/>
      </c>
      <c r="L1692" s="11" t="n"/>
      <c r="M1692" s="11" t="n"/>
      <c r="N1692" s="11" t="n"/>
      <c r="O1692" s="11" t="n"/>
      <c r="P1692" s="11" t="n"/>
      <c r="Q1692" s="11" t="n"/>
    </row>
    <row r="1693">
      <c r="A1693" s="8">
        <f>B1693&amp;"_"&amp;C1693</f>
        <v/>
      </c>
      <c r="B1693" s="8" t="n"/>
      <c r="C1693" s="8" t="n"/>
      <c r="D1693" s="8" t="n"/>
      <c r="E1693" s="11" t="n"/>
      <c r="F1693" s="11" t="n"/>
      <c r="G1693" s="8" t="n"/>
      <c r="H1693" s="8" t="n"/>
      <c r="I1693" s="8" t="n"/>
      <c r="J1693" s="8" t="n"/>
      <c r="K1693" s="12">
        <f>IF(OR(ISERROR(VLOOKUP(C1693, Resultados_Reales!$A$4:$I$107, 5, FALSE)), ISERROR(VLOOKUP(C1693, Resultados_Reales!$A$4:$I$107, 6, FALSE)), VLOOKUP(C1693, Resultados_Reales!$A$4:$I$107, 5, FALSE)="", VLOOKUP(C1693, Resultados_Reales!$A$4:$I$107, 6, FALSE)=""), 0, IF(AND(VLOOKUP(C1693, Resultados_Reales!$A$4:$I$107, 5, FALSE)=G1693, VLOOKUP(C1693, Resultados_Reales!$A$4:$I$107, 6, FALSE)=H1693), Configuracion!$B$5, IF(SIGN(VLOOKUP(C1693, Resultados_Reales!$A$4:$I$107, 5, FALSE)-VLOOKUP(C1693, Resultados_Reales!$A$4:$I$107, 6, FALSE)) = SIGN(G1693-H1693), Configuracion!$B$4, 0)))</f>
        <v/>
      </c>
      <c r="L1693" s="11" t="n"/>
      <c r="M1693" s="11" t="n"/>
      <c r="N1693" s="11" t="n"/>
      <c r="O1693" s="11" t="n"/>
      <c r="P1693" s="11" t="n"/>
      <c r="Q1693" s="11" t="n"/>
    </row>
    <row r="1694">
      <c r="A1694" s="8">
        <f>B1694&amp;"_"&amp;C1694</f>
        <v/>
      </c>
      <c r="B1694" s="8" t="n"/>
      <c r="C1694" s="8" t="n"/>
      <c r="D1694" s="8" t="n"/>
      <c r="E1694" s="11" t="n"/>
      <c r="F1694" s="11" t="n"/>
      <c r="G1694" s="8" t="n"/>
      <c r="H1694" s="8" t="n"/>
      <c r="I1694" s="8" t="n"/>
      <c r="J1694" s="8" t="n"/>
      <c r="K1694" s="12">
        <f>IF(OR(ISERROR(VLOOKUP(C1694, Resultados_Reales!$A$4:$I$107, 5, FALSE)), ISERROR(VLOOKUP(C1694, Resultados_Reales!$A$4:$I$107, 6, FALSE)), VLOOKUP(C1694, Resultados_Reales!$A$4:$I$107, 5, FALSE)="", VLOOKUP(C1694, Resultados_Reales!$A$4:$I$107, 6, FALSE)=""), 0, IF(AND(VLOOKUP(C1694, Resultados_Reales!$A$4:$I$107, 5, FALSE)=G1694, VLOOKUP(C1694, Resultados_Reales!$A$4:$I$107, 6, FALSE)=H1694), Configuracion!$B$5, IF(SIGN(VLOOKUP(C1694, Resultados_Reales!$A$4:$I$107, 5, FALSE)-VLOOKUP(C1694, Resultados_Reales!$A$4:$I$107, 6, FALSE)) = SIGN(G1694-H1694), Configuracion!$B$4, 0)))</f>
        <v/>
      </c>
      <c r="L1694" s="11" t="n"/>
      <c r="M1694" s="11" t="n"/>
      <c r="N1694" s="11" t="n"/>
      <c r="O1694" s="11" t="n"/>
      <c r="P1694" s="11" t="n"/>
      <c r="Q1694" s="11" t="n"/>
    </row>
    <row r="1695">
      <c r="A1695" s="8">
        <f>B1695&amp;"_"&amp;C1695</f>
        <v/>
      </c>
      <c r="B1695" s="8" t="n"/>
      <c r="C1695" s="8" t="n"/>
      <c r="D1695" s="8" t="n"/>
      <c r="E1695" s="11" t="n"/>
      <c r="F1695" s="11" t="n"/>
      <c r="G1695" s="8" t="n"/>
      <c r="H1695" s="8" t="n"/>
      <c r="I1695" s="8" t="n"/>
      <c r="J1695" s="8" t="n"/>
      <c r="K1695" s="12">
        <f>IF(OR(ISERROR(VLOOKUP(C1695, Resultados_Reales!$A$4:$I$107, 5, FALSE)), ISERROR(VLOOKUP(C1695, Resultados_Reales!$A$4:$I$107, 6, FALSE)), VLOOKUP(C1695, Resultados_Reales!$A$4:$I$107, 5, FALSE)="", VLOOKUP(C1695, Resultados_Reales!$A$4:$I$107, 6, FALSE)=""), 0, IF(AND(VLOOKUP(C1695, Resultados_Reales!$A$4:$I$107, 5, FALSE)=G1695, VLOOKUP(C1695, Resultados_Reales!$A$4:$I$107, 6, FALSE)=H1695), Configuracion!$B$5, IF(SIGN(VLOOKUP(C1695, Resultados_Reales!$A$4:$I$107, 5, FALSE)-VLOOKUP(C1695, Resultados_Reales!$A$4:$I$107, 6, FALSE)) = SIGN(G1695-H1695), Configuracion!$B$4, 0)))</f>
        <v/>
      </c>
      <c r="L1695" s="11" t="n"/>
      <c r="M1695" s="11" t="n"/>
      <c r="N1695" s="11" t="n"/>
      <c r="O1695" s="11" t="n"/>
      <c r="P1695" s="11" t="n"/>
      <c r="Q1695" s="11" t="n"/>
    </row>
    <row r="1696">
      <c r="A1696" s="8">
        <f>B1696&amp;"_"&amp;C1696</f>
        <v/>
      </c>
      <c r="B1696" s="8" t="n"/>
      <c r="C1696" s="8" t="n"/>
      <c r="D1696" s="8" t="n"/>
      <c r="E1696" s="11" t="n"/>
      <c r="F1696" s="11" t="n"/>
      <c r="G1696" s="8" t="n"/>
      <c r="H1696" s="8" t="n"/>
      <c r="I1696" s="8" t="n"/>
      <c r="J1696" s="8" t="n"/>
      <c r="K1696" s="12">
        <f>IF(OR(ISERROR(VLOOKUP(C1696, Resultados_Reales!$A$4:$I$107, 5, FALSE)), ISERROR(VLOOKUP(C1696, Resultados_Reales!$A$4:$I$107, 6, FALSE)), VLOOKUP(C1696, Resultados_Reales!$A$4:$I$107, 5, FALSE)="", VLOOKUP(C1696, Resultados_Reales!$A$4:$I$107, 6, FALSE)=""), 0, IF(AND(VLOOKUP(C1696, Resultados_Reales!$A$4:$I$107, 5, FALSE)=G1696, VLOOKUP(C1696, Resultados_Reales!$A$4:$I$107, 6, FALSE)=H1696), Configuracion!$B$5, IF(SIGN(VLOOKUP(C1696, Resultados_Reales!$A$4:$I$107, 5, FALSE)-VLOOKUP(C1696, Resultados_Reales!$A$4:$I$107, 6, FALSE)) = SIGN(G1696-H1696), Configuracion!$B$4, 0)))</f>
        <v/>
      </c>
      <c r="L1696" s="11" t="n"/>
      <c r="M1696" s="11" t="n"/>
      <c r="N1696" s="11" t="n"/>
      <c r="O1696" s="11" t="n"/>
      <c r="P1696" s="11" t="n"/>
      <c r="Q1696" s="11" t="n"/>
    </row>
    <row r="1697">
      <c r="A1697" s="8">
        <f>B1697&amp;"_"&amp;C1697</f>
        <v/>
      </c>
      <c r="B1697" s="8" t="n"/>
      <c r="C1697" s="8" t="n"/>
      <c r="D1697" s="8" t="n"/>
      <c r="E1697" s="11" t="n"/>
      <c r="F1697" s="11" t="n"/>
      <c r="G1697" s="8" t="n"/>
      <c r="H1697" s="8" t="n"/>
      <c r="I1697" s="8" t="n"/>
      <c r="J1697" s="8" t="n"/>
      <c r="K1697" s="12">
        <f>IF(OR(ISERROR(VLOOKUP(C1697, Resultados_Reales!$A$4:$I$107, 5, FALSE)), ISERROR(VLOOKUP(C1697, Resultados_Reales!$A$4:$I$107, 6, FALSE)), VLOOKUP(C1697, Resultados_Reales!$A$4:$I$107, 5, FALSE)="", VLOOKUP(C1697, Resultados_Reales!$A$4:$I$107, 6, FALSE)=""), 0, IF(AND(VLOOKUP(C1697, Resultados_Reales!$A$4:$I$107, 5, FALSE)=G1697, VLOOKUP(C1697, Resultados_Reales!$A$4:$I$107, 6, FALSE)=H1697), Configuracion!$B$5, IF(SIGN(VLOOKUP(C1697, Resultados_Reales!$A$4:$I$107, 5, FALSE)-VLOOKUP(C1697, Resultados_Reales!$A$4:$I$107, 6, FALSE)) = SIGN(G1697-H1697), Configuracion!$B$4, 0)))</f>
        <v/>
      </c>
      <c r="L1697" s="11" t="n"/>
      <c r="M1697" s="11" t="n"/>
      <c r="N1697" s="11" t="n"/>
      <c r="O1697" s="11" t="n"/>
      <c r="P1697" s="11" t="n"/>
      <c r="Q1697" s="11" t="n"/>
    </row>
    <row r="1698">
      <c r="A1698" s="8">
        <f>B1698&amp;"_"&amp;C1698</f>
        <v/>
      </c>
      <c r="B1698" s="8" t="n"/>
      <c r="C1698" s="8" t="n"/>
      <c r="D1698" s="8" t="n"/>
      <c r="E1698" s="11" t="n"/>
      <c r="F1698" s="11" t="n"/>
      <c r="G1698" s="8" t="n"/>
      <c r="H1698" s="8" t="n"/>
      <c r="I1698" s="8" t="n"/>
      <c r="J1698" s="8" t="n"/>
      <c r="K1698" s="12">
        <f>IF(OR(ISERROR(VLOOKUP(C1698, Resultados_Reales!$A$4:$I$107, 5, FALSE)), ISERROR(VLOOKUP(C1698, Resultados_Reales!$A$4:$I$107, 6, FALSE)), VLOOKUP(C1698, Resultados_Reales!$A$4:$I$107, 5, FALSE)="", VLOOKUP(C1698, Resultados_Reales!$A$4:$I$107, 6, FALSE)=""), 0, IF(AND(VLOOKUP(C1698, Resultados_Reales!$A$4:$I$107, 5, FALSE)=G1698, VLOOKUP(C1698, Resultados_Reales!$A$4:$I$107, 6, FALSE)=H1698), Configuracion!$B$5, IF(SIGN(VLOOKUP(C1698, Resultados_Reales!$A$4:$I$107, 5, FALSE)-VLOOKUP(C1698, Resultados_Reales!$A$4:$I$107, 6, FALSE)) = SIGN(G1698-H1698), Configuracion!$B$4, 0)))</f>
        <v/>
      </c>
      <c r="L1698" s="11" t="n"/>
      <c r="M1698" s="11" t="n"/>
      <c r="N1698" s="11" t="n"/>
      <c r="O1698" s="11" t="n"/>
      <c r="P1698" s="11" t="n"/>
      <c r="Q1698" s="11" t="n"/>
    </row>
    <row r="1699">
      <c r="A1699" s="8">
        <f>B1699&amp;"_"&amp;C1699</f>
        <v/>
      </c>
      <c r="B1699" s="8" t="n"/>
      <c r="C1699" s="8" t="n"/>
      <c r="D1699" s="8" t="n"/>
      <c r="E1699" s="11" t="n"/>
      <c r="F1699" s="11" t="n"/>
      <c r="G1699" s="8" t="n"/>
      <c r="H1699" s="8" t="n"/>
      <c r="I1699" s="8" t="n"/>
      <c r="J1699" s="8" t="n"/>
      <c r="K1699" s="12">
        <f>IF(OR(ISERROR(VLOOKUP(C1699, Resultados_Reales!$A$4:$I$107, 5, FALSE)), ISERROR(VLOOKUP(C1699, Resultados_Reales!$A$4:$I$107, 6, FALSE)), VLOOKUP(C1699, Resultados_Reales!$A$4:$I$107, 5, FALSE)="", VLOOKUP(C1699, Resultados_Reales!$A$4:$I$107, 6, FALSE)=""), 0, IF(AND(VLOOKUP(C1699, Resultados_Reales!$A$4:$I$107, 5, FALSE)=G1699, VLOOKUP(C1699, Resultados_Reales!$A$4:$I$107, 6, FALSE)=H1699), Configuracion!$B$5, IF(SIGN(VLOOKUP(C1699, Resultados_Reales!$A$4:$I$107, 5, FALSE)-VLOOKUP(C1699, Resultados_Reales!$A$4:$I$107, 6, FALSE)) = SIGN(G1699-H1699), Configuracion!$B$4, 0)))</f>
        <v/>
      </c>
      <c r="L1699" s="11" t="n"/>
      <c r="M1699" s="11" t="n"/>
      <c r="N1699" s="11" t="n"/>
      <c r="O1699" s="11" t="n"/>
      <c r="P1699" s="11" t="n"/>
      <c r="Q1699" s="11" t="n"/>
    </row>
    <row r="1700">
      <c r="A1700" s="8">
        <f>B1700&amp;"_"&amp;C1700</f>
        <v/>
      </c>
      <c r="B1700" s="8" t="n"/>
      <c r="C1700" s="8" t="n"/>
      <c r="D1700" s="8" t="n"/>
      <c r="E1700" s="11" t="n"/>
      <c r="F1700" s="11" t="n"/>
      <c r="G1700" s="8" t="n"/>
      <c r="H1700" s="8" t="n"/>
      <c r="I1700" s="8" t="n"/>
      <c r="J1700" s="8" t="n"/>
      <c r="K1700" s="12">
        <f>IF(OR(ISERROR(VLOOKUP(C1700, Resultados_Reales!$A$4:$I$107, 5, FALSE)), ISERROR(VLOOKUP(C1700, Resultados_Reales!$A$4:$I$107, 6, FALSE)), VLOOKUP(C1700, Resultados_Reales!$A$4:$I$107, 5, FALSE)="", VLOOKUP(C1700, Resultados_Reales!$A$4:$I$107, 6, FALSE)=""), 0, IF(AND(VLOOKUP(C1700, Resultados_Reales!$A$4:$I$107, 5, FALSE)=G1700, VLOOKUP(C1700, Resultados_Reales!$A$4:$I$107, 6, FALSE)=H1700), Configuracion!$B$5, IF(SIGN(VLOOKUP(C1700, Resultados_Reales!$A$4:$I$107, 5, FALSE)-VLOOKUP(C1700, Resultados_Reales!$A$4:$I$107, 6, FALSE)) = SIGN(G1700-H1700), Configuracion!$B$4, 0)))</f>
        <v/>
      </c>
      <c r="L1700" s="11" t="n"/>
      <c r="M1700" s="11" t="n"/>
      <c r="N1700" s="11" t="n"/>
      <c r="O1700" s="11" t="n"/>
      <c r="P1700" s="11" t="n"/>
      <c r="Q1700" s="11" t="n"/>
    </row>
    <row r="1701">
      <c r="A1701" s="8">
        <f>B1701&amp;"_"&amp;C1701</f>
        <v/>
      </c>
      <c r="B1701" s="8" t="n"/>
      <c r="C1701" s="8" t="n"/>
      <c r="D1701" s="8" t="n"/>
      <c r="E1701" s="11" t="n"/>
      <c r="F1701" s="11" t="n"/>
      <c r="G1701" s="8" t="n"/>
      <c r="H1701" s="8" t="n"/>
      <c r="I1701" s="8" t="n"/>
      <c r="J1701" s="8" t="n"/>
      <c r="K1701" s="12">
        <f>IF(OR(ISERROR(VLOOKUP(C1701, Resultados_Reales!$A$4:$I$107, 5, FALSE)), ISERROR(VLOOKUP(C1701, Resultados_Reales!$A$4:$I$107, 6, FALSE)), VLOOKUP(C1701, Resultados_Reales!$A$4:$I$107, 5, FALSE)="", VLOOKUP(C1701, Resultados_Reales!$A$4:$I$107, 6, FALSE)=""), 0, IF(AND(VLOOKUP(C1701, Resultados_Reales!$A$4:$I$107, 5, FALSE)=G1701, VLOOKUP(C1701, Resultados_Reales!$A$4:$I$107, 6, FALSE)=H1701), Configuracion!$B$5, IF(SIGN(VLOOKUP(C1701, Resultados_Reales!$A$4:$I$107, 5, FALSE)-VLOOKUP(C1701, Resultados_Reales!$A$4:$I$107, 6, FALSE)) = SIGN(G1701-H1701), Configuracion!$B$4, 0)))</f>
        <v/>
      </c>
      <c r="L1701" s="11" t="n"/>
      <c r="M1701" s="11" t="n"/>
      <c r="N1701" s="11" t="n"/>
      <c r="O1701" s="11" t="n"/>
      <c r="P1701" s="11" t="n"/>
      <c r="Q1701" s="11" t="n"/>
    </row>
    <row r="1702">
      <c r="A1702" s="8">
        <f>B1702&amp;"_"&amp;C1702</f>
        <v/>
      </c>
      <c r="B1702" s="8" t="n"/>
      <c r="C1702" s="8" t="n"/>
      <c r="D1702" s="8" t="n"/>
      <c r="E1702" s="11" t="n"/>
      <c r="F1702" s="11" t="n"/>
      <c r="G1702" s="8" t="n"/>
      <c r="H1702" s="8" t="n"/>
      <c r="I1702" s="8" t="n"/>
      <c r="J1702" s="8" t="n"/>
      <c r="K1702" s="12">
        <f>IF(OR(ISERROR(VLOOKUP(C1702, Resultados_Reales!$A$4:$I$107, 5, FALSE)), ISERROR(VLOOKUP(C1702, Resultados_Reales!$A$4:$I$107, 6, FALSE)), VLOOKUP(C1702, Resultados_Reales!$A$4:$I$107, 5, FALSE)="", VLOOKUP(C1702, Resultados_Reales!$A$4:$I$107, 6, FALSE)=""), 0, IF(AND(VLOOKUP(C1702, Resultados_Reales!$A$4:$I$107, 5, FALSE)=G1702, VLOOKUP(C1702, Resultados_Reales!$A$4:$I$107, 6, FALSE)=H1702), Configuracion!$B$5, IF(SIGN(VLOOKUP(C1702, Resultados_Reales!$A$4:$I$107, 5, FALSE)-VLOOKUP(C1702, Resultados_Reales!$A$4:$I$107, 6, FALSE)) = SIGN(G1702-H1702), Configuracion!$B$4, 0)))</f>
        <v/>
      </c>
      <c r="L1702" s="11" t="n"/>
      <c r="M1702" s="11" t="n"/>
      <c r="N1702" s="11" t="n"/>
      <c r="O1702" s="11" t="n"/>
      <c r="P1702" s="11" t="n"/>
      <c r="Q1702" s="11" t="n"/>
    </row>
    <row r="1703">
      <c r="A1703" s="8">
        <f>B1703&amp;"_"&amp;C1703</f>
        <v/>
      </c>
      <c r="B1703" s="8" t="n"/>
      <c r="C1703" s="8" t="n"/>
      <c r="D1703" s="8" t="n"/>
      <c r="E1703" s="11" t="n"/>
      <c r="F1703" s="11" t="n"/>
      <c r="G1703" s="8" t="n"/>
      <c r="H1703" s="8" t="n"/>
      <c r="I1703" s="8" t="n"/>
      <c r="J1703" s="8" t="n"/>
      <c r="K1703" s="12">
        <f>IF(OR(ISERROR(VLOOKUP(C1703, Resultados_Reales!$A$4:$I$107, 5, FALSE)), ISERROR(VLOOKUP(C1703, Resultados_Reales!$A$4:$I$107, 6, FALSE)), VLOOKUP(C1703, Resultados_Reales!$A$4:$I$107, 5, FALSE)="", VLOOKUP(C1703, Resultados_Reales!$A$4:$I$107, 6, FALSE)=""), 0, IF(AND(VLOOKUP(C1703, Resultados_Reales!$A$4:$I$107, 5, FALSE)=G1703, VLOOKUP(C1703, Resultados_Reales!$A$4:$I$107, 6, FALSE)=H1703), Configuracion!$B$5, IF(SIGN(VLOOKUP(C1703, Resultados_Reales!$A$4:$I$107, 5, FALSE)-VLOOKUP(C1703, Resultados_Reales!$A$4:$I$107, 6, FALSE)) = SIGN(G1703-H1703), Configuracion!$B$4, 0)))</f>
        <v/>
      </c>
      <c r="L1703" s="11" t="n"/>
      <c r="M1703" s="11" t="n"/>
      <c r="N1703" s="11" t="n"/>
      <c r="O1703" s="11" t="n"/>
      <c r="P1703" s="11" t="n"/>
      <c r="Q1703" s="11" t="n"/>
    </row>
    <row r="1704">
      <c r="A1704" s="8">
        <f>B1704&amp;"_"&amp;C1704</f>
        <v/>
      </c>
      <c r="B1704" s="8" t="n"/>
      <c r="C1704" s="8" t="n"/>
      <c r="D1704" s="8" t="n"/>
      <c r="E1704" s="11" t="n"/>
      <c r="F1704" s="11" t="n"/>
      <c r="G1704" s="8" t="n"/>
      <c r="H1704" s="8" t="n"/>
      <c r="I1704" s="8" t="n"/>
      <c r="J1704" s="8" t="n"/>
      <c r="K1704" s="12">
        <f>IF(OR(ISERROR(VLOOKUP(C1704, Resultados_Reales!$A$4:$I$107, 5, FALSE)), ISERROR(VLOOKUP(C1704, Resultados_Reales!$A$4:$I$107, 6, FALSE)), VLOOKUP(C1704, Resultados_Reales!$A$4:$I$107, 5, FALSE)="", VLOOKUP(C1704, Resultados_Reales!$A$4:$I$107, 6, FALSE)=""), 0, IF(AND(VLOOKUP(C1704, Resultados_Reales!$A$4:$I$107, 5, FALSE)=G1704, VLOOKUP(C1704, Resultados_Reales!$A$4:$I$107, 6, FALSE)=H1704), Configuracion!$B$5, IF(SIGN(VLOOKUP(C1704, Resultados_Reales!$A$4:$I$107, 5, FALSE)-VLOOKUP(C1704, Resultados_Reales!$A$4:$I$107, 6, FALSE)) = SIGN(G1704-H1704), Configuracion!$B$4, 0)))</f>
        <v/>
      </c>
      <c r="L1704" s="11" t="n"/>
      <c r="M1704" s="11" t="n"/>
      <c r="N1704" s="11" t="n"/>
      <c r="O1704" s="11" t="n"/>
      <c r="P1704" s="11" t="n"/>
      <c r="Q1704" s="11" t="n"/>
    </row>
    <row r="1705">
      <c r="A1705" s="8">
        <f>B1705&amp;"_"&amp;C1705</f>
        <v/>
      </c>
      <c r="B1705" s="8" t="n"/>
      <c r="C1705" s="8" t="n"/>
      <c r="D1705" s="8" t="n"/>
      <c r="E1705" s="11" t="n"/>
      <c r="F1705" s="11" t="n"/>
      <c r="G1705" s="8" t="n"/>
      <c r="H1705" s="8" t="n"/>
      <c r="I1705" s="8" t="n"/>
      <c r="J1705" s="8" t="n"/>
      <c r="K1705" s="12">
        <f>IF(OR(ISERROR(VLOOKUP(C1705, Resultados_Reales!$A$4:$I$107, 5, FALSE)), ISERROR(VLOOKUP(C1705, Resultados_Reales!$A$4:$I$107, 6, FALSE)), VLOOKUP(C1705, Resultados_Reales!$A$4:$I$107, 5, FALSE)="", VLOOKUP(C1705, Resultados_Reales!$A$4:$I$107, 6, FALSE)=""), 0, IF(AND(VLOOKUP(C1705, Resultados_Reales!$A$4:$I$107, 5, FALSE)=G1705, VLOOKUP(C1705, Resultados_Reales!$A$4:$I$107, 6, FALSE)=H1705), Configuracion!$B$5, IF(SIGN(VLOOKUP(C1705, Resultados_Reales!$A$4:$I$107, 5, FALSE)-VLOOKUP(C1705, Resultados_Reales!$A$4:$I$107, 6, FALSE)) = SIGN(G1705-H1705), Configuracion!$B$4, 0)))</f>
        <v/>
      </c>
      <c r="L1705" s="11" t="n"/>
      <c r="M1705" s="11" t="n"/>
      <c r="N1705" s="11" t="n"/>
      <c r="O1705" s="11" t="n"/>
      <c r="P1705" s="11" t="n"/>
      <c r="Q1705" s="11" t="n"/>
    </row>
    <row r="1706">
      <c r="A1706" s="8">
        <f>B1706&amp;"_"&amp;C1706</f>
        <v/>
      </c>
      <c r="B1706" s="8" t="n"/>
      <c r="C1706" s="8" t="n"/>
      <c r="D1706" s="8" t="n"/>
      <c r="E1706" s="11" t="n"/>
      <c r="F1706" s="11" t="n"/>
      <c r="G1706" s="8" t="n"/>
      <c r="H1706" s="8" t="n"/>
      <c r="I1706" s="8" t="n"/>
      <c r="J1706" s="8" t="n"/>
      <c r="K1706" s="12">
        <f>IF(OR(ISERROR(VLOOKUP(C1706, Resultados_Reales!$A$4:$I$107, 5, FALSE)), ISERROR(VLOOKUP(C1706, Resultados_Reales!$A$4:$I$107, 6, FALSE)), VLOOKUP(C1706, Resultados_Reales!$A$4:$I$107, 5, FALSE)="", VLOOKUP(C1706, Resultados_Reales!$A$4:$I$107, 6, FALSE)=""), 0, IF(AND(VLOOKUP(C1706, Resultados_Reales!$A$4:$I$107, 5, FALSE)=G1706, VLOOKUP(C1706, Resultados_Reales!$A$4:$I$107, 6, FALSE)=H1706), Configuracion!$B$5, IF(SIGN(VLOOKUP(C1706, Resultados_Reales!$A$4:$I$107, 5, FALSE)-VLOOKUP(C1706, Resultados_Reales!$A$4:$I$107, 6, FALSE)) = SIGN(G1706-H1706), Configuracion!$B$4, 0)))</f>
        <v/>
      </c>
      <c r="L1706" s="11" t="n"/>
      <c r="M1706" s="11" t="n"/>
      <c r="N1706" s="11" t="n"/>
      <c r="O1706" s="11" t="n"/>
      <c r="P1706" s="11" t="n"/>
      <c r="Q1706" s="11" t="n"/>
    </row>
    <row r="1707">
      <c r="A1707" s="8">
        <f>B1707&amp;"_"&amp;C1707</f>
        <v/>
      </c>
      <c r="B1707" s="8" t="n"/>
      <c r="C1707" s="8" t="n"/>
      <c r="D1707" s="8" t="n"/>
      <c r="E1707" s="11" t="n"/>
      <c r="F1707" s="11" t="n"/>
      <c r="G1707" s="8" t="n"/>
      <c r="H1707" s="8" t="n"/>
      <c r="I1707" s="8" t="n"/>
      <c r="J1707" s="8" t="n"/>
      <c r="K1707" s="12">
        <f>IF(OR(ISERROR(VLOOKUP(C1707, Resultados_Reales!$A$4:$I$107, 5, FALSE)), ISERROR(VLOOKUP(C1707, Resultados_Reales!$A$4:$I$107, 6, FALSE)), VLOOKUP(C1707, Resultados_Reales!$A$4:$I$107, 5, FALSE)="", VLOOKUP(C1707, Resultados_Reales!$A$4:$I$107, 6, FALSE)=""), 0, IF(AND(VLOOKUP(C1707, Resultados_Reales!$A$4:$I$107, 5, FALSE)=G1707, VLOOKUP(C1707, Resultados_Reales!$A$4:$I$107, 6, FALSE)=H1707), Configuracion!$B$5, IF(SIGN(VLOOKUP(C1707, Resultados_Reales!$A$4:$I$107, 5, FALSE)-VLOOKUP(C1707, Resultados_Reales!$A$4:$I$107, 6, FALSE)) = SIGN(G1707-H1707), Configuracion!$B$4, 0)))</f>
        <v/>
      </c>
      <c r="L1707" s="11" t="n"/>
      <c r="M1707" s="11" t="n"/>
      <c r="N1707" s="11" t="n"/>
      <c r="O1707" s="11" t="n"/>
      <c r="P1707" s="11" t="n"/>
      <c r="Q1707" s="11" t="n"/>
    </row>
    <row r="1708">
      <c r="A1708" s="8">
        <f>B1708&amp;"_"&amp;C1708</f>
        <v/>
      </c>
      <c r="B1708" s="8" t="n"/>
      <c r="C1708" s="8" t="n"/>
      <c r="D1708" s="8" t="n"/>
      <c r="E1708" s="11" t="n"/>
      <c r="F1708" s="11" t="n"/>
      <c r="G1708" s="8" t="n"/>
      <c r="H1708" s="8" t="n"/>
      <c r="I1708" s="8" t="n"/>
      <c r="J1708" s="8" t="n"/>
      <c r="K1708" s="12">
        <f>IF(OR(ISERROR(VLOOKUP(C1708, Resultados_Reales!$A$4:$I$107, 5, FALSE)), ISERROR(VLOOKUP(C1708, Resultados_Reales!$A$4:$I$107, 6, FALSE)), VLOOKUP(C1708, Resultados_Reales!$A$4:$I$107, 5, FALSE)="", VLOOKUP(C1708, Resultados_Reales!$A$4:$I$107, 6, FALSE)=""), 0, IF(AND(VLOOKUP(C1708, Resultados_Reales!$A$4:$I$107, 5, FALSE)=G1708, VLOOKUP(C1708, Resultados_Reales!$A$4:$I$107, 6, FALSE)=H1708), Configuracion!$B$5, IF(SIGN(VLOOKUP(C1708, Resultados_Reales!$A$4:$I$107, 5, FALSE)-VLOOKUP(C1708, Resultados_Reales!$A$4:$I$107, 6, FALSE)) = SIGN(G1708-H1708), Configuracion!$B$4, 0)))</f>
        <v/>
      </c>
      <c r="L1708" s="11" t="n"/>
      <c r="M1708" s="11" t="n"/>
      <c r="N1708" s="11" t="n"/>
      <c r="O1708" s="11" t="n"/>
      <c r="P1708" s="11" t="n"/>
      <c r="Q1708" s="11" t="n"/>
    </row>
    <row r="1709">
      <c r="A1709" s="8">
        <f>B1709&amp;"_"&amp;C1709</f>
        <v/>
      </c>
      <c r="B1709" s="8" t="n"/>
      <c r="C1709" s="8" t="n"/>
      <c r="D1709" s="8" t="n"/>
      <c r="E1709" s="11" t="n"/>
      <c r="F1709" s="11" t="n"/>
      <c r="G1709" s="8" t="n"/>
      <c r="H1709" s="8" t="n"/>
      <c r="I1709" s="8" t="n"/>
      <c r="J1709" s="8" t="n"/>
      <c r="K1709" s="12">
        <f>IF(OR(ISERROR(VLOOKUP(C1709, Resultados_Reales!$A$4:$I$107, 5, FALSE)), ISERROR(VLOOKUP(C1709, Resultados_Reales!$A$4:$I$107, 6, FALSE)), VLOOKUP(C1709, Resultados_Reales!$A$4:$I$107, 5, FALSE)="", VLOOKUP(C1709, Resultados_Reales!$A$4:$I$107, 6, FALSE)=""), 0, IF(AND(VLOOKUP(C1709, Resultados_Reales!$A$4:$I$107, 5, FALSE)=G1709, VLOOKUP(C1709, Resultados_Reales!$A$4:$I$107, 6, FALSE)=H1709), Configuracion!$B$5, IF(SIGN(VLOOKUP(C1709, Resultados_Reales!$A$4:$I$107, 5, FALSE)-VLOOKUP(C1709, Resultados_Reales!$A$4:$I$107, 6, FALSE)) = SIGN(G1709-H1709), Configuracion!$B$4, 0)))</f>
        <v/>
      </c>
      <c r="L1709" s="11" t="n"/>
      <c r="M1709" s="11" t="n"/>
      <c r="N1709" s="11" t="n"/>
      <c r="O1709" s="11" t="n"/>
      <c r="P1709" s="11" t="n"/>
      <c r="Q1709" s="11" t="n"/>
    </row>
    <row r="1710">
      <c r="A1710" s="8">
        <f>B1710&amp;"_"&amp;C1710</f>
        <v/>
      </c>
      <c r="B1710" s="8" t="n"/>
      <c r="C1710" s="8" t="n"/>
      <c r="D1710" s="8" t="n"/>
      <c r="E1710" s="11" t="n"/>
      <c r="F1710" s="11" t="n"/>
      <c r="G1710" s="8" t="n"/>
      <c r="H1710" s="8" t="n"/>
      <c r="I1710" s="8" t="n"/>
      <c r="J1710" s="8" t="n"/>
      <c r="K1710" s="12">
        <f>IF(OR(ISERROR(VLOOKUP(C1710, Resultados_Reales!$A$4:$I$107, 5, FALSE)), ISERROR(VLOOKUP(C1710, Resultados_Reales!$A$4:$I$107, 6, FALSE)), VLOOKUP(C1710, Resultados_Reales!$A$4:$I$107, 5, FALSE)="", VLOOKUP(C1710, Resultados_Reales!$A$4:$I$107, 6, FALSE)=""), 0, IF(AND(VLOOKUP(C1710, Resultados_Reales!$A$4:$I$107, 5, FALSE)=G1710, VLOOKUP(C1710, Resultados_Reales!$A$4:$I$107, 6, FALSE)=H1710), Configuracion!$B$5, IF(SIGN(VLOOKUP(C1710, Resultados_Reales!$A$4:$I$107, 5, FALSE)-VLOOKUP(C1710, Resultados_Reales!$A$4:$I$107, 6, FALSE)) = SIGN(G1710-H1710), Configuracion!$B$4, 0)))</f>
        <v/>
      </c>
      <c r="L1710" s="11" t="n"/>
      <c r="M1710" s="11" t="n"/>
      <c r="N1710" s="11" t="n"/>
      <c r="O1710" s="11" t="n"/>
      <c r="P1710" s="11" t="n"/>
      <c r="Q1710" s="11" t="n"/>
    </row>
    <row r="1711">
      <c r="A1711" s="8">
        <f>B1711&amp;"_"&amp;C1711</f>
        <v/>
      </c>
      <c r="B1711" s="8" t="n"/>
      <c r="C1711" s="8" t="n"/>
      <c r="D1711" s="8" t="n"/>
      <c r="E1711" s="11" t="n"/>
      <c r="F1711" s="11" t="n"/>
      <c r="G1711" s="8" t="n"/>
      <c r="H1711" s="8" t="n"/>
      <c r="I1711" s="8" t="n"/>
      <c r="J1711" s="8" t="n"/>
      <c r="K1711" s="12">
        <f>IF(OR(ISERROR(VLOOKUP(C1711, Resultados_Reales!$A$4:$I$107, 5, FALSE)), ISERROR(VLOOKUP(C1711, Resultados_Reales!$A$4:$I$107, 6, FALSE)), VLOOKUP(C1711, Resultados_Reales!$A$4:$I$107, 5, FALSE)="", VLOOKUP(C1711, Resultados_Reales!$A$4:$I$107, 6, FALSE)=""), 0, IF(AND(VLOOKUP(C1711, Resultados_Reales!$A$4:$I$107, 5, FALSE)=G1711, VLOOKUP(C1711, Resultados_Reales!$A$4:$I$107, 6, FALSE)=H1711), Configuracion!$B$5, IF(SIGN(VLOOKUP(C1711, Resultados_Reales!$A$4:$I$107, 5, FALSE)-VLOOKUP(C1711, Resultados_Reales!$A$4:$I$107, 6, FALSE)) = SIGN(G1711-H1711), Configuracion!$B$4, 0)))</f>
        <v/>
      </c>
      <c r="L1711" s="11" t="n"/>
      <c r="M1711" s="11" t="n"/>
      <c r="N1711" s="11" t="n"/>
      <c r="O1711" s="11" t="n"/>
      <c r="P1711" s="11" t="n"/>
      <c r="Q1711" s="11" t="n"/>
    </row>
    <row r="1712">
      <c r="A1712" s="8">
        <f>B1712&amp;"_"&amp;C1712</f>
        <v/>
      </c>
      <c r="B1712" s="8" t="n"/>
      <c r="C1712" s="8" t="n"/>
      <c r="D1712" s="8" t="n"/>
      <c r="E1712" s="11" t="n"/>
      <c r="F1712" s="11" t="n"/>
      <c r="G1712" s="8" t="n"/>
      <c r="H1712" s="8" t="n"/>
      <c r="I1712" s="8" t="n"/>
      <c r="J1712" s="8" t="n"/>
      <c r="K1712" s="12">
        <f>IF(OR(ISERROR(VLOOKUP(C1712, Resultados_Reales!$A$4:$I$107, 5, FALSE)), ISERROR(VLOOKUP(C1712, Resultados_Reales!$A$4:$I$107, 6, FALSE)), VLOOKUP(C1712, Resultados_Reales!$A$4:$I$107, 5, FALSE)="", VLOOKUP(C1712, Resultados_Reales!$A$4:$I$107, 6, FALSE)=""), 0, IF(AND(VLOOKUP(C1712, Resultados_Reales!$A$4:$I$107, 5, FALSE)=G1712, VLOOKUP(C1712, Resultados_Reales!$A$4:$I$107, 6, FALSE)=H1712), Configuracion!$B$5, IF(SIGN(VLOOKUP(C1712, Resultados_Reales!$A$4:$I$107, 5, FALSE)-VLOOKUP(C1712, Resultados_Reales!$A$4:$I$107, 6, FALSE)) = SIGN(G1712-H1712), Configuracion!$B$4, 0)))</f>
        <v/>
      </c>
      <c r="L1712" s="11" t="n"/>
      <c r="M1712" s="11" t="n"/>
      <c r="N1712" s="11" t="n"/>
      <c r="O1712" s="11" t="n"/>
      <c r="P1712" s="11" t="n"/>
      <c r="Q1712" s="11" t="n"/>
    </row>
    <row r="1713">
      <c r="A1713" s="8">
        <f>B1713&amp;"_"&amp;C1713</f>
        <v/>
      </c>
      <c r="B1713" s="8" t="n"/>
      <c r="C1713" s="8" t="n"/>
      <c r="D1713" s="8" t="n"/>
      <c r="E1713" s="11" t="n"/>
      <c r="F1713" s="11" t="n"/>
      <c r="G1713" s="8" t="n"/>
      <c r="H1713" s="8" t="n"/>
      <c r="I1713" s="8" t="n"/>
      <c r="J1713" s="8" t="n"/>
      <c r="K1713" s="12">
        <f>IF(OR(ISERROR(VLOOKUP(C1713, Resultados_Reales!$A$4:$I$107, 5, FALSE)), ISERROR(VLOOKUP(C1713, Resultados_Reales!$A$4:$I$107, 6, FALSE)), VLOOKUP(C1713, Resultados_Reales!$A$4:$I$107, 5, FALSE)="", VLOOKUP(C1713, Resultados_Reales!$A$4:$I$107, 6, FALSE)=""), 0, IF(AND(VLOOKUP(C1713, Resultados_Reales!$A$4:$I$107, 5, FALSE)=G1713, VLOOKUP(C1713, Resultados_Reales!$A$4:$I$107, 6, FALSE)=H1713), Configuracion!$B$5, IF(SIGN(VLOOKUP(C1713, Resultados_Reales!$A$4:$I$107, 5, FALSE)-VLOOKUP(C1713, Resultados_Reales!$A$4:$I$107, 6, FALSE)) = SIGN(G1713-H1713), Configuracion!$B$4, 0)))</f>
        <v/>
      </c>
      <c r="L1713" s="11" t="n"/>
      <c r="M1713" s="11" t="n"/>
      <c r="N1713" s="11" t="n"/>
      <c r="O1713" s="11" t="n"/>
      <c r="P1713" s="11" t="n"/>
      <c r="Q1713" s="11" t="n"/>
    </row>
    <row r="1714">
      <c r="A1714" s="8">
        <f>B1714&amp;"_"&amp;C1714</f>
        <v/>
      </c>
      <c r="B1714" s="8" t="n"/>
      <c r="C1714" s="8" t="n"/>
      <c r="D1714" s="8" t="n"/>
      <c r="E1714" s="11" t="n"/>
      <c r="F1714" s="11" t="n"/>
      <c r="G1714" s="8" t="n"/>
      <c r="H1714" s="8" t="n"/>
      <c r="I1714" s="8" t="n"/>
      <c r="J1714" s="8" t="n"/>
      <c r="K1714" s="12">
        <f>IF(OR(ISERROR(VLOOKUP(C1714, Resultados_Reales!$A$4:$I$107, 5, FALSE)), ISERROR(VLOOKUP(C1714, Resultados_Reales!$A$4:$I$107, 6, FALSE)), VLOOKUP(C1714, Resultados_Reales!$A$4:$I$107, 5, FALSE)="", VLOOKUP(C1714, Resultados_Reales!$A$4:$I$107, 6, FALSE)=""), 0, IF(AND(VLOOKUP(C1714, Resultados_Reales!$A$4:$I$107, 5, FALSE)=G1714, VLOOKUP(C1714, Resultados_Reales!$A$4:$I$107, 6, FALSE)=H1714), Configuracion!$B$5, IF(SIGN(VLOOKUP(C1714, Resultados_Reales!$A$4:$I$107, 5, FALSE)-VLOOKUP(C1714, Resultados_Reales!$A$4:$I$107, 6, FALSE)) = SIGN(G1714-H1714), Configuracion!$B$4, 0)))</f>
        <v/>
      </c>
      <c r="L1714" s="11" t="n"/>
      <c r="M1714" s="11" t="n"/>
      <c r="N1714" s="11" t="n"/>
      <c r="O1714" s="11" t="n"/>
      <c r="P1714" s="11" t="n"/>
      <c r="Q1714" s="11" t="n"/>
    </row>
    <row r="1715">
      <c r="A1715" s="8">
        <f>B1715&amp;"_"&amp;C1715</f>
        <v/>
      </c>
      <c r="B1715" s="8" t="n"/>
      <c r="C1715" s="8" t="n"/>
      <c r="D1715" s="8" t="n"/>
      <c r="E1715" s="11" t="n"/>
      <c r="F1715" s="11" t="n"/>
      <c r="G1715" s="8" t="n"/>
      <c r="H1715" s="8" t="n"/>
      <c r="I1715" s="8" t="n"/>
      <c r="J1715" s="8" t="n"/>
      <c r="K1715" s="12">
        <f>IF(OR(ISERROR(VLOOKUP(C1715, Resultados_Reales!$A$4:$I$107, 5, FALSE)), ISERROR(VLOOKUP(C1715, Resultados_Reales!$A$4:$I$107, 6, FALSE)), VLOOKUP(C1715, Resultados_Reales!$A$4:$I$107, 5, FALSE)="", VLOOKUP(C1715, Resultados_Reales!$A$4:$I$107, 6, FALSE)=""), 0, IF(AND(VLOOKUP(C1715, Resultados_Reales!$A$4:$I$107, 5, FALSE)=G1715, VLOOKUP(C1715, Resultados_Reales!$A$4:$I$107, 6, FALSE)=H1715), Configuracion!$B$5, IF(SIGN(VLOOKUP(C1715, Resultados_Reales!$A$4:$I$107, 5, FALSE)-VLOOKUP(C1715, Resultados_Reales!$A$4:$I$107, 6, FALSE)) = SIGN(G1715-H1715), Configuracion!$B$4, 0)))</f>
        <v/>
      </c>
      <c r="L1715" s="11" t="n"/>
      <c r="M1715" s="11" t="n"/>
      <c r="N1715" s="11" t="n"/>
      <c r="O1715" s="11" t="n"/>
      <c r="P1715" s="11" t="n"/>
      <c r="Q1715" s="11" t="n"/>
    </row>
    <row r="1716">
      <c r="A1716" s="8">
        <f>B1716&amp;"_"&amp;C1716</f>
        <v/>
      </c>
      <c r="B1716" s="8" t="n"/>
      <c r="C1716" s="8" t="n"/>
      <c r="D1716" s="8" t="n"/>
      <c r="E1716" s="11" t="n"/>
      <c r="F1716" s="11" t="n"/>
      <c r="G1716" s="8" t="n"/>
      <c r="H1716" s="8" t="n"/>
      <c r="I1716" s="8" t="n"/>
      <c r="J1716" s="8" t="n"/>
      <c r="K1716" s="12">
        <f>IF(OR(ISERROR(VLOOKUP(C1716, Resultados_Reales!$A$4:$I$107, 5, FALSE)), ISERROR(VLOOKUP(C1716, Resultados_Reales!$A$4:$I$107, 6, FALSE)), VLOOKUP(C1716, Resultados_Reales!$A$4:$I$107, 5, FALSE)="", VLOOKUP(C1716, Resultados_Reales!$A$4:$I$107, 6, FALSE)=""), 0, IF(AND(VLOOKUP(C1716, Resultados_Reales!$A$4:$I$107, 5, FALSE)=G1716, VLOOKUP(C1716, Resultados_Reales!$A$4:$I$107, 6, FALSE)=H1716), Configuracion!$B$5, IF(SIGN(VLOOKUP(C1716, Resultados_Reales!$A$4:$I$107, 5, FALSE)-VLOOKUP(C1716, Resultados_Reales!$A$4:$I$107, 6, FALSE)) = SIGN(G1716-H1716), Configuracion!$B$4, 0)))</f>
        <v/>
      </c>
      <c r="L1716" s="11" t="n"/>
      <c r="M1716" s="11" t="n"/>
      <c r="N1716" s="11" t="n"/>
      <c r="O1716" s="11" t="n"/>
      <c r="P1716" s="11" t="n"/>
      <c r="Q1716" s="11" t="n"/>
    </row>
    <row r="1717">
      <c r="A1717" s="8">
        <f>B1717&amp;"_"&amp;C1717</f>
        <v/>
      </c>
      <c r="B1717" s="8" t="n"/>
      <c r="C1717" s="8" t="n"/>
      <c r="D1717" s="8" t="n"/>
      <c r="E1717" s="11" t="n"/>
      <c r="F1717" s="11" t="n"/>
      <c r="G1717" s="8" t="n"/>
      <c r="H1717" s="8" t="n"/>
      <c r="I1717" s="8" t="n"/>
      <c r="J1717" s="8" t="n"/>
      <c r="K1717" s="12">
        <f>IF(OR(ISERROR(VLOOKUP(C1717, Resultados_Reales!$A$4:$I$107, 5, FALSE)), ISERROR(VLOOKUP(C1717, Resultados_Reales!$A$4:$I$107, 6, FALSE)), VLOOKUP(C1717, Resultados_Reales!$A$4:$I$107, 5, FALSE)="", VLOOKUP(C1717, Resultados_Reales!$A$4:$I$107, 6, FALSE)=""), 0, IF(AND(VLOOKUP(C1717, Resultados_Reales!$A$4:$I$107, 5, FALSE)=G1717, VLOOKUP(C1717, Resultados_Reales!$A$4:$I$107, 6, FALSE)=H1717), Configuracion!$B$5, IF(SIGN(VLOOKUP(C1717, Resultados_Reales!$A$4:$I$107, 5, FALSE)-VLOOKUP(C1717, Resultados_Reales!$A$4:$I$107, 6, FALSE)) = SIGN(G1717-H1717), Configuracion!$B$4, 0)))</f>
        <v/>
      </c>
      <c r="L1717" s="11" t="n"/>
      <c r="M1717" s="11" t="n"/>
      <c r="N1717" s="11" t="n"/>
      <c r="O1717" s="11" t="n"/>
      <c r="P1717" s="11" t="n"/>
      <c r="Q1717" s="11" t="n"/>
    </row>
    <row r="1718">
      <c r="A1718" s="8">
        <f>B1718&amp;"_"&amp;C1718</f>
        <v/>
      </c>
      <c r="B1718" s="8" t="n"/>
      <c r="C1718" s="8" t="n"/>
      <c r="D1718" s="8" t="n"/>
      <c r="E1718" s="11" t="n"/>
      <c r="F1718" s="11" t="n"/>
      <c r="G1718" s="8" t="n"/>
      <c r="H1718" s="8" t="n"/>
      <c r="I1718" s="8" t="n"/>
      <c r="J1718" s="8" t="n"/>
      <c r="K1718" s="12">
        <f>IF(OR(ISERROR(VLOOKUP(C1718, Resultados_Reales!$A$4:$I$107, 5, FALSE)), ISERROR(VLOOKUP(C1718, Resultados_Reales!$A$4:$I$107, 6, FALSE)), VLOOKUP(C1718, Resultados_Reales!$A$4:$I$107, 5, FALSE)="", VLOOKUP(C1718, Resultados_Reales!$A$4:$I$107, 6, FALSE)=""), 0, IF(AND(VLOOKUP(C1718, Resultados_Reales!$A$4:$I$107, 5, FALSE)=G1718, VLOOKUP(C1718, Resultados_Reales!$A$4:$I$107, 6, FALSE)=H1718), Configuracion!$B$5, IF(SIGN(VLOOKUP(C1718, Resultados_Reales!$A$4:$I$107, 5, FALSE)-VLOOKUP(C1718, Resultados_Reales!$A$4:$I$107, 6, FALSE)) = SIGN(G1718-H1718), Configuracion!$B$4, 0)))</f>
        <v/>
      </c>
      <c r="L1718" s="11" t="n"/>
      <c r="M1718" s="11" t="n"/>
      <c r="N1718" s="11" t="n"/>
      <c r="O1718" s="11" t="n"/>
      <c r="P1718" s="11" t="n"/>
      <c r="Q1718" s="11" t="n"/>
    </row>
    <row r="1719">
      <c r="A1719" s="8">
        <f>B1719&amp;"_"&amp;C1719</f>
        <v/>
      </c>
      <c r="B1719" s="8" t="n"/>
      <c r="C1719" s="8" t="n"/>
      <c r="D1719" s="8" t="n"/>
      <c r="E1719" s="11" t="n"/>
      <c r="F1719" s="11" t="n"/>
      <c r="G1719" s="8" t="n"/>
      <c r="H1719" s="8" t="n"/>
      <c r="I1719" s="8" t="n"/>
      <c r="J1719" s="8" t="n"/>
      <c r="K1719" s="12">
        <f>IF(OR(ISERROR(VLOOKUP(C1719, Resultados_Reales!$A$4:$I$107, 5, FALSE)), ISERROR(VLOOKUP(C1719, Resultados_Reales!$A$4:$I$107, 6, FALSE)), VLOOKUP(C1719, Resultados_Reales!$A$4:$I$107, 5, FALSE)="", VLOOKUP(C1719, Resultados_Reales!$A$4:$I$107, 6, FALSE)=""), 0, IF(AND(VLOOKUP(C1719, Resultados_Reales!$A$4:$I$107, 5, FALSE)=G1719, VLOOKUP(C1719, Resultados_Reales!$A$4:$I$107, 6, FALSE)=H1719), Configuracion!$B$5, IF(SIGN(VLOOKUP(C1719, Resultados_Reales!$A$4:$I$107, 5, FALSE)-VLOOKUP(C1719, Resultados_Reales!$A$4:$I$107, 6, FALSE)) = SIGN(G1719-H1719), Configuracion!$B$4, 0)))</f>
        <v/>
      </c>
      <c r="L1719" s="11" t="n"/>
      <c r="M1719" s="11" t="n"/>
      <c r="N1719" s="11" t="n"/>
      <c r="O1719" s="11" t="n"/>
      <c r="P1719" s="11" t="n"/>
      <c r="Q1719" s="11" t="n"/>
    </row>
    <row r="1720">
      <c r="A1720" s="8">
        <f>B1720&amp;"_"&amp;C1720</f>
        <v/>
      </c>
      <c r="B1720" s="8" t="n"/>
      <c r="C1720" s="8" t="n"/>
      <c r="D1720" s="8" t="n"/>
      <c r="E1720" s="11" t="n"/>
      <c r="F1720" s="11" t="n"/>
      <c r="G1720" s="8" t="n"/>
      <c r="H1720" s="8" t="n"/>
      <c r="I1720" s="8" t="n"/>
      <c r="J1720" s="8" t="n"/>
      <c r="K1720" s="12">
        <f>IF(OR(ISERROR(VLOOKUP(C1720, Resultados_Reales!$A$4:$I$107, 5, FALSE)), ISERROR(VLOOKUP(C1720, Resultados_Reales!$A$4:$I$107, 6, FALSE)), VLOOKUP(C1720, Resultados_Reales!$A$4:$I$107, 5, FALSE)="", VLOOKUP(C1720, Resultados_Reales!$A$4:$I$107, 6, FALSE)=""), 0, IF(AND(VLOOKUP(C1720, Resultados_Reales!$A$4:$I$107, 5, FALSE)=G1720, VLOOKUP(C1720, Resultados_Reales!$A$4:$I$107, 6, FALSE)=H1720), Configuracion!$B$5, IF(SIGN(VLOOKUP(C1720, Resultados_Reales!$A$4:$I$107, 5, FALSE)-VLOOKUP(C1720, Resultados_Reales!$A$4:$I$107, 6, FALSE)) = SIGN(G1720-H1720), Configuracion!$B$4, 0)))</f>
        <v/>
      </c>
      <c r="L1720" s="11" t="n"/>
      <c r="M1720" s="11" t="n"/>
      <c r="N1720" s="11" t="n"/>
      <c r="O1720" s="11" t="n"/>
      <c r="P1720" s="11" t="n"/>
      <c r="Q1720" s="11" t="n"/>
    </row>
    <row r="1721">
      <c r="A1721" s="8">
        <f>B1721&amp;"_"&amp;C1721</f>
        <v/>
      </c>
      <c r="B1721" s="8" t="n"/>
      <c r="C1721" s="8" t="n"/>
      <c r="D1721" s="8" t="n"/>
      <c r="E1721" s="11" t="n"/>
      <c r="F1721" s="11" t="n"/>
      <c r="G1721" s="8" t="n"/>
      <c r="H1721" s="8" t="n"/>
      <c r="I1721" s="8" t="n"/>
      <c r="J1721" s="8" t="n"/>
      <c r="K1721" s="12">
        <f>IF(OR(ISERROR(VLOOKUP(C1721, Resultados_Reales!$A$4:$I$107, 5, FALSE)), ISERROR(VLOOKUP(C1721, Resultados_Reales!$A$4:$I$107, 6, FALSE)), VLOOKUP(C1721, Resultados_Reales!$A$4:$I$107, 5, FALSE)="", VLOOKUP(C1721, Resultados_Reales!$A$4:$I$107, 6, FALSE)=""), 0, IF(AND(VLOOKUP(C1721, Resultados_Reales!$A$4:$I$107, 5, FALSE)=G1721, VLOOKUP(C1721, Resultados_Reales!$A$4:$I$107, 6, FALSE)=H1721), Configuracion!$B$5, IF(SIGN(VLOOKUP(C1721, Resultados_Reales!$A$4:$I$107, 5, FALSE)-VLOOKUP(C1721, Resultados_Reales!$A$4:$I$107, 6, FALSE)) = SIGN(G1721-H1721), Configuracion!$B$4, 0)))</f>
        <v/>
      </c>
      <c r="L1721" s="11" t="n"/>
      <c r="M1721" s="11" t="n"/>
      <c r="N1721" s="11" t="n"/>
      <c r="O1721" s="11" t="n"/>
      <c r="P1721" s="11" t="n"/>
      <c r="Q1721" s="11" t="n"/>
    </row>
    <row r="1722">
      <c r="A1722" s="8">
        <f>B1722&amp;"_"&amp;C1722</f>
        <v/>
      </c>
      <c r="B1722" s="8" t="n"/>
      <c r="C1722" s="8" t="n"/>
      <c r="D1722" s="8" t="n"/>
      <c r="E1722" s="11" t="n"/>
      <c r="F1722" s="11" t="n"/>
      <c r="G1722" s="8" t="n"/>
      <c r="H1722" s="8" t="n"/>
      <c r="I1722" s="8" t="n"/>
      <c r="J1722" s="8" t="n"/>
      <c r="K1722" s="12">
        <f>IF(OR(ISERROR(VLOOKUP(C1722, Resultados_Reales!$A$4:$I$107, 5, FALSE)), ISERROR(VLOOKUP(C1722, Resultados_Reales!$A$4:$I$107, 6, FALSE)), VLOOKUP(C1722, Resultados_Reales!$A$4:$I$107, 5, FALSE)="", VLOOKUP(C1722, Resultados_Reales!$A$4:$I$107, 6, FALSE)=""), 0, IF(AND(VLOOKUP(C1722, Resultados_Reales!$A$4:$I$107, 5, FALSE)=G1722, VLOOKUP(C1722, Resultados_Reales!$A$4:$I$107, 6, FALSE)=H1722), Configuracion!$B$5, IF(SIGN(VLOOKUP(C1722, Resultados_Reales!$A$4:$I$107, 5, FALSE)-VLOOKUP(C1722, Resultados_Reales!$A$4:$I$107, 6, FALSE)) = SIGN(G1722-H1722), Configuracion!$B$4, 0)))</f>
        <v/>
      </c>
      <c r="L1722" s="11" t="n"/>
      <c r="M1722" s="11" t="n"/>
      <c r="N1722" s="11" t="n"/>
      <c r="O1722" s="11" t="n"/>
      <c r="P1722" s="11" t="n"/>
      <c r="Q1722" s="11" t="n"/>
    </row>
    <row r="1723">
      <c r="A1723" s="8">
        <f>B1723&amp;"_"&amp;C1723</f>
        <v/>
      </c>
      <c r="B1723" s="8" t="n"/>
      <c r="C1723" s="8" t="n"/>
      <c r="D1723" s="8" t="n"/>
      <c r="E1723" s="11" t="n"/>
      <c r="F1723" s="11" t="n"/>
      <c r="G1723" s="8" t="n"/>
      <c r="H1723" s="8" t="n"/>
      <c r="I1723" s="8" t="n"/>
      <c r="J1723" s="8" t="n"/>
      <c r="K1723" s="12">
        <f>IF(OR(ISERROR(VLOOKUP(C1723, Resultados_Reales!$A$4:$I$107, 5, FALSE)), ISERROR(VLOOKUP(C1723, Resultados_Reales!$A$4:$I$107, 6, FALSE)), VLOOKUP(C1723, Resultados_Reales!$A$4:$I$107, 5, FALSE)="", VLOOKUP(C1723, Resultados_Reales!$A$4:$I$107, 6, FALSE)=""), 0, IF(AND(VLOOKUP(C1723, Resultados_Reales!$A$4:$I$107, 5, FALSE)=G1723, VLOOKUP(C1723, Resultados_Reales!$A$4:$I$107, 6, FALSE)=H1723), Configuracion!$B$5, IF(SIGN(VLOOKUP(C1723, Resultados_Reales!$A$4:$I$107, 5, FALSE)-VLOOKUP(C1723, Resultados_Reales!$A$4:$I$107, 6, FALSE)) = SIGN(G1723-H1723), Configuracion!$B$4, 0)))</f>
        <v/>
      </c>
      <c r="L1723" s="11" t="n"/>
      <c r="M1723" s="11" t="n"/>
      <c r="N1723" s="11" t="n"/>
      <c r="O1723" s="11" t="n"/>
      <c r="P1723" s="11" t="n"/>
      <c r="Q1723" s="11" t="n"/>
    </row>
    <row r="1724">
      <c r="A1724" s="8">
        <f>B1724&amp;"_"&amp;C1724</f>
        <v/>
      </c>
      <c r="B1724" s="8" t="n"/>
      <c r="C1724" s="8" t="n"/>
      <c r="D1724" s="8" t="n"/>
      <c r="E1724" s="11" t="n"/>
      <c r="F1724" s="11" t="n"/>
      <c r="G1724" s="8" t="n"/>
      <c r="H1724" s="8" t="n"/>
      <c r="I1724" s="8" t="n"/>
      <c r="J1724" s="8" t="n"/>
      <c r="K1724" s="12">
        <f>IF(OR(ISERROR(VLOOKUP(C1724, Resultados_Reales!$A$4:$I$107, 5, FALSE)), ISERROR(VLOOKUP(C1724, Resultados_Reales!$A$4:$I$107, 6, FALSE)), VLOOKUP(C1724, Resultados_Reales!$A$4:$I$107, 5, FALSE)="", VLOOKUP(C1724, Resultados_Reales!$A$4:$I$107, 6, FALSE)=""), 0, IF(AND(VLOOKUP(C1724, Resultados_Reales!$A$4:$I$107, 5, FALSE)=G1724, VLOOKUP(C1724, Resultados_Reales!$A$4:$I$107, 6, FALSE)=H1724), Configuracion!$B$5, IF(SIGN(VLOOKUP(C1724, Resultados_Reales!$A$4:$I$107, 5, FALSE)-VLOOKUP(C1724, Resultados_Reales!$A$4:$I$107, 6, FALSE)) = SIGN(G1724-H1724), Configuracion!$B$4, 0)))</f>
        <v/>
      </c>
      <c r="L1724" s="11" t="n"/>
      <c r="M1724" s="11" t="n"/>
      <c r="N1724" s="11" t="n"/>
      <c r="O1724" s="11" t="n"/>
      <c r="P1724" s="11" t="n"/>
      <c r="Q1724" s="11" t="n"/>
    </row>
    <row r="1725">
      <c r="A1725" s="8">
        <f>B1725&amp;"_"&amp;C1725</f>
        <v/>
      </c>
      <c r="B1725" s="8" t="n"/>
      <c r="C1725" s="8" t="n"/>
      <c r="D1725" s="8" t="n"/>
      <c r="E1725" s="11" t="n"/>
      <c r="F1725" s="11" t="n"/>
      <c r="G1725" s="8" t="n"/>
      <c r="H1725" s="8" t="n"/>
      <c r="I1725" s="8" t="n"/>
      <c r="J1725" s="8" t="n"/>
      <c r="K1725" s="12">
        <f>IF(OR(ISERROR(VLOOKUP(C1725, Resultados_Reales!$A$4:$I$107, 5, FALSE)), ISERROR(VLOOKUP(C1725, Resultados_Reales!$A$4:$I$107, 6, FALSE)), VLOOKUP(C1725, Resultados_Reales!$A$4:$I$107, 5, FALSE)="", VLOOKUP(C1725, Resultados_Reales!$A$4:$I$107, 6, FALSE)=""), 0, IF(AND(VLOOKUP(C1725, Resultados_Reales!$A$4:$I$107, 5, FALSE)=G1725, VLOOKUP(C1725, Resultados_Reales!$A$4:$I$107, 6, FALSE)=H1725), Configuracion!$B$5, IF(SIGN(VLOOKUP(C1725, Resultados_Reales!$A$4:$I$107, 5, FALSE)-VLOOKUP(C1725, Resultados_Reales!$A$4:$I$107, 6, FALSE)) = SIGN(G1725-H1725), Configuracion!$B$4, 0)))</f>
        <v/>
      </c>
      <c r="L1725" s="11" t="n"/>
      <c r="M1725" s="11" t="n"/>
      <c r="N1725" s="11" t="n"/>
      <c r="O1725" s="11" t="n"/>
      <c r="P1725" s="11" t="n"/>
      <c r="Q1725" s="11" t="n"/>
    </row>
    <row r="1726">
      <c r="A1726" s="8">
        <f>B1726&amp;"_"&amp;C1726</f>
        <v/>
      </c>
      <c r="B1726" s="8" t="n"/>
      <c r="C1726" s="8" t="n"/>
      <c r="D1726" s="8" t="n"/>
      <c r="E1726" s="11" t="n"/>
      <c r="F1726" s="11" t="n"/>
      <c r="G1726" s="8" t="n"/>
      <c r="H1726" s="8" t="n"/>
      <c r="I1726" s="8" t="n"/>
      <c r="J1726" s="8" t="n"/>
      <c r="K1726" s="12">
        <f>IF(OR(ISERROR(VLOOKUP(C1726, Resultados_Reales!$A$4:$I$107, 5, FALSE)), ISERROR(VLOOKUP(C1726, Resultados_Reales!$A$4:$I$107, 6, FALSE)), VLOOKUP(C1726, Resultados_Reales!$A$4:$I$107, 5, FALSE)="", VLOOKUP(C1726, Resultados_Reales!$A$4:$I$107, 6, FALSE)=""), 0, IF(AND(VLOOKUP(C1726, Resultados_Reales!$A$4:$I$107, 5, FALSE)=G1726, VLOOKUP(C1726, Resultados_Reales!$A$4:$I$107, 6, FALSE)=H1726), Configuracion!$B$5, IF(SIGN(VLOOKUP(C1726, Resultados_Reales!$A$4:$I$107, 5, FALSE)-VLOOKUP(C1726, Resultados_Reales!$A$4:$I$107, 6, FALSE)) = SIGN(G1726-H1726), Configuracion!$B$4, 0)))</f>
        <v/>
      </c>
      <c r="L1726" s="11" t="n"/>
      <c r="M1726" s="11" t="n"/>
      <c r="N1726" s="11" t="n"/>
      <c r="O1726" s="11" t="n"/>
      <c r="P1726" s="11" t="n"/>
      <c r="Q1726" s="11" t="n"/>
    </row>
    <row r="1727">
      <c r="A1727" s="8">
        <f>B1727&amp;"_"&amp;C1727</f>
        <v/>
      </c>
      <c r="B1727" s="8" t="n"/>
      <c r="C1727" s="8" t="n"/>
      <c r="D1727" s="8" t="n"/>
      <c r="E1727" s="11" t="n"/>
      <c r="F1727" s="11" t="n"/>
      <c r="G1727" s="8" t="n"/>
      <c r="H1727" s="8" t="n"/>
      <c r="I1727" s="8" t="n"/>
      <c r="J1727" s="8" t="n"/>
      <c r="K1727" s="12">
        <f>IF(OR(ISERROR(VLOOKUP(C1727, Resultados_Reales!$A$4:$I$107, 5, FALSE)), ISERROR(VLOOKUP(C1727, Resultados_Reales!$A$4:$I$107, 6, FALSE)), VLOOKUP(C1727, Resultados_Reales!$A$4:$I$107, 5, FALSE)="", VLOOKUP(C1727, Resultados_Reales!$A$4:$I$107, 6, FALSE)=""), 0, IF(AND(VLOOKUP(C1727, Resultados_Reales!$A$4:$I$107, 5, FALSE)=G1727, VLOOKUP(C1727, Resultados_Reales!$A$4:$I$107, 6, FALSE)=H1727), Configuracion!$B$5, IF(SIGN(VLOOKUP(C1727, Resultados_Reales!$A$4:$I$107, 5, FALSE)-VLOOKUP(C1727, Resultados_Reales!$A$4:$I$107, 6, FALSE)) = SIGN(G1727-H1727), Configuracion!$B$4, 0)))</f>
        <v/>
      </c>
      <c r="L1727" s="11" t="n"/>
      <c r="M1727" s="11" t="n"/>
      <c r="N1727" s="11" t="n"/>
      <c r="O1727" s="11" t="n"/>
      <c r="P1727" s="11" t="n"/>
      <c r="Q1727" s="11" t="n"/>
    </row>
    <row r="1728">
      <c r="A1728" s="8">
        <f>B1728&amp;"_"&amp;C1728</f>
        <v/>
      </c>
      <c r="B1728" s="8" t="n"/>
      <c r="C1728" s="8" t="n"/>
      <c r="D1728" s="8" t="n"/>
      <c r="E1728" s="11" t="n"/>
      <c r="F1728" s="11" t="n"/>
      <c r="G1728" s="8" t="n"/>
      <c r="H1728" s="8" t="n"/>
      <c r="I1728" s="8" t="n"/>
      <c r="J1728" s="8" t="n"/>
      <c r="K1728" s="12">
        <f>IF(OR(ISERROR(VLOOKUP(C1728, Resultados_Reales!$A$4:$I$107, 5, FALSE)), ISERROR(VLOOKUP(C1728, Resultados_Reales!$A$4:$I$107, 6, FALSE)), VLOOKUP(C1728, Resultados_Reales!$A$4:$I$107, 5, FALSE)="", VLOOKUP(C1728, Resultados_Reales!$A$4:$I$107, 6, FALSE)=""), 0, IF(AND(VLOOKUP(C1728, Resultados_Reales!$A$4:$I$107, 5, FALSE)=G1728, VLOOKUP(C1728, Resultados_Reales!$A$4:$I$107, 6, FALSE)=H1728), Configuracion!$B$5, IF(SIGN(VLOOKUP(C1728, Resultados_Reales!$A$4:$I$107, 5, FALSE)-VLOOKUP(C1728, Resultados_Reales!$A$4:$I$107, 6, FALSE)) = SIGN(G1728-H1728), Configuracion!$B$4, 0)))</f>
        <v/>
      </c>
      <c r="L1728" s="11" t="n"/>
      <c r="M1728" s="11" t="n"/>
      <c r="N1728" s="11" t="n"/>
      <c r="O1728" s="11" t="n"/>
      <c r="P1728" s="11" t="n"/>
      <c r="Q1728" s="11" t="n"/>
    </row>
    <row r="1729">
      <c r="A1729" s="8">
        <f>B1729&amp;"_"&amp;C1729</f>
        <v/>
      </c>
      <c r="B1729" s="8" t="n"/>
      <c r="C1729" s="8" t="n"/>
      <c r="D1729" s="8" t="n"/>
      <c r="E1729" s="11" t="n"/>
      <c r="F1729" s="11" t="n"/>
      <c r="G1729" s="8" t="n"/>
      <c r="H1729" s="8" t="n"/>
      <c r="I1729" s="8" t="n"/>
      <c r="J1729" s="8" t="n"/>
      <c r="K1729" s="12">
        <f>IF(OR(ISERROR(VLOOKUP(C1729, Resultados_Reales!$A$4:$I$107, 5, FALSE)), ISERROR(VLOOKUP(C1729, Resultados_Reales!$A$4:$I$107, 6, FALSE)), VLOOKUP(C1729, Resultados_Reales!$A$4:$I$107, 5, FALSE)="", VLOOKUP(C1729, Resultados_Reales!$A$4:$I$107, 6, FALSE)=""), 0, IF(AND(VLOOKUP(C1729, Resultados_Reales!$A$4:$I$107, 5, FALSE)=G1729, VLOOKUP(C1729, Resultados_Reales!$A$4:$I$107, 6, FALSE)=H1729), Configuracion!$B$5, IF(SIGN(VLOOKUP(C1729, Resultados_Reales!$A$4:$I$107, 5, FALSE)-VLOOKUP(C1729, Resultados_Reales!$A$4:$I$107, 6, FALSE)) = SIGN(G1729-H1729), Configuracion!$B$4, 0)))</f>
        <v/>
      </c>
      <c r="L1729" s="11" t="n"/>
      <c r="M1729" s="11" t="n"/>
      <c r="N1729" s="11" t="n"/>
      <c r="O1729" s="11" t="n"/>
      <c r="P1729" s="11" t="n"/>
      <c r="Q1729" s="11" t="n"/>
    </row>
    <row r="1730">
      <c r="A1730" s="8">
        <f>B1730&amp;"_"&amp;C1730</f>
        <v/>
      </c>
      <c r="B1730" s="8" t="n"/>
      <c r="C1730" s="8" t="n"/>
      <c r="D1730" s="8" t="n"/>
      <c r="E1730" s="11" t="n"/>
      <c r="F1730" s="11" t="n"/>
      <c r="G1730" s="8" t="n"/>
      <c r="H1730" s="8" t="n"/>
      <c r="I1730" s="8" t="n"/>
      <c r="J1730" s="8" t="n"/>
      <c r="K1730" s="12">
        <f>IF(OR(ISERROR(VLOOKUP(C1730, Resultados_Reales!$A$4:$I$107, 5, FALSE)), ISERROR(VLOOKUP(C1730, Resultados_Reales!$A$4:$I$107, 6, FALSE)), VLOOKUP(C1730, Resultados_Reales!$A$4:$I$107, 5, FALSE)="", VLOOKUP(C1730, Resultados_Reales!$A$4:$I$107, 6, FALSE)=""), 0, IF(AND(VLOOKUP(C1730, Resultados_Reales!$A$4:$I$107, 5, FALSE)=G1730, VLOOKUP(C1730, Resultados_Reales!$A$4:$I$107, 6, FALSE)=H1730), Configuracion!$B$5, IF(SIGN(VLOOKUP(C1730, Resultados_Reales!$A$4:$I$107, 5, FALSE)-VLOOKUP(C1730, Resultados_Reales!$A$4:$I$107, 6, FALSE)) = SIGN(G1730-H1730), Configuracion!$B$4, 0)))</f>
        <v/>
      </c>
      <c r="L1730" s="11" t="n"/>
      <c r="M1730" s="11" t="n"/>
      <c r="N1730" s="11" t="n"/>
      <c r="O1730" s="11" t="n"/>
      <c r="P1730" s="11" t="n"/>
      <c r="Q1730" s="11" t="n"/>
    </row>
    <row r="1731">
      <c r="A1731" s="8">
        <f>B1731&amp;"_"&amp;C1731</f>
        <v/>
      </c>
      <c r="B1731" s="8" t="n"/>
      <c r="C1731" s="8" t="n"/>
      <c r="D1731" s="8" t="n"/>
      <c r="E1731" s="11" t="n"/>
      <c r="F1731" s="11" t="n"/>
      <c r="G1731" s="8" t="n"/>
      <c r="H1731" s="8" t="n"/>
      <c r="I1731" s="8" t="n"/>
      <c r="J1731" s="8" t="n"/>
      <c r="K1731" s="12">
        <f>IF(OR(ISERROR(VLOOKUP(C1731, Resultados_Reales!$A$4:$I$107, 5, FALSE)), ISERROR(VLOOKUP(C1731, Resultados_Reales!$A$4:$I$107, 6, FALSE)), VLOOKUP(C1731, Resultados_Reales!$A$4:$I$107, 5, FALSE)="", VLOOKUP(C1731, Resultados_Reales!$A$4:$I$107, 6, FALSE)=""), 0, IF(AND(VLOOKUP(C1731, Resultados_Reales!$A$4:$I$107, 5, FALSE)=G1731, VLOOKUP(C1731, Resultados_Reales!$A$4:$I$107, 6, FALSE)=H1731), Configuracion!$B$5, IF(SIGN(VLOOKUP(C1731, Resultados_Reales!$A$4:$I$107, 5, FALSE)-VLOOKUP(C1731, Resultados_Reales!$A$4:$I$107, 6, FALSE)) = SIGN(G1731-H1731), Configuracion!$B$4, 0)))</f>
        <v/>
      </c>
      <c r="L1731" s="11" t="n"/>
      <c r="M1731" s="11" t="n"/>
      <c r="N1731" s="11" t="n"/>
      <c r="O1731" s="11" t="n"/>
      <c r="P1731" s="11" t="n"/>
      <c r="Q1731" s="11" t="n"/>
    </row>
    <row r="1732">
      <c r="A1732" s="8">
        <f>B1732&amp;"_"&amp;C1732</f>
        <v/>
      </c>
      <c r="B1732" s="8" t="n"/>
      <c r="C1732" s="8" t="n"/>
      <c r="D1732" s="8" t="n"/>
      <c r="E1732" s="11" t="n"/>
      <c r="F1732" s="11" t="n"/>
      <c r="G1732" s="8" t="n"/>
      <c r="H1732" s="8" t="n"/>
      <c r="I1732" s="8" t="n"/>
      <c r="J1732" s="8" t="n"/>
      <c r="K1732" s="12">
        <f>IF(OR(ISERROR(VLOOKUP(C1732, Resultados_Reales!$A$4:$I$107, 5, FALSE)), ISERROR(VLOOKUP(C1732, Resultados_Reales!$A$4:$I$107, 6, FALSE)), VLOOKUP(C1732, Resultados_Reales!$A$4:$I$107, 5, FALSE)="", VLOOKUP(C1732, Resultados_Reales!$A$4:$I$107, 6, FALSE)=""), 0, IF(AND(VLOOKUP(C1732, Resultados_Reales!$A$4:$I$107, 5, FALSE)=G1732, VLOOKUP(C1732, Resultados_Reales!$A$4:$I$107, 6, FALSE)=H1732), Configuracion!$B$5, IF(SIGN(VLOOKUP(C1732, Resultados_Reales!$A$4:$I$107, 5, FALSE)-VLOOKUP(C1732, Resultados_Reales!$A$4:$I$107, 6, FALSE)) = SIGN(G1732-H1732), Configuracion!$B$4, 0)))</f>
        <v/>
      </c>
      <c r="L1732" s="11" t="n"/>
      <c r="M1732" s="11" t="n"/>
      <c r="N1732" s="11" t="n"/>
      <c r="O1732" s="11" t="n"/>
      <c r="P1732" s="11" t="n"/>
      <c r="Q1732" s="11" t="n"/>
    </row>
    <row r="1733">
      <c r="A1733" s="8">
        <f>B1733&amp;"_"&amp;C1733</f>
        <v/>
      </c>
      <c r="B1733" s="8" t="n"/>
      <c r="C1733" s="8" t="n"/>
      <c r="D1733" s="8" t="n"/>
      <c r="E1733" s="11" t="n"/>
      <c r="F1733" s="11" t="n"/>
      <c r="G1733" s="8" t="n"/>
      <c r="H1733" s="8" t="n"/>
      <c r="I1733" s="8" t="n"/>
      <c r="J1733" s="8" t="n"/>
      <c r="K1733" s="12">
        <f>IF(OR(ISERROR(VLOOKUP(C1733, Resultados_Reales!$A$4:$I$107, 5, FALSE)), ISERROR(VLOOKUP(C1733, Resultados_Reales!$A$4:$I$107, 6, FALSE)), VLOOKUP(C1733, Resultados_Reales!$A$4:$I$107, 5, FALSE)="", VLOOKUP(C1733, Resultados_Reales!$A$4:$I$107, 6, FALSE)=""), 0, IF(AND(VLOOKUP(C1733, Resultados_Reales!$A$4:$I$107, 5, FALSE)=G1733, VLOOKUP(C1733, Resultados_Reales!$A$4:$I$107, 6, FALSE)=H1733), Configuracion!$B$5, IF(SIGN(VLOOKUP(C1733, Resultados_Reales!$A$4:$I$107, 5, FALSE)-VLOOKUP(C1733, Resultados_Reales!$A$4:$I$107, 6, FALSE)) = SIGN(G1733-H1733), Configuracion!$B$4, 0)))</f>
        <v/>
      </c>
      <c r="L1733" s="11" t="n"/>
      <c r="M1733" s="11" t="n"/>
      <c r="N1733" s="11" t="n"/>
      <c r="O1733" s="11" t="n"/>
      <c r="P1733" s="11" t="n"/>
      <c r="Q1733" s="11" t="n"/>
    </row>
    <row r="1734">
      <c r="A1734" s="8">
        <f>B1734&amp;"_"&amp;C1734</f>
        <v/>
      </c>
      <c r="B1734" s="8" t="n"/>
      <c r="C1734" s="8" t="n"/>
      <c r="D1734" s="8" t="n"/>
      <c r="E1734" s="11" t="n"/>
      <c r="F1734" s="11" t="n"/>
      <c r="G1734" s="8" t="n"/>
      <c r="H1734" s="8" t="n"/>
      <c r="I1734" s="8" t="n"/>
      <c r="J1734" s="8" t="n"/>
      <c r="K1734" s="12">
        <f>IF(OR(ISERROR(VLOOKUP(C1734, Resultados_Reales!$A$4:$I$107, 5, FALSE)), ISERROR(VLOOKUP(C1734, Resultados_Reales!$A$4:$I$107, 6, FALSE)), VLOOKUP(C1734, Resultados_Reales!$A$4:$I$107, 5, FALSE)="", VLOOKUP(C1734, Resultados_Reales!$A$4:$I$107, 6, FALSE)=""), 0, IF(AND(VLOOKUP(C1734, Resultados_Reales!$A$4:$I$107, 5, FALSE)=G1734, VLOOKUP(C1734, Resultados_Reales!$A$4:$I$107, 6, FALSE)=H1734), Configuracion!$B$5, IF(SIGN(VLOOKUP(C1734, Resultados_Reales!$A$4:$I$107, 5, FALSE)-VLOOKUP(C1734, Resultados_Reales!$A$4:$I$107, 6, FALSE)) = SIGN(G1734-H1734), Configuracion!$B$4, 0)))</f>
        <v/>
      </c>
      <c r="L1734" s="11" t="n"/>
      <c r="M1734" s="11" t="n"/>
      <c r="N1734" s="11" t="n"/>
      <c r="O1734" s="11" t="n"/>
      <c r="P1734" s="11" t="n"/>
      <c r="Q1734" s="11" t="n"/>
    </row>
    <row r="1735">
      <c r="A1735" s="8">
        <f>B1735&amp;"_"&amp;C1735</f>
        <v/>
      </c>
      <c r="B1735" s="8" t="n"/>
      <c r="C1735" s="8" t="n"/>
      <c r="D1735" s="8" t="n"/>
      <c r="E1735" s="11" t="n"/>
      <c r="F1735" s="11" t="n"/>
      <c r="G1735" s="8" t="n"/>
      <c r="H1735" s="8" t="n"/>
      <c r="I1735" s="8" t="n"/>
      <c r="J1735" s="8" t="n"/>
      <c r="K1735" s="12">
        <f>IF(OR(ISERROR(VLOOKUP(C1735, Resultados_Reales!$A$4:$I$107, 5, FALSE)), ISERROR(VLOOKUP(C1735, Resultados_Reales!$A$4:$I$107, 6, FALSE)), VLOOKUP(C1735, Resultados_Reales!$A$4:$I$107, 5, FALSE)="", VLOOKUP(C1735, Resultados_Reales!$A$4:$I$107, 6, FALSE)=""), 0, IF(AND(VLOOKUP(C1735, Resultados_Reales!$A$4:$I$107, 5, FALSE)=G1735, VLOOKUP(C1735, Resultados_Reales!$A$4:$I$107, 6, FALSE)=H1735), Configuracion!$B$5, IF(SIGN(VLOOKUP(C1735, Resultados_Reales!$A$4:$I$107, 5, FALSE)-VLOOKUP(C1735, Resultados_Reales!$A$4:$I$107, 6, FALSE)) = SIGN(G1735-H1735), Configuracion!$B$4, 0)))</f>
        <v/>
      </c>
      <c r="L1735" s="11" t="n"/>
      <c r="M1735" s="11" t="n"/>
      <c r="N1735" s="11" t="n"/>
      <c r="O1735" s="11" t="n"/>
      <c r="P1735" s="11" t="n"/>
      <c r="Q1735" s="11" t="n"/>
    </row>
    <row r="1736">
      <c r="A1736" s="8">
        <f>B1736&amp;"_"&amp;C1736</f>
        <v/>
      </c>
      <c r="B1736" s="8" t="n"/>
      <c r="C1736" s="8" t="n"/>
      <c r="D1736" s="8" t="n"/>
      <c r="E1736" s="11" t="n"/>
      <c r="F1736" s="11" t="n"/>
      <c r="G1736" s="8" t="n"/>
      <c r="H1736" s="8" t="n"/>
      <c r="I1736" s="8" t="n"/>
      <c r="J1736" s="8" t="n"/>
      <c r="K1736" s="12">
        <f>IF(OR(ISERROR(VLOOKUP(C1736, Resultados_Reales!$A$4:$I$107, 5, FALSE)), ISERROR(VLOOKUP(C1736, Resultados_Reales!$A$4:$I$107, 6, FALSE)), VLOOKUP(C1736, Resultados_Reales!$A$4:$I$107, 5, FALSE)="", VLOOKUP(C1736, Resultados_Reales!$A$4:$I$107, 6, FALSE)=""), 0, IF(AND(VLOOKUP(C1736, Resultados_Reales!$A$4:$I$107, 5, FALSE)=G1736, VLOOKUP(C1736, Resultados_Reales!$A$4:$I$107, 6, FALSE)=H1736), Configuracion!$B$5, IF(SIGN(VLOOKUP(C1736, Resultados_Reales!$A$4:$I$107, 5, FALSE)-VLOOKUP(C1736, Resultados_Reales!$A$4:$I$107, 6, FALSE)) = SIGN(G1736-H1736), Configuracion!$B$4, 0)))</f>
        <v/>
      </c>
      <c r="L1736" s="11" t="n"/>
      <c r="M1736" s="11" t="n"/>
      <c r="N1736" s="11" t="n"/>
      <c r="O1736" s="11" t="n"/>
      <c r="P1736" s="11" t="n"/>
      <c r="Q1736" s="11" t="n"/>
    </row>
    <row r="1737">
      <c r="A1737" s="8">
        <f>B1737&amp;"_"&amp;C1737</f>
        <v/>
      </c>
      <c r="B1737" s="8" t="n"/>
      <c r="C1737" s="8" t="n"/>
      <c r="D1737" s="8" t="n"/>
      <c r="E1737" s="11" t="n"/>
      <c r="F1737" s="11" t="n"/>
      <c r="G1737" s="8" t="n"/>
      <c r="H1737" s="8" t="n"/>
      <c r="I1737" s="8" t="n"/>
      <c r="J1737" s="8" t="n"/>
      <c r="K1737" s="12">
        <f>IF(OR(ISERROR(VLOOKUP(C1737, Resultados_Reales!$A$4:$I$107, 5, FALSE)), ISERROR(VLOOKUP(C1737, Resultados_Reales!$A$4:$I$107, 6, FALSE)), VLOOKUP(C1737, Resultados_Reales!$A$4:$I$107, 5, FALSE)="", VLOOKUP(C1737, Resultados_Reales!$A$4:$I$107, 6, FALSE)=""), 0, IF(AND(VLOOKUP(C1737, Resultados_Reales!$A$4:$I$107, 5, FALSE)=G1737, VLOOKUP(C1737, Resultados_Reales!$A$4:$I$107, 6, FALSE)=H1737), Configuracion!$B$5, IF(SIGN(VLOOKUP(C1737, Resultados_Reales!$A$4:$I$107, 5, FALSE)-VLOOKUP(C1737, Resultados_Reales!$A$4:$I$107, 6, FALSE)) = SIGN(G1737-H1737), Configuracion!$B$4, 0)))</f>
        <v/>
      </c>
      <c r="L1737" s="11" t="n"/>
      <c r="M1737" s="11" t="n"/>
      <c r="N1737" s="11" t="n"/>
      <c r="O1737" s="11" t="n"/>
      <c r="P1737" s="11" t="n"/>
      <c r="Q1737" s="11" t="n"/>
    </row>
    <row r="1738">
      <c r="A1738" s="8">
        <f>B1738&amp;"_"&amp;C1738</f>
        <v/>
      </c>
      <c r="B1738" s="8" t="n"/>
      <c r="C1738" s="8" t="n"/>
      <c r="D1738" s="8" t="n"/>
      <c r="E1738" s="11" t="n"/>
      <c r="F1738" s="11" t="n"/>
      <c r="G1738" s="8" t="n"/>
      <c r="H1738" s="8" t="n"/>
      <c r="I1738" s="8" t="n"/>
      <c r="J1738" s="8" t="n"/>
      <c r="K1738" s="12">
        <f>IF(OR(ISERROR(VLOOKUP(C1738, Resultados_Reales!$A$4:$I$107, 5, FALSE)), ISERROR(VLOOKUP(C1738, Resultados_Reales!$A$4:$I$107, 6, FALSE)), VLOOKUP(C1738, Resultados_Reales!$A$4:$I$107, 5, FALSE)="", VLOOKUP(C1738, Resultados_Reales!$A$4:$I$107, 6, FALSE)=""), 0, IF(AND(VLOOKUP(C1738, Resultados_Reales!$A$4:$I$107, 5, FALSE)=G1738, VLOOKUP(C1738, Resultados_Reales!$A$4:$I$107, 6, FALSE)=H1738), Configuracion!$B$5, IF(SIGN(VLOOKUP(C1738, Resultados_Reales!$A$4:$I$107, 5, FALSE)-VLOOKUP(C1738, Resultados_Reales!$A$4:$I$107, 6, FALSE)) = SIGN(G1738-H1738), Configuracion!$B$4, 0)))</f>
        <v/>
      </c>
      <c r="L1738" s="11" t="n"/>
      <c r="M1738" s="11" t="n"/>
      <c r="N1738" s="11" t="n"/>
      <c r="O1738" s="11" t="n"/>
      <c r="P1738" s="11" t="n"/>
      <c r="Q1738" s="11" t="n"/>
    </row>
    <row r="1739">
      <c r="A1739" s="8">
        <f>B1739&amp;"_"&amp;C1739</f>
        <v/>
      </c>
      <c r="B1739" s="8" t="n"/>
      <c r="C1739" s="8" t="n"/>
      <c r="D1739" s="8" t="n"/>
      <c r="E1739" s="11" t="n"/>
      <c r="F1739" s="11" t="n"/>
      <c r="G1739" s="8" t="n"/>
      <c r="H1739" s="8" t="n"/>
      <c r="I1739" s="8" t="n"/>
      <c r="J1739" s="8" t="n"/>
      <c r="K1739" s="12">
        <f>IF(OR(ISERROR(VLOOKUP(C1739, Resultados_Reales!$A$4:$I$107, 5, FALSE)), ISERROR(VLOOKUP(C1739, Resultados_Reales!$A$4:$I$107, 6, FALSE)), VLOOKUP(C1739, Resultados_Reales!$A$4:$I$107, 5, FALSE)="", VLOOKUP(C1739, Resultados_Reales!$A$4:$I$107, 6, FALSE)=""), 0, IF(AND(VLOOKUP(C1739, Resultados_Reales!$A$4:$I$107, 5, FALSE)=G1739, VLOOKUP(C1739, Resultados_Reales!$A$4:$I$107, 6, FALSE)=H1739), Configuracion!$B$5, IF(SIGN(VLOOKUP(C1739, Resultados_Reales!$A$4:$I$107, 5, FALSE)-VLOOKUP(C1739, Resultados_Reales!$A$4:$I$107, 6, FALSE)) = SIGN(G1739-H1739), Configuracion!$B$4, 0)))</f>
        <v/>
      </c>
      <c r="L1739" s="11" t="n"/>
      <c r="M1739" s="11" t="n"/>
      <c r="N1739" s="11" t="n"/>
      <c r="O1739" s="11" t="n"/>
      <c r="P1739" s="11" t="n"/>
      <c r="Q1739" s="11" t="n"/>
    </row>
    <row r="1740">
      <c r="A1740" s="8">
        <f>B1740&amp;"_"&amp;C1740</f>
        <v/>
      </c>
      <c r="B1740" s="8" t="n"/>
      <c r="C1740" s="8" t="n"/>
      <c r="D1740" s="8" t="n"/>
      <c r="E1740" s="11" t="n"/>
      <c r="F1740" s="11" t="n"/>
      <c r="G1740" s="8" t="n"/>
      <c r="H1740" s="8" t="n"/>
      <c r="I1740" s="8" t="n"/>
      <c r="J1740" s="8" t="n"/>
      <c r="K1740" s="12">
        <f>IF(OR(ISERROR(VLOOKUP(C1740, Resultados_Reales!$A$4:$I$107, 5, FALSE)), ISERROR(VLOOKUP(C1740, Resultados_Reales!$A$4:$I$107, 6, FALSE)), VLOOKUP(C1740, Resultados_Reales!$A$4:$I$107, 5, FALSE)="", VLOOKUP(C1740, Resultados_Reales!$A$4:$I$107, 6, FALSE)=""), 0, IF(AND(VLOOKUP(C1740, Resultados_Reales!$A$4:$I$107, 5, FALSE)=G1740, VLOOKUP(C1740, Resultados_Reales!$A$4:$I$107, 6, FALSE)=H1740), Configuracion!$B$5, IF(SIGN(VLOOKUP(C1740, Resultados_Reales!$A$4:$I$107, 5, FALSE)-VLOOKUP(C1740, Resultados_Reales!$A$4:$I$107, 6, FALSE)) = SIGN(G1740-H1740), Configuracion!$B$4, 0)))</f>
        <v/>
      </c>
      <c r="L1740" s="11" t="n"/>
      <c r="M1740" s="11" t="n"/>
      <c r="N1740" s="11" t="n"/>
      <c r="O1740" s="11" t="n"/>
      <c r="P1740" s="11" t="n"/>
      <c r="Q1740" s="11" t="n"/>
    </row>
    <row r="1741">
      <c r="A1741" s="8">
        <f>B1741&amp;"_"&amp;C1741</f>
        <v/>
      </c>
      <c r="B1741" s="8" t="n"/>
      <c r="C1741" s="8" t="n"/>
      <c r="D1741" s="8" t="n"/>
      <c r="E1741" s="11" t="n"/>
      <c r="F1741" s="11" t="n"/>
      <c r="G1741" s="8" t="n"/>
      <c r="H1741" s="8" t="n"/>
      <c r="I1741" s="8" t="n"/>
      <c r="J1741" s="8" t="n"/>
      <c r="K1741" s="12">
        <f>IF(OR(ISERROR(VLOOKUP(C1741, Resultados_Reales!$A$4:$I$107, 5, FALSE)), ISERROR(VLOOKUP(C1741, Resultados_Reales!$A$4:$I$107, 6, FALSE)), VLOOKUP(C1741, Resultados_Reales!$A$4:$I$107, 5, FALSE)="", VLOOKUP(C1741, Resultados_Reales!$A$4:$I$107, 6, FALSE)=""), 0, IF(AND(VLOOKUP(C1741, Resultados_Reales!$A$4:$I$107, 5, FALSE)=G1741, VLOOKUP(C1741, Resultados_Reales!$A$4:$I$107, 6, FALSE)=H1741), Configuracion!$B$5, IF(SIGN(VLOOKUP(C1741, Resultados_Reales!$A$4:$I$107, 5, FALSE)-VLOOKUP(C1741, Resultados_Reales!$A$4:$I$107, 6, FALSE)) = SIGN(G1741-H1741), Configuracion!$B$4, 0)))</f>
        <v/>
      </c>
      <c r="L1741" s="11" t="n"/>
      <c r="M1741" s="11" t="n"/>
      <c r="N1741" s="11" t="n"/>
      <c r="O1741" s="11" t="n"/>
      <c r="P1741" s="11" t="n"/>
      <c r="Q1741" s="11" t="n"/>
    </row>
    <row r="1742">
      <c r="A1742" s="8">
        <f>B1742&amp;"_"&amp;C1742</f>
        <v/>
      </c>
      <c r="B1742" s="8" t="n"/>
      <c r="C1742" s="8" t="n"/>
      <c r="D1742" s="8" t="n"/>
      <c r="E1742" s="11" t="n"/>
      <c r="F1742" s="11" t="n"/>
      <c r="G1742" s="8" t="n"/>
      <c r="H1742" s="8" t="n"/>
      <c r="I1742" s="8" t="n"/>
      <c r="J1742" s="8" t="n"/>
      <c r="K1742" s="12">
        <f>IF(OR(ISERROR(VLOOKUP(C1742, Resultados_Reales!$A$4:$I$107, 5, FALSE)), ISERROR(VLOOKUP(C1742, Resultados_Reales!$A$4:$I$107, 6, FALSE)), VLOOKUP(C1742, Resultados_Reales!$A$4:$I$107, 5, FALSE)="", VLOOKUP(C1742, Resultados_Reales!$A$4:$I$107, 6, FALSE)=""), 0, IF(AND(VLOOKUP(C1742, Resultados_Reales!$A$4:$I$107, 5, FALSE)=G1742, VLOOKUP(C1742, Resultados_Reales!$A$4:$I$107, 6, FALSE)=H1742), Configuracion!$B$5, IF(SIGN(VLOOKUP(C1742, Resultados_Reales!$A$4:$I$107, 5, FALSE)-VLOOKUP(C1742, Resultados_Reales!$A$4:$I$107, 6, FALSE)) = SIGN(G1742-H1742), Configuracion!$B$4, 0)))</f>
        <v/>
      </c>
      <c r="L1742" s="11" t="n"/>
      <c r="M1742" s="11" t="n"/>
      <c r="N1742" s="11" t="n"/>
      <c r="O1742" s="11" t="n"/>
      <c r="P1742" s="11" t="n"/>
      <c r="Q1742" s="11" t="n"/>
    </row>
    <row r="1743">
      <c r="A1743" s="8">
        <f>B1743&amp;"_"&amp;C1743</f>
        <v/>
      </c>
      <c r="B1743" s="8" t="n"/>
      <c r="C1743" s="8" t="n"/>
      <c r="D1743" s="8" t="n"/>
      <c r="E1743" s="11" t="n"/>
      <c r="F1743" s="11" t="n"/>
      <c r="G1743" s="8" t="n"/>
      <c r="H1743" s="8" t="n"/>
      <c r="I1743" s="8" t="n"/>
      <c r="J1743" s="8" t="n"/>
      <c r="K1743" s="12">
        <f>IF(OR(ISERROR(VLOOKUP(C1743, Resultados_Reales!$A$4:$I$107, 5, FALSE)), ISERROR(VLOOKUP(C1743, Resultados_Reales!$A$4:$I$107, 6, FALSE)), VLOOKUP(C1743, Resultados_Reales!$A$4:$I$107, 5, FALSE)="", VLOOKUP(C1743, Resultados_Reales!$A$4:$I$107, 6, FALSE)=""), 0, IF(AND(VLOOKUP(C1743, Resultados_Reales!$A$4:$I$107, 5, FALSE)=G1743, VLOOKUP(C1743, Resultados_Reales!$A$4:$I$107, 6, FALSE)=H1743), Configuracion!$B$5, IF(SIGN(VLOOKUP(C1743, Resultados_Reales!$A$4:$I$107, 5, FALSE)-VLOOKUP(C1743, Resultados_Reales!$A$4:$I$107, 6, FALSE)) = SIGN(G1743-H1743), Configuracion!$B$4, 0)))</f>
        <v/>
      </c>
      <c r="L1743" s="11" t="n"/>
      <c r="M1743" s="11" t="n"/>
      <c r="N1743" s="11" t="n"/>
      <c r="O1743" s="11" t="n"/>
      <c r="P1743" s="11" t="n"/>
      <c r="Q1743" s="11" t="n"/>
    </row>
    <row r="1744">
      <c r="A1744" s="8">
        <f>B1744&amp;"_"&amp;C1744</f>
        <v/>
      </c>
      <c r="B1744" s="8" t="n"/>
      <c r="C1744" s="8" t="n"/>
      <c r="D1744" s="8" t="n"/>
      <c r="E1744" s="11" t="n"/>
      <c r="F1744" s="11" t="n"/>
      <c r="G1744" s="8" t="n"/>
      <c r="H1744" s="8" t="n"/>
      <c r="I1744" s="8" t="n"/>
      <c r="J1744" s="8" t="n"/>
      <c r="K1744" s="12">
        <f>IF(OR(ISERROR(VLOOKUP(C1744, Resultados_Reales!$A$4:$I$107, 5, FALSE)), ISERROR(VLOOKUP(C1744, Resultados_Reales!$A$4:$I$107, 6, FALSE)), VLOOKUP(C1744, Resultados_Reales!$A$4:$I$107, 5, FALSE)="", VLOOKUP(C1744, Resultados_Reales!$A$4:$I$107, 6, FALSE)=""), 0, IF(AND(VLOOKUP(C1744, Resultados_Reales!$A$4:$I$107, 5, FALSE)=G1744, VLOOKUP(C1744, Resultados_Reales!$A$4:$I$107, 6, FALSE)=H1744), Configuracion!$B$5, IF(SIGN(VLOOKUP(C1744, Resultados_Reales!$A$4:$I$107, 5, FALSE)-VLOOKUP(C1744, Resultados_Reales!$A$4:$I$107, 6, FALSE)) = SIGN(G1744-H1744), Configuracion!$B$4, 0)))</f>
        <v/>
      </c>
      <c r="L1744" s="11" t="n"/>
      <c r="M1744" s="11" t="n"/>
      <c r="N1744" s="11" t="n"/>
      <c r="O1744" s="11" t="n"/>
      <c r="P1744" s="11" t="n"/>
      <c r="Q1744" s="11" t="n"/>
    </row>
    <row r="1745">
      <c r="A1745" s="8">
        <f>B1745&amp;"_"&amp;C1745</f>
        <v/>
      </c>
      <c r="B1745" s="8" t="n"/>
      <c r="C1745" s="8" t="n"/>
      <c r="D1745" s="8" t="n"/>
      <c r="E1745" s="11" t="n"/>
      <c r="F1745" s="11" t="n"/>
      <c r="G1745" s="8" t="n"/>
      <c r="H1745" s="8" t="n"/>
      <c r="I1745" s="8" t="n"/>
      <c r="J1745" s="8" t="n"/>
      <c r="K1745" s="12">
        <f>IF(OR(ISERROR(VLOOKUP(C1745, Resultados_Reales!$A$4:$I$107, 5, FALSE)), ISERROR(VLOOKUP(C1745, Resultados_Reales!$A$4:$I$107, 6, FALSE)), VLOOKUP(C1745, Resultados_Reales!$A$4:$I$107, 5, FALSE)="", VLOOKUP(C1745, Resultados_Reales!$A$4:$I$107, 6, FALSE)=""), 0, IF(AND(VLOOKUP(C1745, Resultados_Reales!$A$4:$I$107, 5, FALSE)=G1745, VLOOKUP(C1745, Resultados_Reales!$A$4:$I$107, 6, FALSE)=H1745), Configuracion!$B$5, IF(SIGN(VLOOKUP(C1745, Resultados_Reales!$A$4:$I$107, 5, FALSE)-VLOOKUP(C1745, Resultados_Reales!$A$4:$I$107, 6, FALSE)) = SIGN(G1745-H1745), Configuracion!$B$4, 0)))</f>
        <v/>
      </c>
      <c r="L1745" s="11" t="n"/>
      <c r="M1745" s="11" t="n"/>
      <c r="N1745" s="11" t="n"/>
      <c r="O1745" s="11" t="n"/>
      <c r="P1745" s="11" t="n"/>
      <c r="Q1745" s="11" t="n"/>
    </row>
    <row r="1746">
      <c r="A1746" s="8">
        <f>B1746&amp;"_"&amp;C1746</f>
        <v/>
      </c>
      <c r="B1746" s="8" t="n"/>
      <c r="C1746" s="8" t="n"/>
      <c r="D1746" s="8" t="n"/>
      <c r="E1746" s="11" t="n"/>
      <c r="F1746" s="11" t="n"/>
      <c r="G1746" s="8" t="n"/>
      <c r="H1746" s="8" t="n"/>
      <c r="I1746" s="8" t="n"/>
      <c r="J1746" s="8" t="n"/>
      <c r="K1746" s="12">
        <f>IF(OR(ISERROR(VLOOKUP(C1746, Resultados_Reales!$A$4:$I$107, 5, FALSE)), ISERROR(VLOOKUP(C1746, Resultados_Reales!$A$4:$I$107, 6, FALSE)), VLOOKUP(C1746, Resultados_Reales!$A$4:$I$107, 5, FALSE)="", VLOOKUP(C1746, Resultados_Reales!$A$4:$I$107, 6, FALSE)=""), 0, IF(AND(VLOOKUP(C1746, Resultados_Reales!$A$4:$I$107, 5, FALSE)=G1746, VLOOKUP(C1746, Resultados_Reales!$A$4:$I$107, 6, FALSE)=H1746), Configuracion!$B$5, IF(SIGN(VLOOKUP(C1746, Resultados_Reales!$A$4:$I$107, 5, FALSE)-VLOOKUP(C1746, Resultados_Reales!$A$4:$I$107, 6, FALSE)) = SIGN(G1746-H1746), Configuracion!$B$4, 0)))</f>
        <v/>
      </c>
      <c r="L1746" s="11" t="n"/>
      <c r="M1746" s="11" t="n"/>
      <c r="N1746" s="11" t="n"/>
      <c r="O1746" s="11" t="n"/>
      <c r="P1746" s="11" t="n"/>
      <c r="Q1746" s="11" t="n"/>
    </row>
    <row r="1747">
      <c r="A1747" s="8">
        <f>B1747&amp;"_"&amp;C1747</f>
        <v/>
      </c>
      <c r="B1747" s="8" t="n"/>
      <c r="C1747" s="8" t="n"/>
      <c r="D1747" s="8" t="n"/>
      <c r="E1747" s="11" t="n"/>
      <c r="F1747" s="11" t="n"/>
      <c r="G1747" s="8" t="n"/>
      <c r="H1747" s="8" t="n"/>
      <c r="I1747" s="8" t="n"/>
      <c r="J1747" s="8" t="n"/>
      <c r="K1747" s="12">
        <f>IF(OR(ISERROR(VLOOKUP(C1747, Resultados_Reales!$A$4:$I$107, 5, FALSE)), ISERROR(VLOOKUP(C1747, Resultados_Reales!$A$4:$I$107, 6, FALSE)), VLOOKUP(C1747, Resultados_Reales!$A$4:$I$107, 5, FALSE)="", VLOOKUP(C1747, Resultados_Reales!$A$4:$I$107, 6, FALSE)=""), 0, IF(AND(VLOOKUP(C1747, Resultados_Reales!$A$4:$I$107, 5, FALSE)=G1747, VLOOKUP(C1747, Resultados_Reales!$A$4:$I$107, 6, FALSE)=H1747), Configuracion!$B$5, IF(SIGN(VLOOKUP(C1747, Resultados_Reales!$A$4:$I$107, 5, FALSE)-VLOOKUP(C1747, Resultados_Reales!$A$4:$I$107, 6, FALSE)) = SIGN(G1747-H1747), Configuracion!$B$4, 0)))</f>
        <v/>
      </c>
      <c r="L1747" s="11" t="n"/>
      <c r="M1747" s="11" t="n"/>
      <c r="N1747" s="11" t="n"/>
      <c r="O1747" s="11" t="n"/>
      <c r="P1747" s="11" t="n"/>
      <c r="Q1747" s="11" t="n"/>
    </row>
    <row r="1748">
      <c r="A1748" s="8">
        <f>B1748&amp;"_"&amp;C1748</f>
        <v/>
      </c>
      <c r="B1748" s="8" t="n"/>
      <c r="C1748" s="8" t="n"/>
      <c r="D1748" s="8" t="n"/>
      <c r="E1748" s="11" t="n"/>
      <c r="F1748" s="11" t="n"/>
      <c r="G1748" s="8" t="n"/>
      <c r="H1748" s="8" t="n"/>
      <c r="I1748" s="8" t="n"/>
      <c r="J1748" s="8" t="n"/>
      <c r="K1748" s="12">
        <f>IF(OR(ISERROR(VLOOKUP(C1748, Resultados_Reales!$A$4:$I$107, 5, FALSE)), ISERROR(VLOOKUP(C1748, Resultados_Reales!$A$4:$I$107, 6, FALSE)), VLOOKUP(C1748, Resultados_Reales!$A$4:$I$107, 5, FALSE)="", VLOOKUP(C1748, Resultados_Reales!$A$4:$I$107, 6, FALSE)=""), 0, IF(AND(VLOOKUP(C1748, Resultados_Reales!$A$4:$I$107, 5, FALSE)=G1748, VLOOKUP(C1748, Resultados_Reales!$A$4:$I$107, 6, FALSE)=H1748), Configuracion!$B$5, IF(SIGN(VLOOKUP(C1748, Resultados_Reales!$A$4:$I$107, 5, FALSE)-VLOOKUP(C1748, Resultados_Reales!$A$4:$I$107, 6, FALSE)) = SIGN(G1748-H1748), Configuracion!$B$4, 0)))</f>
        <v/>
      </c>
      <c r="L1748" s="11" t="n"/>
      <c r="M1748" s="11" t="n"/>
      <c r="N1748" s="11" t="n"/>
      <c r="O1748" s="11" t="n"/>
      <c r="P1748" s="11" t="n"/>
      <c r="Q1748" s="11" t="n"/>
    </row>
    <row r="1749">
      <c r="A1749" s="8">
        <f>B1749&amp;"_"&amp;C1749</f>
        <v/>
      </c>
      <c r="B1749" s="8" t="n"/>
      <c r="C1749" s="8" t="n"/>
      <c r="D1749" s="8" t="n"/>
      <c r="E1749" s="11" t="n"/>
      <c r="F1749" s="11" t="n"/>
      <c r="G1749" s="8" t="n"/>
      <c r="H1749" s="8" t="n"/>
      <c r="I1749" s="8" t="n"/>
      <c r="J1749" s="8" t="n"/>
      <c r="K1749" s="12">
        <f>IF(OR(ISERROR(VLOOKUP(C1749, Resultados_Reales!$A$4:$I$107, 5, FALSE)), ISERROR(VLOOKUP(C1749, Resultados_Reales!$A$4:$I$107, 6, FALSE)), VLOOKUP(C1749, Resultados_Reales!$A$4:$I$107, 5, FALSE)="", VLOOKUP(C1749, Resultados_Reales!$A$4:$I$107, 6, FALSE)=""), 0, IF(AND(VLOOKUP(C1749, Resultados_Reales!$A$4:$I$107, 5, FALSE)=G1749, VLOOKUP(C1749, Resultados_Reales!$A$4:$I$107, 6, FALSE)=H1749), Configuracion!$B$5, IF(SIGN(VLOOKUP(C1749, Resultados_Reales!$A$4:$I$107, 5, FALSE)-VLOOKUP(C1749, Resultados_Reales!$A$4:$I$107, 6, FALSE)) = SIGN(G1749-H1749), Configuracion!$B$4, 0)))</f>
        <v/>
      </c>
      <c r="L1749" s="11" t="n"/>
      <c r="M1749" s="11" t="n"/>
      <c r="N1749" s="11" t="n"/>
      <c r="O1749" s="11" t="n"/>
      <c r="P1749" s="11" t="n"/>
      <c r="Q1749" s="11" t="n"/>
    </row>
    <row r="1750">
      <c r="A1750" s="8">
        <f>B1750&amp;"_"&amp;C1750</f>
        <v/>
      </c>
      <c r="B1750" s="8" t="n"/>
      <c r="C1750" s="8" t="n"/>
      <c r="D1750" s="8" t="n"/>
      <c r="E1750" s="11" t="n"/>
      <c r="F1750" s="11" t="n"/>
      <c r="G1750" s="8" t="n"/>
      <c r="H1750" s="8" t="n"/>
      <c r="I1750" s="8" t="n"/>
      <c r="J1750" s="8" t="n"/>
      <c r="K1750" s="12">
        <f>IF(OR(ISERROR(VLOOKUP(C1750, Resultados_Reales!$A$4:$I$107, 5, FALSE)), ISERROR(VLOOKUP(C1750, Resultados_Reales!$A$4:$I$107, 6, FALSE)), VLOOKUP(C1750, Resultados_Reales!$A$4:$I$107, 5, FALSE)="", VLOOKUP(C1750, Resultados_Reales!$A$4:$I$107, 6, FALSE)=""), 0, IF(AND(VLOOKUP(C1750, Resultados_Reales!$A$4:$I$107, 5, FALSE)=G1750, VLOOKUP(C1750, Resultados_Reales!$A$4:$I$107, 6, FALSE)=H1750), Configuracion!$B$5, IF(SIGN(VLOOKUP(C1750, Resultados_Reales!$A$4:$I$107, 5, FALSE)-VLOOKUP(C1750, Resultados_Reales!$A$4:$I$107, 6, FALSE)) = SIGN(G1750-H1750), Configuracion!$B$4, 0)))</f>
        <v/>
      </c>
      <c r="L1750" s="11" t="n"/>
      <c r="M1750" s="11" t="n"/>
      <c r="N1750" s="11" t="n"/>
      <c r="O1750" s="11" t="n"/>
      <c r="P1750" s="11" t="n"/>
      <c r="Q1750" s="11" t="n"/>
    </row>
    <row r="1751">
      <c r="A1751" s="8">
        <f>B1751&amp;"_"&amp;C1751</f>
        <v/>
      </c>
      <c r="B1751" s="8" t="n"/>
      <c r="C1751" s="8" t="n"/>
      <c r="D1751" s="8" t="n"/>
      <c r="E1751" s="11" t="n"/>
      <c r="F1751" s="11" t="n"/>
      <c r="G1751" s="8" t="n"/>
      <c r="H1751" s="8" t="n"/>
      <c r="I1751" s="8" t="n"/>
      <c r="J1751" s="8" t="n"/>
      <c r="K1751" s="12">
        <f>IF(OR(ISERROR(VLOOKUP(C1751, Resultados_Reales!$A$4:$I$107, 5, FALSE)), ISERROR(VLOOKUP(C1751, Resultados_Reales!$A$4:$I$107, 6, FALSE)), VLOOKUP(C1751, Resultados_Reales!$A$4:$I$107, 5, FALSE)="", VLOOKUP(C1751, Resultados_Reales!$A$4:$I$107, 6, FALSE)=""), 0, IF(AND(VLOOKUP(C1751, Resultados_Reales!$A$4:$I$107, 5, FALSE)=G1751, VLOOKUP(C1751, Resultados_Reales!$A$4:$I$107, 6, FALSE)=H1751), Configuracion!$B$5, IF(SIGN(VLOOKUP(C1751, Resultados_Reales!$A$4:$I$107, 5, FALSE)-VLOOKUP(C1751, Resultados_Reales!$A$4:$I$107, 6, FALSE)) = SIGN(G1751-H1751), Configuracion!$B$4, 0)))</f>
        <v/>
      </c>
      <c r="L1751" s="11" t="n"/>
      <c r="M1751" s="11" t="n"/>
      <c r="N1751" s="11" t="n"/>
      <c r="O1751" s="11" t="n"/>
      <c r="P1751" s="11" t="n"/>
      <c r="Q1751" s="11" t="n"/>
    </row>
    <row r="1752">
      <c r="A1752" s="8">
        <f>B1752&amp;"_"&amp;C1752</f>
        <v/>
      </c>
      <c r="B1752" s="8" t="n"/>
      <c r="C1752" s="8" t="n"/>
      <c r="D1752" s="8" t="n"/>
      <c r="E1752" s="11" t="n"/>
      <c r="F1752" s="11" t="n"/>
      <c r="G1752" s="8" t="n"/>
      <c r="H1752" s="8" t="n"/>
      <c r="I1752" s="8" t="n"/>
      <c r="J1752" s="8" t="n"/>
      <c r="K1752" s="12">
        <f>IF(OR(ISERROR(VLOOKUP(C1752, Resultados_Reales!$A$4:$I$107, 5, FALSE)), ISERROR(VLOOKUP(C1752, Resultados_Reales!$A$4:$I$107, 6, FALSE)), VLOOKUP(C1752, Resultados_Reales!$A$4:$I$107, 5, FALSE)="", VLOOKUP(C1752, Resultados_Reales!$A$4:$I$107, 6, FALSE)=""), 0, IF(AND(VLOOKUP(C1752, Resultados_Reales!$A$4:$I$107, 5, FALSE)=G1752, VLOOKUP(C1752, Resultados_Reales!$A$4:$I$107, 6, FALSE)=H1752), Configuracion!$B$5, IF(SIGN(VLOOKUP(C1752, Resultados_Reales!$A$4:$I$107, 5, FALSE)-VLOOKUP(C1752, Resultados_Reales!$A$4:$I$107, 6, FALSE)) = SIGN(G1752-H1752), Configuracion!$B$4, 0)))</f>
        <v/>
      </c>
      <c r="L1752" s="11" t="n"/>
      <c r="M1752" s="11" t="n"/>
      <c r="N1752" s="11" t="n"/>
      <c r="O1752" s="11" t="n"/>
      <c r="P1752" s="11" t="n"/>
      <c r="Q1752" s="11" t="n"/>
    </row>
    <row r="1753">
      <c r="A1753" s="8">
        <f>B1753&amp;"_"&amp;C1753</f>
        <v/>
      </c>
      <c r="B1753" s="8" t="n"/>
      <c r="C1753" s="8" t="n"/>
      <c r="D1753" s="8" t="n"/>
      <c r="E1753" s="11" t="n"/>
      <c r="F1753" s="11" t="n"/>
      <c r="G1753" s="8" t="n"/>
      <c r="H1753" s="8" t="n"/>
      <c r="I1753" s="8" t="n"/>
      <c r="J1753" s="8" t="n"/>
      <c r="K1753" s="12">
        <f>IF(OR(ISERROR(VLOOKUP(C1753, Resultados_Reales!$A$4:$I$107, 5, FALSE)), ISERROR(VLOOKUP(C1753, Resultados_Reales!$A$4:$I$107, 6, FALSE)), VLOOKUP(C1753, Resultados_Reales!$A$4:$I$107, 5, FALSE)="", VLOOKUP(C1753, Resultados_Reales!$A$4:$I$107, 6, FALSE)=""), 0, IF(AND(VLOOKUP(C1753, Resultados_Reales!$A$4:$I$107, 5, FALSE)=G1753, VLOOKUP(C1753, Resultados_Reales!$A$4:$I$107, 6, FALSE)=H1753), Configuracion!$B$5, IF(SIGN(VLOOKUP(C1753, Resultados_Reales!$A$4:$I$107, 5, FALSE)-VLOOKUP(C1753, Resultados_Reales!$A$4:$I$107, 6, FALSE)) = SIGN(G1753-H1753), Configuracion!$B$4, 0)))</f>
        <v/>
      </c>
      <c r="L1753" s="11" t="n"/>
      <c r="M1753" s="11" t="n"/>
      <c r="N1753" s="11" t="n"/>
      <c r="O1753" s="11" t="n"/>
      <c r="P1753" s="11" t="n"/>
      <c r="Q1753" s="11" t="n"/>
    </row>
    <row r="1754">
      <c r="A1754" s="8">
        <f>B1754&amp;"_"&amp;C1754</f>
        <v/>
      </c>
      <c r="B1754" s="8" t="n"/>
      <c r="C1754" s="8" t="n"/>
      <c r="D1754" s="8" t="n"/>
      <c r="E1754" s="11" t="n"/>
      <c r="F1754" s="11" t="n"/>
      <c r="G1754" s="8" t="n"/>
      <c r="H1754" s="8" t="n"/>
      <c r="I1754" s="8" t="n"/>
      <c r="J1754" s="8" t="n"/>
      <c r="K1754" s="12">
        <f>IF(OR(ISERROR(VLOOKUP(C1754, Resultados_Reales!$A$4:$I$107, 5, FALSE)), ISERROR(VLOOKUP(C1754, Resultados_Reales!$A$4:$I$107, 6, FALSE)), VLOOKUP(C1754, Resultados_Reales!$A$4:$I$107, 5, FALSE)="", VLOOKUP(C1754, Resultados_Reales!$A$4:$I$107, 6, FALSE)=""), 0, IF(AND(VLOOKUP(C1754, Resultados_Reales!$A$4:$I$107, 5, FALSE)=G1754, VLOOKUP(C1754, Resultados_Reales!$A$4:$I$107, 6, FALSE)=H1754), Configuracion!$B$5, IF(SIGN(VLOOKUP(C1754, Resultados_Reales!$A$4:$I$107, 5, FALSE)-VLOOKUP(C1754, Resultados_Reales!$A$4:$I$107, 6, FALSE)) = SIGN(G1754-H1754), Configuracion!$B$4, 0)))</f>
        <v/>
      </c>
      <c r="L1754" s="11" t="n"/>
      <c r="M1754" s="11" t="n"/>
      <c r="N1754" s="11" t="n"/>
      <c r="O1754" s="11" t="n"/>
      <c r="P1754" s="11" t="n"/>
      <c r="Q1754" s="11" t="n"/>
    </row>
    <row r="1755">
      <c r="A1755" s="8">
        <f>B1755&amp;"_"&amp;C1755</f>
        <v/>
      </c>
      <c r="B1755" s="8" t="n"/>
      <c r="C1755" s="8" t="n"/>
      <c r="D1755" s="8" t="n"/>
      <c r="E1755" s="11" t="n"/>
      <c r="F1755" s="11" t="n"/>
      <c r="G1755" s="8" t="n"/>
      <c r="H1755" s="8" t="n"/>
      <c r="I1755" s="8" t="n"/>
      <c r="J1755" s="8" t="n"/>
      <c r="K1755" s="12">
        <f>IF(OR(ISERROR(VLOOKUP(C1755, Resultados_Reales!$A$4:$I$107, 5, FALSE)), ISERROR(VLOOKUP(C1755, Resultados_Reales!$A$4:$I$107, 6, FALSE)), VLOOKUP(C1755, Resultados_Reales!$A$4:$I$107, 5, FALSE)="", VLOOKUP(C1755, Resultados_Reales!$A$4:$I$107, 6, FALSE)=""), 0, IF(AND(VLOOKUP(C1755, Resultados_Reales!$A$4:$I$107, 5, FALSE)=G1755, VLOOKUP(C1755, Resultados_Reales!$A$4:$I$107, 6, FALSE)=H1755), Configuracion!$B$5, IF(SIGN(VLOOKUP(C1755, Resultados_Reales!$A$4:$I$107, 5, FALSE)-VLOOKUP(C1755, Resultados_Reales!$A$4:$I$107, 6, FALSE)) = SIGN(G1755-H1755), Configuracion!$B$4, 0)))</f>
        <v/>
      </c>
      <c r="L1755" s="11" t="n"/>
      <c r="M1755" s="11" t="n"/>
      <c r="N1755" s="11" t="n"/>
      <c r="O1755" s="11" t="n"/>
      <c r="P1755" s="11" t="n"/>
      <c r="Q1755" s="11" t="n"/>
    </row>
    <row r="1756">
      <c r="A1756" s="8">
        <f>B1756&amp;"_"&amp;C1756</f>
        <v/>
      </c>
      <c r="B1756" s="8" t="n"/>
      <c r="C1756" s="8" t="n"/>
      <c r="D1756" s="8" t="n"/>
      <c r="E1756" s="11" t="n"/>
      <c r="F1756" s="11" t="n"/>
      <c r="G1756" s="8" t="n"/>
      <c r="H1756" s="8" t="n"/>
      <c r="I1756" s="8" t="n"/>
      <c r="J1756" s="8" t="n"/>
      <c r="K1756" s="12">
        <f>IF(OR(ISERROR(VLOOKUP(C1756, Resultados_Reales!$A$4:$I$107, 5, FALSE)), ISERROR(VLOOKUP(C1756, Resultados_Reales!$A$4:$I$107, 6, FALSE)), VLOOKUP(C1756, Resultados_Reales!$A$4:$I$107, 5, FALSE)="", VLOOKUP(C1756, Resultados_Reales!$A$4:$I$107, 6, FALSE)=""), 0, IF(AND(VLOOKUP(C1756, Resultados_Reales!$A$4:$I$107, 5, FALSE)=G1756, VLOOKUP(C1756, Resultados_Reales!$A$4:$I$107, 6, FALSE)=H1756), Configuracion!$B$5, IF(SIGN(VLOOKUP(C1756, Resultados_Reales!$A$4:$I$107, 5, FALSE)-VLOOKUP(C1756, Resultados_Reales!$A$4:$I$107, 6, FALSE)) = SIGN(G1756-H1756), Configuracion!$B$4, 0)))</f>
        <v/>
      </c>
      <c r="L1756" s="11" t="n"/>
      <c r="M1756" s="11" t="n"/>
      <c r="N1756" s="11" t="n"/>
      <c r="O1756" s="11" t="n"/>
      <c r="P1756" s="11" t="n"/>
      <c r="Q1756" s="11" t="n"/>
    </row>
    <row r="1757">
      <c r="A1757" s="8">
        <f>B1757&amp;"_"&amp;C1757</f>
        <v/>
      </c>
      <c r="B1757" s="8" t="n"/>
      <c r="C1757" s="8" t="n"/>
      <c r="D1757" s="8" t="n"/>
      <c r="E1757" s="11" t="n"/>
      <c r="F1757" s="11" t="n"/>
      <c r="G1757" s="8" t="n"/>
      <c r="H1757" s="8" t="n"/>
      <c r="I1757" s="8" t="n"/>
      <c r="J1757" s="8" t="n"/>
      <c r="K1757" s="12">
        <f>IF(OR(ISERROR(VLOOKUP(C1757, Resultados_Reales!$A$4:$I$107, 5, FALSE)), ISERROR(VLOOKUP(C1757, Resultados_Reales!$A$4:$I$107, 6, FALSE)), VLOOKUP(C1757, Resultados_Reales!$A$4:$I$107, 5, FALSE)="", VLOOKUP(C1757, Resultados_Reales!$A$4:$I$107, 6, FALSE)=""), 0, IF(AND(VLOOKUP(C1757, Resultados_Reales!$A$4:$I$107, 5, FALSE)=G1757, VLOOKUP(C1757, Resultados_Reales!$A$4:$I$107, 6, FALSE)=H1757), Configuracion!$B$5, IF(SIGN(VLOOKUP(C1757, Resultados_Reales!$A$4:$I$107, 5, FALSE)-VLOOKUP(C1757, Resultados_Reales!$A$4:$I$107, 6, FALSE)) = SIGN(G1757-H1757), Configuracion!$B$4, 0)))</f>
        <v/>
      </c>
      <c r="L1757" s="11" t="n"/>
      <c r="M1757" s="11" t="n"/>
      <c r="N1757" s="11" t="n"/>
      <c r="O1757" s="11" t="n"/>
      <c r="P1757" s="11" t="n"/>
      <c r="Q1757" s="11" t="n"/>
    </row>
    <row r="1758">
      <c r="A1758" s="8">
        <f>B1758&amp;"_"&amp;C1758</f>
        <v/>
      </c>
      <c r="B1758" s="8" t="n"/>
      <c r="C1758" s="8" t="n"/>
      <c r="D1758" s="8" t="n"/>
      <c r="E1758" s="11" t="n"/>
      <c r="F1758" s="11" t="n"/>
      <c r="G1758" s="8" t="n"/>
      <c r="H1758" s="8" t="n"/>
      <c r="I1758" s="8" t="n"/>
      <c r="J1758" s="8" t="n"/>
      <c r="K1758" s="12">
        <f>IF(OR(ISERROR(VLOOKUP(C1758, Resultados_Reales!$A$4:$I$107, 5, FALSE)), ISERROR(VLOOKUP(C1758, Resultados_Reales!$A$4:$I$107, 6, FALSE)), VLOOKUP(C1758, Resultados_Reales!$A$4:$I$107, 5, FALSE)="", VLOOKUP(C1758, Resultados_Reales!$A$4:$I$107, 6, FALSE)=""), 0, IF(AND(VLOOKUP(C1758, Resultados_Reales!$A$4:$I$107, 5, FALSE)=G1758, VLOOKUP(C1758, Resultados_Reales!$A$4:$I$107, 6, FALSE)=H1758), Configuracion!$B$5, IF(SIGN(VLOOKUP(C1758, Resultados_Reales!$A$4:$I$107, 5, FALSE)-VLOOKUP(C1758, Resultados_Reales!$A$4:$I$107, 6, FALSE)) = SIGN(G1758-H1758), Configuracion!$B$4, 0)))</f>
        <v/>
      </c>
      <c r="L1758" s="11" t="n"/>
      <c r="M1758" s="11" t="n"/>
      <c r="N1758" s="11" t="n"/>
      <c r="O1758" s="11" t="n"/>
      <c r="P1758" s="11" t="n"/>
      <c r="Q1758" s="11" t="n"/>
    </row>
    <row r="1759">
      <c r="A1759" s="8">
        <f>B1759&amp;"_"&amp;C1759</f>
        <v/>
      </c>
      <c r="B1759" s="8" t="n"/>
      <c r="C1759" s="8" t="n"/>
      <c r="D1759" s="8" t="n"/>
      <c r="E1759" s="11" t="n"/>
      <c r="F1759" s="11" t="n"/>
      <c r="G1759" s="8" t="n"/>
      <c r="H1759" s="8" t="n"/>
      <c r="I1759" s="8" t="n"/>
      <c r="J1759" s="8" t="n"/>
      <c r="K1759" s="12">
        <f>IF(OR(ISERROR(VLOOKUP(C1759, Resultados_Reales!$A$4:$I$107, 5, FALSE)), ISERROR(VLOOKUP(C1759, Resultados_Reales!$A$4:$I$107, 6, FALSE)), VLOOKUP(C1759, Resultados_Reales!$A$4:$I$107, 5, FALSE)="", VLOOKUP(C1759, Resultados_Reales!$A$4:$I$107, 6, FALSE)=""), 0, IF(AND(VLOOKUP(C1759, Resultados_Reales!$A$4:$I$107, 5, FALSE)=G1759, VLOOKUP(C1759, Resultados_Reales!$A$4:$I$107, 6, FALSE)=H1759), Configuracion!$B$5, IF(SIGN(VLOOKUP(C1759, Resultados_Reales!$A$4:$I$107, 5, FALSE)-VLOOKUP(C1759, Resultados_Reales!$A$4:$I$107, 6, FALSE)) = SIGN(G1759-H1759), Configuracion!$B$4, 0)))</f>
        <v/>
      </c>
      <c r="L1759" s="11" t="n"/>
      <c r="M1759" s="11" t="n"/>
      <c r="N1759" s="11" t="n"/>
      <c r="O1759" s="11" t="n"/>
      <c r="P1759" s="11" t="n"/>
      <c r="Q1759" s="11" t="n"/>
    </row>
    <row r="1760">
      <c r="A1760" s="8">
        <f>B1760&amp;"_"&amp;C1760</f>
        <v/>
      </c>
      <c r="B1760" s="8" t="n"/>
      <c r="C1760" s="8" t="n"/>
      <c r="D1760" s="8" t="n"/>
      <c r="E1760" s="11" t="n"/>
      <c r="F1760" s="11" t="n"/>
      <c r="G1760" s="8" t="n"/>
      <c r="H1760" s="8" t="n"/>
      <c r="I1760" s="8" t="n"/>
      <c r="J1760" s="8" t="n"/>
      <c r="K1760" s="12">
        <f>IF(OR(ISERROR(VLOOKUP(C1760, Resultados_Reales!$A$4:$I$107, 5, FALSE)), ISERROR(VLOOKUP(C1760, Resultados_Reales!$A$4:$I$107, 6, FALSE)), VLOOKUP(C1760, Resultados_Reales!$A$4:$I$107, 5, FALSE)="", VLOOKUP(C1760, Resultados_Reales!$A$4:$I$107, 6, FALSE)=""), 0, IF(AND(VLOOKUP(C1760, Resultados_Reales!$A$4:$I$107, 5, FALSE)=G1760, VLOOKUP(C1760, Resultados_Reales!$A$4:$I$107, 6, FALSE)=H1760), Configuracion!$B$5, IF(SIGN(VLOOKUP(C1760, Resultados_Reales!$A$4:$I$107, 5, FALSE)-VLOOKUP(C1760, Resultados_Reales!$A$4:$I$107, 6, FALSE)) = SIGN(G1760-H1760), Configuracion!$B$4, 0)))</f>
        <v/>
      </c>
      <c r="L1760" s="11" t="n"/>
      <c r="M1760" s="11" t="n"/>
      <c r="N1760" s="11" t="n"/>
      <c r="O1760" s="11" t="n"/>
      <c r="P1760" s="11" t="n"/>
      <c r="Q1760" s="11" t="n"/>
    </row>
    <row r="1761">
      <c r="A1761" s="8">
        <f>B1761&amp;"_"&amp;C1761</f>
        <v/>
      </c>
      <c r="B1761" s="8" t="n"/>
      <c r="C1761" s="8" t="n"/>
      <c r="D1761" s="8" t="n"/>
      <c r="E1761" s="11" t="n"/>
      <c r="F1761" s="11" t="n"/>
      <c r="G1761" s="8" t="n"/>
      <c r="H1761" s="8" t="n"/>
      <c r="I1761" s="8" t="n"/>
      <c r="J1761" s="8" t="n"/>
      <c r="K1761" s="12">
        <f>IF(OR(ISERROR(VLOOKUP(C1761, Resultados_Reales!$A$4:$I$107, 5, FALSE)), ISERROR(VLOOKUP(C1761, Resultados_Reales!$A$4:$I$107, 6, FALSE)), VLOOKUP(C1761, Resultados_Reales!$A$4:$I$107, 5, FALSE)="", VLOOKUP(C1761, Resultados_Reales!$A$4:$I$107, 6, FALSE)=""), 0, IF(AND(VLOOKUP(C1761, Resultados_Reales!$A$4:$I$107, 5, FALSE)=G1761, VLOOKUP(C1761, Resultados_Reales!$A$4:$I$107, 6, FALSE)=H1761), Configuracion!$B$5, IF(SIGN(VLOOKUP(C1761, Resultados_Reales!$A$4:$I$107, 5, FALSE)-VLOOKUP(C1761, Resultados_Reales!$A$4:$I$107, 6, FALSE)) = SIGN(G1761-H1761), Configuracion!$B$4, 0)))</f>
        <v/>
      </c>
      <c r="L1761" s="11" t="n"/>
      <c r="M1761" s="11" t="n"/>
      <c r="N1761" s="11" t="n"/>
      <c r="O1761" s="11" t="n"/>
      <c r="P1761" s="11" t="n"/>
      <c r="Q1761" s="11" t="n"/>
    </row>
    <row r="1762">
      <c r="A1762" s="8">
        <f>B1762&amp;"_"&amp;C1762</f>
        <v/>
      </c>
      <c r="B1762" s="8" t="n"/>
      <c r="C1762" s="8" t="n"/>
      <c r="D1762" s="8" t="n"/>
      <c r="E1762" s="11" t="n"/>
      <c r="F1762" s="11" t="n"/>
      <c r="G1762" s="8" t="n"/>
      <c r="H1762" s="8" t="n"/>
      <c r="I1762" s="8" t="n"/>
      <c r="J1762" s="8" t="n"/>
      <c r="K1762" s="12">
        <f>IF(OR(ISERROR(VLOOKUP(C1762, Resultados_Reales!$A$4:$I$107, 5, FALSE)), ISERROR(VLOOKUP(C1762, Resultados_Reales!$A$4:$I$107, 6, FALSE)), VLOOKUP(C1762, Resultados_Reales!$A$4:$I$107, 5, FALSE)="", VLOOKUP(C1762, Resultados_Reales!$A$4:$I$107, 6, FALSE)=""), 0, IF(AND(VLOOKUP(C1762, Resultados_Reales!$A$4:$I$107, 5, FALSE)=G1762, VLOOKUP(C1762, Resultados_Reales!$A$4:$I$107, 6, FALSE)=H1762), Configuracion!$B$5, IF(SIGN(VLOOKUP(C1762, Resultados_Reales!$A$4:$I$107, 5, FALSE)-VLOOKUP(C1762, Resultados_Reales!$A$4:$I$107, 6, FALSE)) = SIGN(G1762-H1762), Configuracion!$B$4, 0)))</f>
        <v/>
      </c>
      <c r="L1762" s="11" t="n"/>
      <c r="M1762" s="11" t="n"/>
      <c r="N1762" s="11" t="n"/>
      <c r="O1762" s="11" t="n"/>
      <c r="P1762" s="11" t="n"/>
      <c r="Q1762" s="11" t="n"/>
    </row>
    <row r="1763">
      <c r="A1763" s="8">
        <f>B1763&amp;"_"&amp;C1763</f>
        <v/>
      </c>
      <c r="B1763" s="8" t="n"/>
      <c r="C1763" s="8" t="n"/>
      <c r="D1763" s="8" t="n"/>
      <c r="E1763" s="11" t="n"/>
      <c r="F1763" s="11" t="n"/>
      <c r="G1763" s="8" t="n"/>
      <c r="H1763" s="8" t="n"/>
      <c r="I1763" s="8" t="n"/>
      <c r="J1763" s="8" t="n"/>
      <c r="K1763" s="12">
        <f>IF(OR(ISERROR(VLOOKUP(C1763, Resultados_Reales!$A$4:$I$107, 5, FALSE)), ISERROR(VLOOKUP(C1763, Resultados_Reales!$A$4:$I$107, 6, FALSE)), VLOOKUP(C1763, Resultados_Reales!$A$4:$I$107, 5, FALSE)="", VLOOKUP(C1763, Resultados_Reales!$A$4:$I$107, 6, FALSE)=""), 0, IF(AND(VLOOKUP(C1763, Resultados_Reales!$A$4:$I$107, 5, FALSE)=G1763, VLOOKUP(C1763, Resultados_Reales!$A$4:$I$107, 6, FALSE)=H1763), Configuracion!$B$5, IF(SIGN(VLOOKUP(C1763, Resultados_Reales!$A$4:$I$107, 5, FALSE)-VLOOKUP(C1763, Resultados_Reales!$A$4:$I$107, 6, FALSE)) = SIGN(G1763-H1763), Configuracion!$B$4, 0)))</f>
        <v/>
      </c>
      <c r="L1763" s="11" t="n"/>
      <c r="M1763" s="11" t="n"/>
      <c r="N1763" s="11" t="n"/>
      <c r="O1763" s="11" t="n"/>
      <c r="P1763" s="11" t="n"/>
      <c r="Q1763" s="11" t="n"/>
    </row>
    <row r="1764">
      <c r="A1764" s="8">
        <f>B1764&amp;"_"&amp;C1764</f>
        <v/>
      </c>
      <c r="B1764" s="8" t="n"/>
      <c r="C1764" s="8" t="n"/>
      <c r="D1764" s="8" t="n"/>
      <c r="E1764" s="11" t="n"/>
      <c r="F1764" s="11" t="n"/>
      <c r="G1764" s="8" t="n"/>
      <c r="H1764" s="8" t="n"/>
      <c r="I1764" s="8" t="n"/>
      <c r="J1764" s="8" t="n"/>
      <c r="K1764" s="12">
        <f>IF(OR(ISERROR(VLOOKUP(C1764, Resultados_Reales!$A$4:$I$107, 5, FALSE)), ISERROR(VLOOKUP(C1764, Resultados_Reales!$A$4:$I$107, 6, FALSE)), VLOOKUP(C1764, Resultados_Reales!$A$4:$I$107, 5, FALSE)="", VLOOKUP(C1764, Resultados_Reales!$A$4:$I$107, 6, FALSE)=""), 0, IF(AND(VLOOKUP(C1764, Resultados_Reales!$A$4:$I$107, 5, FALSE)=G1764, VLOOKUP(C1764, Resultados_Reales!$A$4:$I$107, 6, FALSE)=H1764), Configuracion!$B$5, IF(SIGN(VLOOKUP(C1764, Resultados_Reales!$A$4:$I$107, 5, FALSE)-VLOOKUP(C1764, Resultados_Reales!$A$4:$I$107, 6, FALSE)) = SIGN(G1764-H1764), Configuracion!$B$4, 0)))</f>
        <v/>
      </c>
      <c r="L1764" s="11" t="n"/>
      <c r="M1764" s="11" t="n"/>
      <c r="N1764" s="11" t="n"/>
      <c r="O1764" s="11" t="n"/>
      <c r="P1764" s="11" t="n"/>
      <c r="Q1764" s="11" t="n"/>
    </row>
    <row r="1765">
      <c r="A1765" s="8">
        <f>B1765&amp;"_"&amp;C1765</f>
        <v/>
      </c>
      <c r="B1765" s="8" t="n"/>
      <c r="C1765" s="8" t="n"/>
      <c r="D1765" s="8" t="n"/>
      <c r="E1765" s="11" t="n"/>
      <c r="F1765" s="11" t="n"/>
      <c r="G1765" s="8" t="n"/>
      <c r="H1765" s="8" t="n"/>
      <c r="I1765" s="8" t="n"/>
      <c r="J1765" s="8" t="n"/>
      <c r="K1765" s="12">
        <f>IF(OR(ISERROR(VLOOKUP(C1765, Resultados_Reales!$A$4:$I$107, 5, FALSE)), ISERROR(VLOOKUP(C1765, Resultados_Reales!$A$4:$I$107, 6, FALSE)), VLOOKUP(C1765, Resultados_Reales!$A$4:$I$107, 5, FALSE)="", VLOOKUP(C1765, Resultados_Reales!$A$4:$I$107, 6, FALSE)=""), 0, IF(AND(VLOOKUP(C1765, Resultados_Reales!$A$4:$I$107, 5, FALSE)=G1765, VLOOKUP(C1765, Resultados_Reales!$A$4:$I$107, 6, FALSE)=H1765), Configuracion!$B$5, IF(SIGN(VLOOKUP(C1765, Resultados_Reales!$A$4:$I$107, 5, FALSE)-VLOOKUP(C1765, Resultados_Reales!$A$4:$I$107, 6, FALSE)) = SIGN(G1765-H1765), Configuracion!$B$4, 0)))</f>
        <v/>
      </c>
      <c r="L1765" s="11" t="n"/>
      <c r="M1765" s="11" t="n"/>
      <c r="N1765" s="11" t="n"/>
      <c r="O1765" s="11" t="n"/>
      <c r="P1765" s="11" t="n"/>
      <c r="Q1765" s="11" t="n"/>
    </row>
    <row r="1766">
      <c r="A1766" s="8">
        <f>B1766&amp;"_"&amp;C1766</f>
        <v/>
      </c>
      <c r="B1766" s="8" t="n"/>
      <c r="C1766" s="8" t="n"/>
      <c r="D1766" s="8" t="n"/>
      <c r="E1766" s="11" t="n"/>
      <c r="F1766" s="11" t="n"/>
      <c r="G1766" s="8" t="n"/>
      <c r="H1766" s="8" t="n"/>
      <c r="I1766" s="8" t="n"/>
      <c r="J1766" s="8" t="n"/>
      <c r="K1766" s="12">
        <f>IF(OR(ISERROR(VLOOKUP(C1766, Resultados_Reales!$A$4:$I$107, 5, FALSE)), ISERROR(VLOOKUP(C1766, Resultados_Reales!$A$4:$I$107, 6, FALSE)), VLOOKUP(C1766, Resultados_Reales!$A$4:$I$107, 5, FALSE)="", VLOOKUP(C1766, Resultados_Reales!$A$4:$I$107, 6, FALSE)=""), 0, IF(AND(VLOOKUP(C1766, Resultados_Reales!$A$4:$I$107, 5, FALSE)=G1766, VLOOKUP(C1766, Resultados_Reales!$A$4:$I$107, 6, FALSE)=H1766), Configuracion!$B$5, IF(SIGN(VLOOKUP(C1766, Resultados_Reales!$A$4:$I$107, 5, FALSE)-VLOOKUP(C1766, Resultados_Reales!$A$4:$I$107, 6, FALSE)) = SIGN(G1766-H1766), Configuracion!$B$4, 0)))</f>
        <v/>
      </c>
      <c r="L1766" s="11" t="n"/>
      <c r="M1766" s="11" t="n"/>
      <c r="N1766" s="11" t="n"/>
      <c r="O1766" s="11" t="n"/>
      <c r="P1766" s="11" t="n"/>
      <c r="Q1766" s="11" t="n"/>
    </row>
    <row r="1767">
      <c r="A1767" s="8">
        <f>B1767&amp;"_"&amp;C1767</f>
        <v/>
      </c>
      <c r="B1767" s="8" t="n"/>
      <c r="C1767" s="8" t="n"/>
      <c r="D1767" s="8" t="n"/>
      <c r="E1767" s="11" t="n"/>
      <c r="F1767" s="11" t="n"/>
      <c r="G1767" s="8" t="n"/>
      <c r="H1767" s="8" t="n"/>
      <c r="I1767" s="8" t="n"/>
      <c r="J1767" s="8" t="n"/>
      <c r="K1767" s="12">
        <f>IF(OR(ISERROR(VLOOKUP(C1767, Resultados_Reales!$A$4:$I$107, 5, FALSE)), ISERROR(VLOOKUP(C1767, Resultados_Reales!$A$4:$I$107, 6, FALSE)), VLOOKUP(C1767, Resultados_Reales!$A$4:$I$107, 5, FALSE)="", VLOOKUP(C1767, Resultados_Reales!$A$4:$I$107, 6, FALSE)=""), 0, IF(AND(VLOOKUP(C1767, Resultados_Reales!$A$4:$I$107, 5, FALSE)=G1767, VLOOKUP(C1767, Resultados_Reales!$A$4:$I$107, 6, FALSE)=H1767), Configuracion!$B$5, IF(SIGN(VLOOKUP(C1767, Resultados_Reales!$A$4:$I$107, 5, FALSE)-VLOOKUP(C1767, Resultados_Reales!$A$4:$I$107, 6, FALSE)) = SIGN(G1767-H1767), Configuracion!$B$4, 0)))</f>
        <v/>
      </c>
      <c r="L1767" s="11" t="n"/>
      <c r="M1767" s="11" t="n"/>
      <c r="N1767" s="11" t="n"/>
      <c r="O1767" s="11" t="n"/>
      <c r="P1767" s="11" t="n"/>
      <c r="Q1767" s="11" t="n"/>
    </row>
    <row r="1768">
      <c r="A1768" s="8">
        <f>B1768&amp;"_"&amp;C1768</f>
        <v/>
      </c>
      <c r="B1768" s="8" t="n"/>
      <c r="C1768" s="8" t="n"/>
      <c r="D1768" s="8" t="n"/>
      <c r="E1768" s="11" t="n"/>
      <c r="F1768" s="11" t="n"/>
      <c r="G1768" s="8" t="n"/>
      <c r="H1768" s="8" t="n"/>
      <c r="I1768" s="8" t="n"/>
      <c r="J1768" s="8" t="n"/>
      <c r="K1768" s="12">
        <f>IF(OR(ISERROR(VLOOKUP(C1768, Resultados_Reales!$A$4:$I$107, 5, FALSE)), ISERROR(VLOOKUP(C1768, Resultados_Reales!$A$4:$I$107, 6, FALSE)), VLOOKUP(C1768, Resultados_Reales!$A$4:$I$107, 5, FALSE)="", VLOOKUP(C1768, Resultados_Reales!$A$4:$I$107, 6, FALSE)=""), 0, IF(AND(VLOOKUP(C1768, Resultados_Reales!$A$4:$I$107, 5, FALSE)=G1768, VLOOKUP(C1768, Resultados_Reales!$A$4:$I$107, 6, FALSE)=H1768), Configuracion!$B$5, IF(SIGN(VLOOKUP(C1768, Resultados_Reales!$A$4:$I$107, 5, FALSE)-VLOOKUP(C1768, Resultados_Reales!$A$4:$I$107, 6, FALSE)) = SIGN(G1768-H1768), Configuracion!$B$4, 0)))</f>
        <v/>
      </c>
      <c r="L1768" s="11" t="n"/>
      <c r="M1768" s="11" t="n"/>
      <c r="N1768" s="11" t="n"/>
      <c r="O1768" s="11" t="n"/>
      <c r="P1768" s="11" t="n"/>
      <c r="Q1768" s="11" t="n"/>
    </row>
    <row r="1769">
      <c r="A1769" s="8">
        <f>B1769&amp;"_"&amp;C1769</f>
        <v/>
      </c>
      <c r="B1769" s="8" t="n"/>
      <c r="C1769" s="8" t="n"/>
      <c r="D1769" s="8" t="n"/>
      <c r="E1769" s="11" t="n"/>
      <c r="F1769" s="11" t="n"/>
      <c r="G1769" s="8" t="n"/>
      <c r="H1769" s="8" t="n"/>
      <c r="I1769" s="8" t="n"/>
      <c r="J1769" s="8" t="n"/>
      <c r="K1769" s="12">
        <f>IF(OR(ISERROR(VLOOKUP(C1769, Resultados_Reales!$A$4:$I$107, 5, FALSE)), ISERROR(VLOOKUP(C1769, Resultados_Reales!$A$4:$I$107, 6, FALSE)), VLOOKUP(C1769, Resultados_Reales!$A$4:$I$107, 5, FALSE)="", VLOOKUP(C1769, Resultados_Reales!$A$4:$I$107, 6, FALSE)=""), 0, IF(AND(VLOOKUP(C1769, Resultados_Reales!$A$4:$I$107, 5, FALSE)=G1769, VLOOKUP(C1769, Resultados_Reales!$A$4:$I$107, 6, FALSE)=H1769), Configuracion!$B$5, IF(SIGN(VLOOKUP(C1769, Resultados_Reales!$A$4:$I$107, 5, FALSE)-VLOOKUP(C1769, Resultados_Reales!$A$4:$I$107, 6, FALSE)) = SIGN(G1769-H1769), Configuracion!$B$4, 0)))</f>
        <v/>
      </c>
      <c r="L1769" s="11" t="n"/>
      <c r="M1769" s="11" t="n"/>
      <c r="N1769" s="11" t="n"/>
      <c r="O1769" s="11" t="n"/>
      <c r="P1769" s="11" t="n"/>
      <c r="Q1769" s="11" t="n"/>
    </row>
    <row r="1770">
      <c r="A1770" s="8">
        <f>B1770&amp;"_"&amp;C1770</f>
        <v/>
      </c>
      <c r="B1770" s="8" t="n"/>
      <c r="C1770" s="8" t="n"/>
      <c r="D1770" s="8" t="n"/>
      <c r="E1770" s="11" t="n"/>
      <c r="F1770" s="11" t="n"/>
      <c r="G1770" s="8" t="n"/>
      <c r="H1770" s="8" t="n"/>
      <c r="I1770" s="8" t="n"/>
      <c r="J1770" s="8" t="n"/>
      <c r="K1770" s="12">
        <f>IF(OR(ISERROR(VLOOKUP(C1770, Resultados_Reales!$A$4:$I$107, 5, FALSE)), ISERROR(VLOOKUP(C1770, Resultados_Reales!$A$4:$I$107, 6, FALSE)), VLOOKUP(C1770, Resultados_Reales!$A$4:$I$107, 5, FALSE)="", VLOOKUP(C1770, Resultados_Reales!$A$4:$I$107, 6, FALSE)=""), 0, IF(AND(VLOOKUP(C1770, Resultados_Reales!$A$4:$I$107, 5, FALSE)=G1770, VLOOKUP(C1770, Resultados_Reales!$A$4:$I$107, 6, FALSE)=H1770), Configuracion!$B$5, IF(SIGN(VLOOKUP(C1770, Resultados_Reales!$A$4:$I$107, 5, FALSE)-VLOOKUP(C1770, Resultados_Reales!$A$4:$I$107, 6, FALSE)) = SIGN(G1770-H1770), Configuracion!$B$4, 0)))</f>
        <v/>
      </c>
      <c r="L1770" s="11" t="n"/>
      <c r="M1770" s="11" t="n"/>
      <c r="N1770" s="11" t="n"/>
      <c r="O1770" s="11" t="n"/>
      <c r="P1770" s="11" t="n"/>
      <c r="Q1770" s="11" t="n"/>
    </row>
    <row r="1771">
      <c r="A1771" s="8">
        <f>B1771&amp;"_"&amp;C1771</f>
        <v/>
      </c>
      <c r="B1771" s="8" t="n"/>
      <c r="C1771" s="8" t="n"/>
      <c r="D1771" s="8" t="n"/>
      <c r="E1771" s="11" t="n"/>
      <c r="F1771" s="11" t="n"/>
      <c r="G1771" s="8" t="n"/>
      <c r="H1771" s="8" t="n"/>
      <c r="I1771" s="8" t="n"/>
      <c r="J1771" s="8" t="n"/>
      <c r="K1771" s="12">
        <f>IF(OR(ISERROR(VLOOKUP(C1771, Resultados_Reales!$A$4:$I$107, 5, FALSE)), ISERROR(VLOOKUP(C1771, Resultados_Reales!$A$4:$I$107, 6, FALSE)), VLOOKUP(C1771, Resultados_Reales!$A$4:$I$107, 5, FALSE)="", VLOOKUP(C1771, Resultados_Reales!$A$4:$I$107, 6, FALSE)=""), 0, IF(AND(VLOOKUP(C1771, Resultados_Reales!$A$4:$I$107, 5, FALSE)=G1771, VLOOKUP(C1771, Resultados_Reales!$A$4:$I$107, 6, FALSE)=H1771), Configuracion!$B$5, IF(SIGN(VLOOKUP(C1771, Resultados_Reales!$A$4:$I$107, 5, FALSE)-VLOOKUP(C1771, Resultados_Reales!$A$4:$I$107, 6, FALSE)) = SIGN(G1771-H1771), Configuracion!$B$4, 0)))</f>
        <v/>
      </c>
      <c r="L1771" s="11" t="n"/>
      <c r="M1771" s="11" t="n"/>
      <c r="N1771" s="11" t="n"/>
      <c r="O1771" s="11" t="n"/>
      <c r="P1771" s="11" t="n"/>
      <c r="Q1771" s="11" t="n"/>
    </row>
    <row r="1772">
      <c r="A1772" s="8">
        <f>B1772&amp;"_"&amp;C1772</f>
        <v/>
      </c>
      <c r="B1772" s="8" t="n"/>
      <c r="C1772" s="8" t="n"/>
      <c r="D1772" s="8" t="n"/>
      <c r="E1772" s="11" t="n"/>
      <c r="F1772" s="11" t="n"/>
      <c r="G1772" s="8" t="n"/>
      <c r="H1772" s="8" t="n"/>
      <c r="I1772" s="8" t="n"/>
      <c r="J1772" s="8" t="n"/>
      <c r="K1772" s="12">
        <f>IF(OR(ISERROR(VLOOKUP(C1772, Resultados_Reales!$A$4:$I$107, 5, FALSE)), ISERROR(VLOOKUP(C1772, Resultados_Reales!$A$4:$I$107, 6, FALSE)), VLOOKUP(C1772, Resultados_Reales!$A$4:$I$107, 5, FALSE)="", VLOOKUP(C1772, Resultados_Reales!$A$4:$I$107, 6, FALSE)=""), 0, IF(AND(VLOOKUP(C1772, Resultados_Reales!$A$4:$I$107, 5, FALSE)=G1772, VLOOKUP(C1772, Resultados_Reales!$A$4:$I$107, 6, FALSE)=H1772), Configuracion!$B$5, IF(SIGN(VLOOKUP(C1772, Resultados_Reales!$A$4:$I$107, 5, FALSE)-VLOOKUP(C1772, Resultados_Reales!$A$4:$I$107, 6, FALSE)) = SIGN(G1772-H1772), Configuracion!$B$4, 0)))</f>
        <v/>
      </c>
      <c r="L1772" s="11" t="n"/>
      <c r="M1772" s="11" t="n"/>
      <c r="N1772" s="11" t="n"/>
      <c r="O1772" s="11" t="n"/>
      <c r="P1772" s="11" t="n"/>
      <c r="Q1772" s="11" t="n"/>
    </row>
    <row r="1773">
      <c r="A1773" s="8">
        <f>B1773&amp;"_"&amp;C1773</f>
        <v/>
      </c>
      <c r="B1773" s="8" t="n"/>
      <c r="C1773" s="8" t="n"/>
      <c r="D1773" s="8" t="n"/>
      <c r="E1773" s="11" t="n"/>
      <c r="F1773" s="11" t="n"/>
      <c r="G1773" s="8" t="n"/>
      <c r="H1773" s="8" t="n"/>
      <c r="I1773" s="8" t="n"/>
      <c r="J1773" s="8" t="n"/>
      <c r="K1773" s="12">
        <f>IF(OR(ISERROR(VLOOKUP(C1773, Resultados_Reales!$A$4:$I$107, 5, FALSE)), ISERROR(VLOOKUP(C1773, Resultados_Reales!$A$4:$I$107, 6, FALSE)), VLOOKUP(C1773, Resultados_Reales!$A$4:$I$107, 5, FALSE)="", VLOOKUP(C1773, Resultados_Reales!$A$4:$I$107, 6, FALSE)=""), 0, IF(AND(VLOOKUP(C1773, Resultados_Reales!$A$4:$I$107, 5, FALSE)=G1773, VLOOKUP(C1773, Resultados_Reales!$A$4:$I$107, 6, FALSE)=H1773), Configuracion!$B$5, IF(SIGN(VLOOKUP(C1773, Resultados_Reales!$A$4:$I$107, 5, FALSE)-VLOOKUP(C1773, Resultados_Reales!$A$4:$I$107, 6, FALSE)) = SIGN(G1773-H1773), Configuracion!$B$4, 0)))</f>
        <v/>
      </c>
      <c r="L1773" s="11" t="n"/>
      <c r="M1773" s="11" t="n"/>
      <c r="N1773" s="11" t="n"/>
      <c r="O1773" s="11" t="n"/>
      <c r="P1773" s="11" t="n"/>
      <c r="Q1773" s="11" t="n"/>
    </row>
    <row r="1774">
      <c r="A1774" s="8">
        <f>B1774&amp;"_"&amp;C1774</f>
        <v/>
      </c>
      <c r="B1774" s="8" t="n"/>
      <c r="C1774" s="8" t="n"/>
      <c r="D1774" s="8" t="n"/>
      <c r="E1774" s="11" t="n"/>
      <c r="F1774" s="11" t="n"/>
      <c r="G1774" s="8" t="n"/>
      <c r="H1774" s="8" t="n"/>
      <c r="I1774" s="8" t="n"/>
      <c r="J1774" s="8" t="n"/>
      <c r="K1774" s="12">
        <f>IF(OR(ISERROR(VLOOKUP(C1774, Resultados_Reales!$A$4:$I$107, 5, FALSE)), ISERROR(VLOOKUP(C1774, Resultados_Reales!$A$4:$I$107, 6, FALSE)), VLOOKUP(C1774, Resultados_Reales!$A$4:$I$107, 5, FALSE)="", VLOOKUP(C1774, Resultados_Reales!$A$4:$I$107, 6, FALSE)=""), 0, IF(AND(VLOOKUP(C1774, Resultados_Reales!$A$4:$I$107, 5, FALSE)=G1774, VLOOKUP(C1774, Resultados_Reales!$A$4:$I$107, 6, FALSE)=H1774), Configuracion!$B$5, IF(SIGN(VLOOKUP(C1774, Resultados_Reales!$A$4:$I$107, 5, FALSE)-VLOOKUP(C1774, Resultados_Reales!$A$4:$I$107, 6, FALSE)) = SIGN(G1774-H1774), Configuracion!$B$4, 0)))</f>
        <v/>
      </c>
      <c r="L1774" s="11" t="n"/>
      <c r="M1774" s="11" t="n"/>
      <c r="N1774" s="11" t="n"/>
      <c r="O1774" s="11" t="n"/>
      <c r="P1774" s="11" t="n"/>
      <c r="Q1774" s="11" t="n"/>
    </row>
    <row r="1775">
      <c r="A1775" s="8">
        <f>B1775&amp;"_"&amp;C1775</f>
        <v/>
      </c>
      <c r="B1775" s="8" t="n"/>
      <c r="C1775" s="8" t="n"/>
      <c r="D1775" s="8" t="n"/>
      <c r="E1775" s="11" t="n"/>
      <c r="F1775" s="11" t="n"/>
      <c r="G1775" s="8" t="n"/>
      <c r="H1775" s="8" t="n"/>
      <c r="I1775" s="8" t="n"/>
      <c r="J1775" s="8" t="n"/>
      <c r="K1775" s="12">
        <f>IF(OR(ISERROR(VLOOKUP(C1775, Resultados_Reales!$A$4:$I$107, 5, FALSE)), ISERROR(VLOOKUP(C1775, Resultados_Reales!$A$4:$I$107, 6, FALSE)), VLOOKUP(C1775, Resultados_Reales!$A$4:$I$107, 5, FALSE)="", VLOOKUP(C1775, Resultados_Reales!$A$4:$I$107, 6, FALSE)=""), 0, IF(AND(VLOOKUP(C1775, Resultados_Reales!$A$4:$I$107, 5, FALSE)=G1775, VLOOKUP(C1775, Resultados_Reales!$A$4:$I$107, 6, FALSE)=H1775), Configuracion!$B$5, IF(SIGN(VLOOKUP(C1775, Resultados_Reales!$A$4:$I$107, 5, FALSE)-VLOOKUP(C1775, Resultados_Reales!$A$4:$I$107, 6, FALSE)) = SIGN(G1775-H1775), Configuracion!$B$4, 0)))</f>
        <v/>
      </c>
      <c r="L1775" s="11" t="n"/>
      <c r="M1775" s="11" t="n"/>
      <c r="N1775" s="11" t="n"/>
      <c r="O1775" s="11" t="n"/>
      <c r="P1775" s="11" t="n"/>
      <c r="Q1775" s="11" t="n"/>
    </row>
    <row r="1776">
      <c r="A1776" s="8">
        <f>B1776&amp;"_"&amp;C1776</f>
        <v/>
      </c>
      <c r="B1776" s="8" t="n"/>
      <c r="C1776" s="8" t="n"/>
      <c r="D1776" s="8" t="n"/>
      <c r="E1776" s="11" t="n"/>
      <c r="F1776" s="11" t="n"/>
      <c r="G1776" s="8" t="n"/>
      <c r="H1776" s="8" t="n"/>
      <c r="I1776" s="8" t="n"/>
      <c r="J1776" s="8" t="n"/>
      <c r="K1776" s="12">
        <f>IF(OR(ISERROR(VLOOKUP(C1776, Resultados_Reales!$A$4:$I$107, 5, FALSE)), ISERROR(VLOOKUP(C1776, Resultados_Reales!$A$4:$I$107, 6, FALSE)), VLOOKUP(C1776, Resultados_Reales!$A$4:$I$107, 5, FALSE)="", VLOOKUP(C1776, Resultados_Reales!$A$4:$I$107, 6, FALSE)=""), 0, IF(AND(VLOOKUP(C1776, Resultados_Reales!$A$4:$I$107, 5, FALSE)=G1776, VLOOKUP(C1776, Resultados_Reales!$A$4:$I$107, 6, FALSE)=H1776), Configuracion!$B$5, IF(SIGN(VLOOKUP(C1776, Resultados_Reales!$A$4:$I$107, 5, FALSE)-VLOOKUP(C1776, Resultados_Reales!$A$4:$I$107, 6, FALSE)) = SIGN(G1776-H1776), Configuracion!$B$4, 0)))</f>
        <v/>
      </c>
      <c r="L1776" s="11" t="n"/>
      <c r="M1776" s="11" t="n"/>
      <c r="N1776" s="11" t="n"/>
      <c r="O1776" s="11" t="n"/>
      <c r="P1776" s="11" t="n"/>
      <c r="Q1776" s="11" t="n"/>
    </row>
    <row r="1777">
      <c r="A1777" s="8">
        <f>B1777&amp;"_"&amp;C1777</f>
        <v/>
      </c>
      <c r="B1777" s="8" t="n"/>
      <c r="C1777" s="8" t="n"/>
      <c r="D1777" s="8" t="n"/>
      <c r="E1777" s="11" t="n"/>
      <c r="F1777" s="11" t="n"/>
      <c r="G1777" s="8" t="n"/>
      <c r="H1777" s="8" t="n"/>
      <c r="I1777" s="8" t="n"/>
      <c r="J1777" s="8" t="n"/>
      <c r="K1777" s="12">
        <f>IF(OR(ISERROR(VLOOKUP(C1777, Resultados_Reales!$A$4:$I$107, 5, FALSE)), ISERROR(VLOOKUP(C1777, Resultados_Reales!$A$4:$I$107, 6, FALSE)), VLOOKUP(C1777, Resultados_Reales!$A$4:$I$107, 5, FALSE)="", VLOOKUP(C1777, Resultados_Reales!$A$4:$I$107, 6, FALSE)=""), 0, IF(AND(VLOOKUP(C1777, Resultados_Reales!$A$4:$I$107, 5, FALSE)=G1777, VLOOKUP(C1777, Resultados_Reales!$A$4:$I$107, 6, FALSE)=H1777), Configuracion!$B$5, IF(SIGN(VLOOKUP(C1777, Resultados_Reales!$A$4:$I$107, 5, FALSE)-VLOOKUP(C1777, Resultados_Reales!$A$4:$I$107, 6, FALSE)) = SIGN(G1777-H1777), Configuracion!$B$4, 0)))</f>
        <v/>
      </c>
      <c r="L1777" s="11" t="n"/>
      <c r="M1777" s="11" t="n"/>
      <c r="N1777" s="11" t="n"/>
      <c r="O1777" s="11" t="n"/>
      <c r="P1777" s="11" t="n"/>
      <c r="Q1777" s="11" t="n"/>
    </row>
    <row r="1778">
      <c r="A1778" s="8">
        <f>B1778&amp;"_"&amp;C1778</f>
        <v/>
      </c>
      <c r="B1778" s="8" t="n"/>
      <c r="C1778" s="8" t="n"/>
      <c r="D1778" s="8" t="n"/>
      <c r="E1778" s="11" t="n"/>
      <c r="F1778" s="11" t="n"/>
      <c r="G1778" s="8" t="n"/>
      <c r="H1778" s="8" t="n"/>
      <c r="I1778" s="8" t="n"/>
      <c r="J1778" s="8" t="n"/>
      <c r="K1778" s="12">
        <f>IF(OR(ISERROR(VLOOKUP(C1778, Resultados_Reales!$A$4:$I$107, 5, FALSE)), ISERROR(VLOOKUP(C1778, Resultados_Reales!$A$4:$I$107, 6, FALSE)), VLOOKUP(C1778, Resultados_Reales!$A$4:$I$107, 5, FALSE)="", VLOOKUP(C1778, Resultados_Reales!$A$4:$I$107, 6, FALSE)=""), 0, IF(AND(VLOOKUP(C1778, Resultados_Reales!$A$4:$I$107, 5, FALSE)=G1778, VLOOKUP(C1778, Resultados_Reales!$A$4:$I$107, 6, FALSE)=H1778), Configuracion!$B$5, IF(SIGN(VLOOKUP(C1778, Resultados_Reales!$A$4:$I$107, 5, FALSE)-VLOOKUP(C1778, Resultados_Reales!$A$4:$I$107, 6, FALSE)) = SIGN(G1778-H1778), Configuracion!$B$4, 0)))</f>
        <v/>
      </c>
      <c r="L1778" s="11" t="n"/>
      <c r="M1778" s="11" t="n"/>
      <c r="N1778" s="11" t="n"/>
      <c r="O1778" s="11" t="n"/>
      <c r="P1778" s="11" t="n"/>
      <c r="Q1778" s="11" t="n"/>
    </row>
    <row r="1779">
      <c r="A1779" s="8">
        <f>B1779&amp;"_"&amp;C1779</f>
        <v/>
      </c>
      <c r="B1779" s="8" t="n"/>
      <c r="C1779" s="8" t="n"/>
      <c r="D1779" s="8" t="n"/>
      <c r="E1779" s="11" t="n"/>
      <c r="F1779" s="11" t="n"/>
      <c r="G1779" s="8" t="n"/>
      <c r="H1779" s="8" t="n"/>
      <c r="I1779" s="8" t="n"/>
      <c r="J1779" s="8" t="n"/>
      <c r="K1779" s="12">
        <f>IF(OR(ISERROR(VLOOKUP(C1779, Resultados_Reales!$A$4:$I$107, 5, FALSE)), ISERROR(VLOOKUP(C1779, Resultados_Reales!$A$4:$I$107, 6, FALSE)), VLOOKUP(C1779, Resultados_Reales!$A$4:$I$107, 5, FALSE)="", VLOOKUP(C1779, Resultados_Reales!$A$4:$I$107, 6, FALSE)=""), 0, IF(AND(VLOOKUP(C1779, Resultados_Reales!$A$4:$I$107, 5, FALSE)=G1779, VLOOKUP(C1779, Resultados_Reales!$A$4:$I$107, 6, FALSE)=H1779), Configuracion!$B$5, IF(SIGN(VLOOKUP(C1779, Resultados_Reales!$A$4:$I$107, 5, FALSE)-VLOOKUP(C1779, Resultados_Reales!$A$4:$I$107, 6, FALSE)) = SIGN(G1779-H1779), Configuracion!$B$4, 0)))</f>
        <v/>
      </c>
      <c r="L1779" s="11" t="n"/>
      <c r="M1779" s="11" t="n"/>
      <c r="N1779" s="11" t="n"/>
      <c r="O1779" s="11" t="n"/>
      <c r="P1779" s="11" t="n"/>
      <c r="Q1779" s="11" t="n"/>
    </row>
    <row r="1780">
      <c r="A1780" s="8">
        <f>B1780&amp;"_"&amp;C1780</f>
        <v/>
      </c>
      <c r="B1780" s="8" t="n"/>
      <c r="C1780" s="8" t="n"/>
      <c r="D1780" s="8" t="n"/>
      <c r="E1780" s="11" t="n"/>
      <c r="F1780" s="11" t="n"/>
      <c r="G1780" s="8" t="n"/>
      <c r="H1780" s="8" t="n"/>
      <c r="I1780" s="8" t="n"/>
      <c r="J1780" s="8" t="n"/>
      <c r="K1780" s="12">
        <f>IF(OR(ISERROR(VLOOKUP(C1780, Resultados_Reales!$A$4:$I$107, 5, FALSE)), ISERROR(VLOOKUP(C1780, Resultados_Reales!$A$4:$I$107, 6, FALSE)), VLOOKUP(C1780, Resultados_Reales!$A$4:$I$107, 5, FALSE)="", VLOOKUP(C1780, Resultados_Reales!$A$4:$I$107, 6, FALSE)=""), 0, IF(AND(VLOOKUP(C1780, Resultados_Reales!$A$4:$I$107, 5, FALSE)=G1780, VLOOKUP(C1780, Resultados_Reales!$A$4:$I$107, 6, FALSE)=H1780), Configuracion!$B$5, IF(SIGN(VLOOKUP(C1780, Resultados_Reales!$A$4:$I$107, 5, FALSE)-VLOOKUP(C1780, Resultados_Reales!$A$4:$I$107, 6, FALSE)) = SIGN(G1780-H1780), Configuracion!$B$4, 0)))</f>
        <v/>
      </c>
      <c r="L1780" s="11" t="n"/>
      <c r="M1780" s="11" t="n"/>
      <c r="N1780" s="11" t="n"/>
      <c r="O1780" s="11" t="n"/>
      <c r="P1780" s="11" t="n"/>
      <c r="Q1780" s="11" t="n"/>
    </row>
    <row r="1781">
      <c r="A1781" s="8">
        <f>B1781&amp;"_"&amp;C1781</f>
        <v/>
      </c>
      <c r="B1781" s="8" t="n"/>
      <c r="C1781" s="8" t="n"/>
      <c r="D1781" s="8" t="n"/>
      <c r="E1781" s="11" t="n"/>
      <c r="F1781" s="11" t="n"/>
      <c r="G1781" s="8" t="n"/>
      <c r="H1781" s="8" t="n"/>
      <c r="I1781" s="8" t="n"/>
      <c r="J1781" s="8" t="n"/>
      <c r="K1781" s="12">
        <f>IF(OR(ISERROR(VLOOKUP(C1781, Resultados_Reales!$A$4:$I$107, 5, FALSE)), ISERROR(VLOOKUP(C1781, Resultados_Reales!$A$4:$I$107, 6, FALSE)), VLOOKUP(C1781, Resultados_Reales!$A$4:$I$107, 5, FALSE)="", VLOOKUP(C1781, Resultados_Reales!$A$4:$I$107, 6, FALSE)=""), 0, IF(AND(VLOOKUP(C1781, Resultados_Reales!$A$4:$I$107, 5, FALSE)=G1781, VLOOKUP(C1781, Resultados_Reales!$A$4:$I$107, 6, FALSE)=H1781), Configuracion!$B$5, IF(SIGN(VLOOKUP(C1781, Resultados_Reales!$A$4:$I$107, 5, FALSE)-VLOOKUP(C1781, Resultados_Reales!$A$4:$I$107, 6, FALSE)) = SIGN(G1781-H1781), Configuracion!$B$4, 0)))</f>
        <v/>
      </c>
      <c r="L1781" s="11" t="n"/>
      <c r="M1781" s="11" t="n"/>
      <c r="N1781" s="11" t="n"/>
      <c r="O1781" s="11" t="n"/>
      <c r="P1781" s="11" t="n"/>
      <c r="Q1781" s="11" t="n"/>
    </row>
    <row r="1782">
      <c r="A1782" s="8">
        <f>B1782&amp;"_"&amp;C1782</f>
        <v/>
      </c>
      <c r="B1782" s="8" t="n"/>
      <c r="C1782" s="8" t="n"/>
      <c r="D1782" s="8" t="n"/>
      <c r="E1782" s="11" t="n"/>
      <c r="F1782" s="11" t="n"/>
      <c r="G1782" s="8" t="n"/>
      <c r="H1782" s="8" t="n"/>
      <c r="I1782" s="8" t="n"/>
      <c r="J1782" s="8" t="n"/>
      <c r="K1782" s="12">
        <f>IF(OR(ISERROR(VLOOKUP(C1782, Resultados_Reales!$A$4:$I$107, 5, FALSE)), ISERROR(VLOOKUP(C1782, Resultados_Reales!$A$4:$I$107, 6, FALSE)), VLOOKUP(C1782, Resultados_Reales!$A$4:$I$107, 5, FALSE)="", VLOOKUP(C1782, Resultados_Reales!$A$4:$I$107, 6, FALSE)=""), 0, IF(AND(VLOOKUP(C1782, Resultados_Reales!$A$4:$I$107, 5, FALSE)=G1782, VLOOKUP(C1782, Resultados_Reales!$A$4:$I$107, 6, FALSE)=H1782), Configuracion!$B$5, IF(SIGN(VLOOKUP(C1782, Resultados_Reales!$A$4:$I$107, 5, FALSE)-VLOOKUP(C1782, Resultados_Reales!$A$4:$I$107, 6, FALSE)) = SIGN(G1782-H1782), Configuracion!$B$4, 0)))</f>
        <v/>
      </c>
      <c r="L1782" s="11" t="n"/>
      <c r="M1782" s="11" t="n"/>
      <c r="N1782" s="11" t="n"/>
      <c r="O1782" s="11" t="n"/>
      <c r="P1782" s="11" t="n"/>
      <c r="Q1782" s="11" t="n"/>
    </row>
    <row r="1783">
      <c r="A1783" s="8">
        <f>B1783&amp;"_"&amp;C1783</f>
        <v/>
      </c>
      <c r="B1783" s="8" t="n"/>
      <c r="C1783" s="8" t="n"/>
      <c r="D1783" s="8" t="n"/>
      <c r="E1783" s="11" t="n"/>
      <c r="F1783" s="11" t="n"/>
      <c r="G1783" s="8" t="n"/>
      <c r="H1783" s="8" t="n"/>
      <c r="I1783" s="8" t="n"/>
      <c r="J1783" s="8" t="n"/>
      <c r="K1783" s="12">
        <f>IF(OR(ISERROR(VLOOKUP(C1783, Resultados_Reales!$A$4:$I$107, 5, FALSE)), ISERROR(VLOOKUP(C1783, Resultados_Reales!$A$4:$I$107, 6, FALSE)), VLOOKUP(C1783, Resultados_Reales!$A$4:$I$107, 5, FALSE)="", VLOOKUP(C1783, Resultados_Reales!$A$4:$I$107, 6, FALSE)=""), 0, IF(AND(VLOOKUP(C1783, Resultados_Reales!$A$4:$I$107, 5, FALSE)=G1783, VLOOKUP(C1783, Resultados_Reales!$A$4:$I$107, 6, FALSE)=H1783), Configuracion!$B$5, IF(SIGN(VLOOKUP(C1783, Resultados_Reales!$A$4:$I$107, 5, FALSE)-VLOOKUP(C1783, Resultados_Reales!$A$4:$I$107, 6, FALSE)) = SIGN(G1783-H1783), Configuracion!$B$4, 0)))</f>
        <v/>
      </c>
      <c r="L1783" s="11" t="n"/>
      <c r="M1783" s="11" t="n"/>
      <c r="N1783" s="11" t="n"/>
      <c r="O1783" s="11" t="n"/>
      <c r="P1783" s="11" t="n"/>
      <c r="Q1783" s="11" t="n"/>
    </row>
    <row r="1784">
      <c r="A1784" s="8">
        <f>B1784&amp;"_"&amp;C1784</f>
        <v/>
      </c>
      <c r="B1784" s="8" t="n"/>
      <c r="C1784" s="8" t="n"/>
      <c r="D1784" s="8" t="n"/>
      <c r="E1784" s="11" t="n"/>
      <c r="F1784" s="11" t="n"/>
      <c r="G1784" s="8" t="n"/>
      <c r="H1784" s="8" t="n"/>
      <c r="I1784" s="8" t="n"/>
      <c r="J1784" s="8" t="n"/>
      <c r="K1784" s="12">
        <f>IF(OR(ISERROR(VLOOKUP(C1784, Resultados_Reales!$A$4:$I$107, 5, FALSE)), ISERROR(VLOOKUP(C1784, Resultados_Reales!$A$4:$I$107, 6, FALSE)), VLOOKUP(C1784, Resultados_Reales!$A$4:$I$107, 5, FALSE)="", VLOOKUP(C1784, Resultados_Reales!$A$4:$I$107, 6, FALSE)=""), 0, IF(AND(VLOOKUP(C1784, Resultados_Reales!$A$4:$I$107, 5, FALSE)=G1784, VLOOKUP(C1784, Resultados_Reales!$A$4:$I$107, 6, FALSE)=H1784), Configuracion!$B$5, IF(SIGN(VLOOKUP(C1784, Resultados_Reales!$A$4:$I$107, 5, FALSE)-VLOOKUP(C1784, Resultados_Reales!$A$4:$I$107, 6, FALSE)) = SIGN(G1784-H1784), Configuracion!$B$4, 0)))</f>
        <v/>
      </c>
      <c r="L1784" s="11" t="n"/>
      <c r="M1784" s="11" t="n"/>
      <c r="N1784" s="11" t="n"/>
      <c r="O1784" s="11" t="n"/>
      <c r="P1784" s="11" t="n"/>
      <c r="Q1784" s="11" t="n"/>
    </row>
    <row r="1785">
      <c r="A1785" s="8">
        <f>B1785&amp;"_"&amp;C1785</f>
        <v/>
      </c>
      <c r="B1785" s="8" t="n"/>
      <c r="C1785" s="8" t="n"/>
      <c r="D1785" s="8" t="n"/>
      <c r="E1785" s="11" t="n"/>
      <c r="F1785" s="11" t="n"/>
      <c r="G1785" s="8" t="n"/>
      <c r="H1785" s="8" t="n"/>
      <c r="I1785" s="8" t="n"/>
      <c r="J1785" s="8" t="n"/>
      <c r="K1785" s="12">
        <f>IF(OR(ISERROR(VLOOKUP(C1785, Resultados_Reales!$A$4:$I$107, 5, FALSE)), ISERROR(VLOOKUP(C1785, Resultados_Reales!$A$4:$I$107, 6, FALSE)), VLOOKUP(C1785, Resultados_Reales!$A$4:$I$107, 5, FALSE)="", VLOOKUP(C1785, Resultados_Reales!$A$4:$I$107, 6, FALSE)=""), 0, IF(AND(VLOOKUP(C1785, Resultados_Reales!$A$4:$I$107, 5, FALSE)=G1785, VLOOKUP(C1785, Resultados_Reales!$A$4:$I$107, 6, FALSE)=H1785), Configuracion!$B$5, IF(SIGN(VLOOKUP(C1785, Resultados_Reales!$A$4:$I$107, 5, FALSE)-VLOOKUP(C1785, Resultados_Reales!$A$4:$I$107, 6, FALSE)) = SIGN(G1785-H1785), Configuracion!$B$4, 0)))</f>
        <v/>
      </c>
      <c r="L1785" s="11" t="n"/>
      <c r="M1785" s="11" t="n"/>
      <c r="N1785" s="11" t="n"/>
      <c r="O1785" s="11" t="n"/>
      <c r="P1785" s="11" t="n"/>
      <c r="Q1785" s="11" t="n"/>
    </row>
    <row r="1786">
      <c r="A1786" s="8">
        <f>B1786&amp;"_"&amp;C1786</f>
        <v/>
      </c>
      <c r="B1786" s="8" t="n"/>
      <c r="C1786" s="8" t="n"/>
      <c r="D1786" s="8" t="n"/>
      <c r="E1786" s="11" t="n"/>
      <c r="F1786" s="11" t="n"/>
      <c r="G1786" s="8" t="n"/>
      <c r="H1786" s="8" t="n"/>
      <c r="I1786" s="8" t="n"/>
      <c r="J1786" s="8" t="n"/>
      <c r="K1786" s="12">
        <f>IF(OR(ISERROR(VLOOKUP(C1786, Resultados_Reales!$A$4:$I$107, 5, FALSE)), ISERROR(VLOOKUP(C1786, Resultados_Reales!$A$4:$I$107, 6, FALSE)), VLOOKUP(C1786, Resultados_Reales!$A$4:$I$107, 5, FALSE)="", VLOOKUP(C1786, Resultados_Reales!$A$4:$I$107, 6, FALSE)=""), 0, IF(AND(VLOOKUP(C1786, Resultados_Reales!$A$4:$I$107, 5, FALSE)=G1786, VLOOKUP(C1786, Resultados_Reales!$A$4:$I$107, 6, FALSE)=H1786), Configuracion!$B$5, IF(SIGN(VLOOKUP(C1786, Resultados_Reales!$A$4:$I$107, 5, FALSE)-VLOOKUP(C1786, Resultados_Reales!$A$4:$I$107, 6, FALSE)) = SIGN(G1786-H1786), Configuracion!$B$4, 0)))</f>
        <v/>
      </c>
      <c r="L1786" s="11" t="n"/>
      <c r="M1786" s="11" t="n"/>
      <c r="N1786" s="11" t="n"/>
      <c r="O1786" s="11" t="n"/>
      <c r="P1786" s="11" t="n"/>
      <c r="Q1786" s="11" t="n"/>
    </row>
    <row r="1787">
      <c r="A1787" s="8">
        <f>B1787&amp;"_"&amp;C1787</f>
        <v/>
      </c>
      <c r="B1787" s="8" t="n"/>
      <c r="C1787" s="8" t="n"/>
      <c r="D1787" s="8" t="n"/>
      <c r="E1787" s="11" t="n"/>
      <c r="F1787" s="11" t="n"/>
      <c r="G1787" s="8" t="n"/>
      <c r="H1787" s="8" t="n"/>
      <c r="I1787" s="8" t="n"/>
      <c r="J1787" s="8" t="n"/>
      <c r="K1787" s="12">
        <f>IF(OR(ISERROR(VLOOKUP(C1787, Resultados_Reales!$A$4:$I$107, 5, FALSE)), ISERROR(VLOOKUP(C1787, Resultados_Reales!$A$4:$I$107, 6, FALSE)), VLOOKUP(C1787, Resultados_Reales!$A$4:$I$107, 5, FALSE)="", VLOOKUP(C1787, Resultados_Reales!$A$4:$I$107, 6, FALSE)=""), 0, IF(AND(VLOOKUP(C1787, Resultados_Reales!$A$4:$I$107, 5, FALSE)=G1787, VLOOKUP(C1787, Resultados_Reales!$A$4:$I$107, 6, FALSE)=H1787), Configuracion!$B$5, IF(SIGN(VLOOKUP(C1787, Resultados_Reales!$A$4:$I$107, 5, FALSE)-VLOOKUP(C1787, Resultados_Reales!$A$4:$I$107, 6, FALSE)) = SIGN(G1787-H1787), Configuracion!$B$4, 0)))</f>
        <v/>
      </c>
      <c r="L1787" s="11" t="n"/>
      <c r="M1787" s="11" t="n"/>
      <c r="N1787" s="11" t="n"/>
      <c r="O1787" s="11" t="n"/>
      <c r="P1787" s="11" t="n"/>
      <c r="Q1787" s="11" t="n"/>
    </row>
    <row r="1788">
      <c r="A1788" s="8">
        <f>B1788&amp;"_"&amp;C1788</f>
        <v/>
      </c>
      <c r="B1788" s="8" t="n"/>
      <c r="C1788" s="8" t="n"/>
      <c r="D1788" s="8" t="n"/>
      <c r="E1788" s="11" t="n"/>
      <c r="F1788" s="11" t="n"/>
      <c r="G1788" s="8" t="n"/>
      <c r="H1788" s="8" t="n"/>
      <c r="I1788" s="8" t="n"/>
      <c r="J1788" s="8" t="n"/>
      <c r="K1788" s="12">
        <f>IF(OR(ISERROR(VLOOKUP(C1788, Resultados_Reales!$A$4:$I$107, 5, FALSE)), ISERROR(VLOOKUP(C1788, Resultados_Reales!$A$4:$I$107, 6, FALSE)), VLOOKUP(C1788, Resultados_Reales!$A$4:$I$107, 5, FALSE)="", VLOOKUP(C1788, Resultados_Reales!$A$4:$I$107, 6, FALSE)=""), 0, IF(AND(VLOOKUP(C1788, Resultados_Reales!$A$4:$I$107, 5, FALSE)=G1788, VLOOKUP(C1788, Resultados_Reales!$A$4:$I$107, 6, FALSE)=H1788), Configuracion!$B$5, IF(SIGN(VLOOKUP(C1788, Resultados_Reales!$A$4:$I$107, 5, FALSE)-VLOOKUP(C1788, Resultados_Reales!$A$4:$I$107, 6, FALSE)) = SIGN(G1788-H1788), Configuracion!$B$4, 0)))</f>
        <v/>
      </c>
      <c r="L1788" s="11" t="n"/>
      <c r="M1788" s="11" t="n"/>
      <c r="N1788" s="11" t="n"/>
      <c r="O1788" s="11" t="n"/>
      <c r="P1788" s="11" t="n"/>
      <c r="Q1788" s="11" t="n"/>
    </row>
    <row r="1789">
      <c r="A1789" s="8">
        <f>B1789&amp;"_"&amp;C1789</f>
        <v/>
      </c>
      <c r="B1789" s="8" t="n"/>
      <c r="C1789" s="8" t="n"/>
      <c r="D1789" s="8" t="n"/>
      <c r="E1789" s="11" t="n"/>
      <c r="F1789" s="11" t="n"/>
      <c r="G1789" s="8" t="n"/>
      <c r="H1789" s="8" t="n"/>
      <c r="I1789" s="8" t="n"/>
      <c r="J1789" s="8" t="n"/>
      <c r="K1789" s="12">
        <f>IF(OR(ISERROR(VLOOKUP(C1789, Resultados_Reales!$A$4:$I$107, 5, FALSE)), ISERROR(VLOOKUP(C1789, Resultados_Reales!$A$4:$I$107, 6, FALSE)), VLOOKUP(C1789, Resultados_Reales!$A$4:$I$107, 5, FALSE)="", VLOOKUP(C1789, Resultados_Reales!$A$4:$I$107, 6, FALSE)=""), 0, IF(AND(VLOOKUP(C1789, Resultados_Reales!$A$4:$I$107, 5, FALSE)=G1789, VLOOKUP(C1789, Resultados_Reales!$A$4:$I$107, 6, FALSE)=H1789), Configuracion!$B$5, IF(SIGN(VLOOKUP(C1789, Resultados_Reales!$A$4:$I$107, 5, FALSE)-VLOOKUP(C1789, Resultados_Reales!$A$4:$I$107, 6, FALSE)) = SIGN(G1789-H1789), Configuracion!$B$4, 0)))</f>
        <v/>
      </c>
      <c r="L1789" s="11" t="n"/>
      <c r="M1789" s="11" t="n"/>
      <c r="N1789" s="11" t="n"/>
      <c r="O1789" s="11" t="n"/>
      <c r="P1789" s="11" t="n"/>
      <c r="Q1789" s="11" t="n"/>
    </row>
    <row r="1790">
      <c r="A1790" s="8">
        <f>B1790&amp;"_"&amp;C1790</f>
        <v/>
      </c>
      <c r="B1790" s="8" t="n"/>
      <c r="C1790" s="8" t="n"/>
      <c r="D1790" s="8" t="n"/>
      <c r="E1790" s="11" t="n"/>
      <c r="F1790" s="11" t="n"/>
      <c r="G1790" s="8" t="n"/>
      <c r="H1790" s="8" t="n"/>
      <c r="I1790" s="8" t="n"/>
      <c r="J1790" s="8" t="n"/>
      <c r="K1790" s="12">
        <f>IF(OR(ISERROR(VLOOKUP(C1790, Resultados_Reales!$A$4:$I$107, 5, FALSE)), ISERROR(VLOOKUP(C1790, Resultados_Reales!$A$4:$I$107, 6, FALSE)), VLOOKUP(C1790, Resultados_Reales!$A$4:$I$107, 5, FALSE)="", VLOOKUP(C1790, Resultados_Reales!$A$4:$I$107, 6, FALSE)=""), 0, IF(AND(VLOOKUP(C1790, Resultados_Reales!$A$4:$I$107, 5, FALSE)=G1790, VLOOKUP(C1790, Resultados_Reales!$A$4:$I$107, 6, FALSE)=H1790), Configuracion!$B$5, IF(SIGN(VLOOKUP(C1790, Resultados_Reales!$A$4:$I$107, 5, FALSE)-VLOOKUP(C1790, Resultados_Reales!$A$4:$I$107, 6, FALSE)) = SIGN(G1790-H1790), Configuracion!$B$4, 0)))</f>
        <v/>
      </c>
      <c r="L1790" s="11" t="n"/>
      <c r="M1790" s="11" t="n"/>
      <c r="N1790" s="11" t="n"/>
      <c r="O1790" s="11" t="n"/>
      <c r="P1790" s="11" t="n"/>
      <c r="Q1790" s="11" t="n"/>
    </row>
    <row r="1791">
      <c r="A1791" s="8">
        <f>B1791&amp;"_"&amp;C1791</f>
        <v/>
      </c>
      <c r="B1791" s="8" t="n"/>
      <c r="C1791" s="8" t="n"/>
      <c r="D1791" s="8" t="n"/>
      <c r="E1791" s="11" t="n"/>
      <c r="F1791" s="11" t="n"/>
      <c r="G1791" s="8" t="n"/>
      <c r="H1791" s="8" t="n"/>
      <c r="I1791" s="8" t="n"/>
      <c r="J1791" s="8" t="n"/>
      <c r="K1791" s="12">
        <f>IF(OR(ISERROR(VLOOKUP(C1791, Resultados_Reales!$A$4:$I$107, 5, FALSE)), ISERROR(VLOOKUP(C1791, Resultados_Reales!$A$4:$I$107, 6, FALSE)), VLOOKUP(C1791, Resultados_Reales!$A$4:$I$107, 5, FALSE)="", VLOOKUP(C1791, Resultados_Reales!$A$4:$I$107, 6, FALSE)=""), 0, IF(AND(VLOOKUP(C1791, Resultados_Reales!$A$4:$I$107, 5, FALSE)=G1791, VLOOKUP(C1791, Resultados_Reales!$A$4:$I$107, 6, FALSE)=H1791), Configuracion!$B$5, IF(SIGN(VLOOKUP(C1791, Resultados_Reales!$A$4:$I$107, 5, FALSE)-VLOOKUP(C1791, Resultados_Reales!$A$4:$I$107, 6, FALSE)) = SIGN(G1791-H1791), Configuracion!$B$4, 0)))</f>
        <v/>
      </c>
      <c r="L1791" s="11" t="n"/>
      <c r="M1791" s="11" t="n"/>
      <c r="N1791" s="11" t="n"/>
      <c r="O1791" s="11" t="n"/>
      <c r="P1791" s="11" t="n"/>
      <c r="Q1791" s="11" t="n"/>
    </row>
    <row r="1792">
      <c r="A1792" s="8">
        <f>B1792&amp;"_"&amp;C1792</f>
        <v/>
      </c>
      <c r="B1792" s="8" t="n"/>
      <c r="C1792" s="8" t="n"/>
      <c r="D1792" s="8" t="n"/>
      <c r="E1792" s="11" t="n"/>
      <c r="F1792" s="11" t="n"/>
      <c r="G1792" s="8" t="n"/>
      <c r="H1792" s="8" t="n"/>
      <c r="I1792" s="8" t="n"/>
      <c r="J1792" s="8" t="n"/>
      <c r="K1792" s="12">
        <f>IF(OR(ISERROR(VLOOKUP(C1792, Resultados_Reales!$A$4:$I$107, 5, FALSE)), ISERROR(VLOOKUP(C1792, Resultados_Reales!$A$4:$I$107, 6, FALSE)), VLOOKUP(C1792, Resultados_Reales!$A$4:$I$107, 5, FALSE)="", VLOOKUP(C1792, Resultados_Reales!$A$4:$I$107, 6, FALSE)=""), 0, IF(AND(VLOOKUP(C1792, Resultados_Reales!$A$4:$I$107, 5, FALSE)=G1792, VLOOKUP(C1792, Resultados_Reales!$A$4:$I$107, 6, FALSE)=H1792), Configuracion!$B$5, IF(SIGN(VLOOKUP(C1792, Resultados_Reales!$A$4:$I$107, 5, FALSE)-VLOOKUP(C1792, Resultados_Reales!$A$4:$I$107, 6, FALSE)) = SIGN(G1792-H1792), Configuracion!$B$4, 0)))</f>
        <v/>
      </c>
      <c r="L1792" s="11" t="n"/>
      <c r="M1792" s="11" t="n"/>
      <c r="N1792" s="11" t="n"/>
      <c r="O1792" s="11" t="n"/>
      <c r="P1792" s="11" t="n"/>
      <c r="Q1792" s="11" t="n"/>
    </row>
    <row r="1793">
      <c r="A1793" s="8">
        <f>B1793&amp;"_"&amp;C1793</f>
        <v/>
      </c>
      <c r="B1793" s="8" t="n"/>
      <c r="C1793" s="8" t="n"/>
      <c r="D1793" s="8" t="n"/>
      <c r="E1793" s="11" t="n"/>
      <c r="F1793" s="11" t="n"/>
      <c r="G1793" s="8" t="n"/>
      <c r="H1793" s="8" t="n"/>
      <c r="I1793" s="8" t="n"/>
      <c r="J1793" s="8" t="n"/>
      <c r="K1793" s="12">
        <f>IF(OR(ISERROR(VLOOKUP(C1793, Resultados_Reales!$A$4:$I$107, 5, FALSE)), ISERROR(VLOOKUP(C1793, Resultados_Reales!$A$4:$I$107, 6, FALSE)), VLOOKUP(C1793, Resultados_Reales!$A$4:$I$107, 5, FALSE)="", VLOOKUP(C1793, Resultados_Reales!$A$4:$I$107, 6, FALSE)=""), 0, IF(AND(VLOOKUP(C1793, Resultados_Reales!$A$4:$I$107, 5, FALSE)=G1793, VLOOKUP(C1793, Resultados_Reales!$A$4:$I$107, 6, FALSE)=H1793), Configuracion!$B$5, IF(SIGN(VLOOKUP(C1793, Resultados_Reales!$A$4:$I$107, 5, FALSE)-VLOOKUP(C1793, Resultados_Reales!$A$4:$I$107, 6, FALSE)) = SIGN(G1793-H1793), Configuracion!$B$4, 0)))</f>
        <v/>
      </c>
      <c r="L1793" s="11" t="n"/>
      <c r="M1793" s="11" t="n"/>
      <c r="N1793" s="11" t="n"/>
      <c r="O1793" s="11" t="n"/>
      <c r="P1793" s="11" t="n"/>
      <c r="Q1793" s="11" t="n"/>
    </row>
    <row r="1794">
      <c r="A1794" s="8">
        <f>B1794&amp;"_"&amp;C1794</f>
        <v/>
      </c>
      <c r="B1794" s="8" t="n"/>
      <c r="C1794" s="8" t="n"/>
      <c r="D1794" s="8" t="n"/>
      <c r="E1794" s="11" t="n"/>
      <c r="F1794" s="11" t="n"/>
      <c r="G1794" s="8" t="n"/>
      <c r="H1794" s="8" t="n"/>
      <c r="I1794" s="8" t="n"/>
      <c r="J1794" s="8" t="n"/>
      <c r="K1794" s="12">
        <f>IF(OR(ISERROR(VLOOKUP(C1794, Resultados_Reales!$A$4:$I$107, 5, FALSE)), ISERROR(VLOOKUP(C1794, Resultados_Reales!$A$4:$I$107, 6, FALSE)), VLOOKUP(C1794, Resultados_Reales!$A$4:$I$107, 5, FALSE)="", VLOOKUP(C1794, Resultados_Reales!$A$4:$I$107, 6, FALSE)=""), 0, IF(AND(VLOOKUP(C1794, Resultados_Reales!$A$4:$I$107, 5, FALSE)=G1794, VLOOKUP(C1794, Resultados_Reales!$A$4:$I$107, 6, FALSE)=H1794), Configuracion!$B$5, IF(SIGN(VLOOKUP(C1794, Resultados_Reales!$A$4:$I$107, 5, FALSE)-VLOOKUP(C1794, Resultados_Reales!$A$4:$I$107, 6, FALSE)) = SIGN(G1794-H1794), Configuracion!$B$4, 0)))</f>
        <v/>
      </c>
      <c r="L1794" s="11" t="n"/>
      <c r="M1794" s="11" t="n"/>
      <c r="N1794" s="11" t="n"/>
      <c r="O1794" s="11" t="n"/>
      <c r="P1794" s="11" t="n"/>
      <c r="Q1794" s="11" t="n"/>
    </row>
    <row r="1795">
      <c r="A1795" s="8">
        <f>B1795&amp;"_"&amp;C1795</f>
        <v/>
      </c>
      <c r="B1795" s="8" t="n"/>
      <c r="C1795" s="8" t="n"/>
      <c r="D1795" s="8" t="n"/>
      <c r="E1795" s="11" t="n"/>
      <c r="F1795" s="11" t="n"/>
      <c r="G1795" s="8" t="n"/>
      <c r="H1795" s="8" t="n"/>
      <c r="I1795" s="8" t="n"/>
      <c r="J1795" s="8" t="n"/>
      <c r="K1795" s="12">
        <f>IF(OR(ISERROR(VLOOKUP(C1795, Resultados_Reales!$A$4:$I$107, 5, FALSE)), ISERROR(VLOOKUP(C1795, Resultados_Reales!$A$4:$I$107, 6, FALSE)), VLOOKUP(C1795, Resultados_Reales!$A$4:$I$107, 5, FALSE)="", VLOOKUP(C1795, Resultados_Reales!$A$4:$I$107, 6, FALSE)=""), 0, IF(AND(VLOOKUP(C1795, Resultados_Reales!$A$4:$I$107, 5, FALSE)=G1795, VLOOKUP(C1795, Resultados_Reales!$A$4:$I$107, 6, FALSE)=H1795), Configuracion!$B$5, IF(SIGN(VLOOKUP(C1795, Resultados_Reales!$A$4:$I$107, 5, FALSE)-VLOOKUP(C1795, Resultados_Reales!$A$4:$I$107, 6, FALSE)) = SIGN(G1795-H1795), Configuracion!$B$4, 0)))</f>
        <v/>
      </c>
      <c r="L1795" s="11" t="n"/>
      <c r="M1795" s="11" t="n"/>
      <c r="N1795" s="11" t="n"/>
      <c r="O1795" s="11" t="n"/>
      <c r="P1795" s="11" t="n"/>
      <c r="Q1795" s="11" t="n"/>
    </row>
    <row r="1796">
      <c r="A1796" s="8">
        <f>B1796&amp;"_"&amp;C1796</f>
        <v/>
      </c>
      <c r="B1796" s="8" t="n"/>
      <c r="C1796" s="8" t="n"/>
      <c r="D1796" s="8" t="n"/>
      <c r="E1796" s="11" t="n"/>
      <c r="F1796" s="11" t="n"/>
      <c r="G1796" s="8" t="n"/>
      <c r="H1796" s="8" t="n"/>
      <c r="I1796" s="8" t="n"/>
      <c r="J1796" s="8" t="n"/>
      <c r="K1796" s="12">
        <f>IF(OR(ISERROR(VLOOKUP(C1796, Resultados_Reales!$A$4:$I$107, 5, FALSE)), ISERROR(VLOOKUP(C1796, Resultados_Reales!$A$4:$I$107, 6, FALSE)), VLOOKUP(C1796, Resultados_Reales!$A$4:$I$107, 5, FALSE)="", VLOOKUP(C1796, Resultados_Reales!$A$4:$I$107, 6, FALSE)=""), 0, IF(AND(VLOOKUP(C1796, Resultados_Reales!$A$4:$I$107, 5, FALSE)=G1796, VLOOKUP(C1796, Resultados_Reales!$A$4:$I$107, 6, FALSE)=H1796), Configuracion!$B$5, IF(SIGN(VLOOKUP(C1796, Resultados_Reales!$A$4:$I$107, 5, FALSE)-VLOOKUP(C1796, Resultados_Reales!$A$4:$I$107, 6, FALSE)) = SIGN(G1796-H1796), Configuracion!$B$4, 0)))</f>
        <v/>
      </c>
      <c r="L1796" s="11" t="n"/>
      <c r="M1796" s="11" t="n"/>
      <c r="N1796" s="11" t="n"/>
      <c r="O1796" s="11" t="n"/>
      <c r="P1796" s="11" t="n"/>
      <c r="Q1796" s="11" t="n"/>
    </row>
    <row r="1797">
      <c r="A1797" s="8">
        <f>B1797&amp;"_"&amp;C1797</f>
        <v/>
      </c>
      <c r="B1797" s="8" t="n"/>
      <c r="C1797" s="8" t="n"/>
      <c r="D1797" s="8" t="n"/>
      <c r="E1797" s="11" t="n"/>
      <c r="F1797" s="11" t="n"/>
      <c r="G1797" s="8" t="n"/>
      <c r="H1797" s="8" t="n"/>
      <c r="I1797" s="8" t="n"/>
      <c r="J1797" s="8" t="n"/>
      <c r="K1797" s="12">
        <f>IF(OR(ISERROR(VLOOKUP(C1797, Resultados_Reales!$A$4:$I$107, 5, FALSE)), ISERROR(VLOOKUP(C1797, Resultados_Reales!$A$4:$I$107, 6, FALSE)), VLOOKUP(C1797, Resultados_Reales!$A$4:$I$107, 5, FALSE)="", VLOOKUP(C1797, Resultados_Reales!$A$4:$I$107, 6, FALSE)=""), 0, IF(AND(VLOOKUP(C1797, Resultados_Reales!$A$4:$I$107, 5, FALSE)=G1797, VLOOKUP(C1797, Resultados_Reales!$A$4:$I$107, 6, FALSE)=H1797), Configuracion!$B$5, IF(SIGN(VLOOKUP(C1797, Resultados_Reales!$A$4:$I$107, 5, FALSE)-VLOOKUP(C1797, Resultados_Reales!$A$4:$I$107, 6, FALSE)) = SIGN(G1797-H1797), Configuracion!$B$4, 0)))</f>
        <v/>
      </c>
      <c r="L1797" s="11" t="n"/>
      <c r="M1797" s="11" t="n"/>
      <c r="N1797" s="11" t="n"/>
      <c r="O1797" s="11" t="n"/>
      <c r="P1797" s="11" t="n"/>
      <c r="Q1797" s="11" t="n"/>
    </row>
    <row r="1798">
      <c r="A1798" s="8">
        <f>B1798&amp;"_"&amp;C1798</f>
        <v/>
      </c>
      <c r="B1798" s="8" t="n"/>
      <c r="C1798" s="8" t="n"/>
      <c r="D1798" s="8" t="n"/>
      <c r="E1798" s="11" t="n"/>
      <c r="F1798" s="11" t="n"/>
      <c r="G1798" s="8" t="n"/>
      <c r="H1798" s="8" t="n"/>
      <c r="I1798" s="8" t="n"/>
      <c r="J1798" s="8" t="n"/>
      <c r="K1798" s="12">
        <f>IF(OR(ISERROR(VLOOKUP(C1798, Resultados_Reales!$A$4:$I$107, 5, FALSE)), ISERROR(VLOOKUP(C1798, Resultados_Reales!$A$4:$I$107, 6, FALSE)), VLOOKUP(C1798, Resultados_Reales!$A$4:$I$107, 5, FALSE)="", VLOOKUP(C1798, Resultados_Reales!$A$4:$I$107, 6, FALSE)=""), 0, IF(AND(VLOOKUP(C1798, Resultados_Reales!$A$4:$I$107, 5, FALSE)=G1798, VLOOKUP(C1798, Resultados_Reales!$A$4:$I$107, 6, FALSE)=H1798), Configuracion!$B$5, IF(SIGN(VLOOKUP(C1798, Resultados_Reales!$A$4:$I$107, 5, FALSE)-VLOOKUP(C1798, Resultados_Reales!$A$4:$I$107, 6, FALSE)) = SIGN(G1798-H1798), Configuracion!$B$4, 0)))</f>
        <v/>
      </c>
      <c r="L1798" s="11" t="n"/>
      <c r="M1798" s="11" t="n"/>
      <c r="N1798" s="11" t="n"/>
      <c r="O1798" s="11" t="n"/>
      <c r="P1798" s="11" t="n"/>
      <c r="Q1798" s="11" t="n"/>
    </row>
    <row r="1799">
      <c r="A1799" s="8">
        <f>B1799&amp;"_"&amp;C1799</f>
        <v/>
      </c>
      <c r="B1799" s="8" t="n"/>
      <c r="C1799" s="8" t="n"/>
      <c r="D1799" s="8" t="n"/>
      <c r="E1799" s="11" t="n"/>
      <c r="F1799" s="11" t="n"/>
      <c r="G1799" s="8" t="n"/>
      <c r="H1799" s="8" t="n"/>
      <c r="I1799" s="8" t="n"/>
      <c r="J1799" s="8" t="n"/>
      <c r="K1799" s="12">
        <f>IF(OR(ISERROR(VLOOKUP(C1799, Resultados_Reales!$A$4:$I$107, 5, FALSE)), ISERROR(VLOOKUP(C1799, Resultados_Reales!$A$4:$I$107, 6, FALSE)), VLOOKUP(C1799, Resultados_Reales!$A$4:$I$107, 5, FALSE)="", VLOOKUP(C1799, Resultados_Reales!$A$4:$I$107, 6, FALSE)=""), 0, IF(AND(VLOOKUP(C1799, Resultados_Reales!$A$4:$I$107, 5, FALSE)=G1799, VLOOKUP(C1799, Resultados_Reales!$A$4:$I$107, 6, FALSE)=H1799), Configuracion!$B$5, IF(SIGN(VLOOKUP(C1799, Resultados_Reales!$A$4:$I$107, 5, FALSE)-VLOOKUP(C1799, Resultados_Reales!$A$4:$I$107, 6, FALSE)) = SIGN(G1799-H1799), Configuracion!$B$4, 0)))</f>
        <v/>
      </c>
      <c r="L1799" s="11" t="n"/>
      <c r="M1799" s="11" t="n"/>
      <c r="N1799" s="11" t="n"/>
      <c r="O1799" s="11" t="n"/>
      <c r="P1799" s="11" t="n"/>
      <c r="Q1799" s="11" t="n"/>
    </row>
    <row r="1800">
      <c r="A1800" s="8">
        <f>B1800&amp;"_"&amp;C1800</f>
        <v/>
      </c>
      <c r="B1800" s="8" t="n"/>
      <c r="C1800" s="8" t="n"/>
      <c r="D1800" s="8" t="n"/>
      <c r="E1800" s="11" t="n"/>
      <c r="F1800" s="11" t="n"/>
      <c r="G1800" s="8" t="n"/>
      <c r="H1800" s="8" t="n"/>
      <c r="I1800" s="8" t="n"/>
      <c r="J1800" s="8" t="n"/>
      <c r="K1800" s="12">
        <f>IF(OR(ISERROR(VLOOKUP(C1800, Resultados_Reales!$A$4:$I$107, 5, FALSE)), ISERROR(VLOOKUP(C1800, Resultados_Reales!$A$4:$I$107, 6, FALSE)), VLOOKUP(C1800, Resultados_Reales!$A$4:$I$107, 5, FALSE)="", VLOOKUP(C1800, Resultados_Reales!$A$4:$I$107, 6, FALSE)=""), 0, IF(AND(VLOOKUP(C1800, Resultados_Reales!$A$4:$I$107, 5, FALSE)=G1800, VLOOKUP(C1800, Resultados_Reales!$A$4:$I$107, 6, FALSE)=H1800), Configuracion!$B$5, IF(SIGN(VLOOKUP(C1800, Resultados_Reales!$A$4:$I$107, 5, FALSE)-VLOOKUP(C1800, Resultados_Reales!$A$4:$I$107, 6, FALSE)) = SIGN(G1800-H1800), Configuracion!$B$4, 0)))</f>
        <v/>
      </c>
      <c r="L1800" s="11" t="n"/>
      <c r="M1800" s="11" t="n"/>
      <c r="N1800" s="11" t="n"/>
      <c r="O1800" s="11" t="n"/>
      <c r="P1800" s="11" t="n"/>
      <c r="Q1800" s="11" t="n"/>
    </row>
    <row r="1801">
      <c r="A1801" s="8">
        <f>B1801&amp;"_"&amp;C1801</f>
        <v/>
      </c>
      <c r="B1801" s="8" t="n"/>
      <c r="C1801" s="8" t="n"/>
      <c r="D1801" s="8" t="n"/>
      <c r="E1801" s="11" t="n"/>
      <c r="F1801" s="11" t="n"/>
      <c r="G1801" s="8" t="n"/>
      <c r="H1801" s="8" t="n"/>
      <c r="I1801" s="8" t="n"/>
      <c r="J1801" s="8" t="n"/>
      <c r="K1801" s="12">
        <f>IF(OR(ISERROR(VLOOKUP(C1801, Resultados_Reales!$A$4:$I$107, 5, FALSE)), ISERROR(VLOOKUP(C1801, Resultados_Reales!$A$4:$I$107, 6, FALSE)), VLOOKUP(C1801, Resultados_Reales!$A$4:$I$107, 5, FALSE)="", VLOOKUP(C1801, Resultados_Reales!$A$4:$I$107, 6, FALSE)=""), 0, IF(AND(VLOOKUP(C1801, Resultados_Reales!$A$4:$I$107, 5, FALSE)=G1801, VLOOKUP(C1801, Resultados_Reales!$A$4:$I$107, 6, FALSE)=H1801), Configuracion!$B$5, IF(SIGN(VLOOKUP(C1801, Resultados_Reales!$A$4:$I$107, 5, FALSE)-VLOOKUP(C1801, Resultados_Reales!$A$4:$I$107, 6, FALSE)) = SIGN(G1801-H1801), Configuracion!$B$4, 0)))</f>
        <v/>
      </c>
      <c r="L1801" s="11" t="n"/>
      <c r="M1801" s="11" t="n"/>
      <c r="N1801" s="11" t="n"/>
      <c r="O1801" s="11" t="n"/>
      <c r="P1801" s="11" t="n"/>
      <c r="Q1801" s="11" t="n"/>
    </row>
    <row r="1802">
      <c r="A1802" s="8">
        <f>B1802&amp;"_"&amp;C1802</f>
        <v/>
      </c>
      <c r="B1802" s="8" t="n"/>
      <c r="C1802" s="8" t="n"/>
      <c r="D1802" s="8" t="n"/>
      <c r="E1802" s="11" t="n"/>
      <c r="F1802" s="11" t="n"/>
      <c r="G1802" s="8" t="n"/>
      <c r="H1802" s="8" t="n"/>
      <c r="I1802" s="8" t="n"/>
      <c r="J1802" s="8" t="n"/>
      <c r="K1802" s="12">
        <f>IF(OR(ISERROR(VLOOKUP(C1802, Resultados_Reales!$A$4:$I$107, 5, FALSE)), ISERROR(VLOOKUP(C1802, Resultados_Reales!$A$4:$I$107, 6, FALSE)), VLOOKUP(C1802, Resultados_Reales!$A$4:$I$107, 5, FALSE)="", VLOOKUP(C1802, Resultados_Reales!$A$4:$I$107, 6, FALSE)=""), 0, IF(AND(VLOOKUP(C1802, Resultados_Reales!$A$4:$I$107, 5, FALSE)=G1802, VLOOKUP(C1802, Resultados_Reales!$A$4:$I$107, 6, FALSE)=H1802), Configuracion!$B$5, IF(SIGN(VLOOKUP(C1802, Resultados_Reales!$A$4:$I$107, 5, FALSE)-VLOOKUP(C1802, Resultados_Reales!$A$4:$I$107, 6, FALSE)) = SIGN(G1802-H1802), Configuracion!$B$4, 0)))</f>
        <v/>
      </c>
      <c r="L1802" s="11" t="n"/>
      <c r="M1802" s="11" t="n"/>
      <c r="N1802" s="11" t="n"/>
      <c r="O1802" s="11" t="n"/>
      <c r="P1802" s="11" t="n"/>
      <c r="Q1802" s="11" t="n"/>
    </row>
    <row r="1803">
      <c r="A1803" s="8">
        <f>B1803&amp;"_"&amp;C1803</f>
        <v/>
      </c>
      <c r="B1803" s="8" t="n"/>
      <c r="C1803" s="8" t="n"/>
      <c r="D1803" s="8" t="n"/>
      <c r="E1803" s="11" t="n"/>
      <c r="F1803" s="11" t="n"/>
      <c r="G1803" s="8" t="n"/>
      <c r="H1803" s="8" t="n"/>
      <c r="I1803" s="8" t="n"/>
      <c r="J1803" s="8" t="n"/>
      <c r="K1803" s="12">
        <f>IF(OR(ISERROR(VLOOKUP(C1803, Resultados_Reales!$A$4:$I$107, 5, FALSE)), ISERROR(VLOOKUP(C1803, Resultados_Reales!$A$4:$I$107, 6, FALSE)), VLOOKUP(C1803, Resultados_Reales!$A$4:$I$107, 5, FALSE)="", VLOOKUP(C1803, Resultados_Reales!$A$4:$I$107, 6, FALSE)=""), 0, IF(AND(VLOOKUP(C1803, Resultados_Reales!$A$4:$I$107, 5, FALSE)=G1803, VLOOKUP(C1803, Resultados_Reales!$A$4:$I$107, 6, FALSE)=H1803), Configuracion!$B$5, IF(SIGN(VLOOKUP(C1803, Resultados_Reales!$A$4:$I$107, 5, FALSE)-VLOOKUP(C1803, Resultados_Reales!$A$4:$I$107, 6, FALSE)) = SIGN(G1803-H1803), Configuracion!$B$4, 0)))</f>
        <v/>
      </c>
      <c r="L1803" s="11" t="n"/>
      <c r="M1803" s="11" t="n"/>
      <c r="N1803" s="11" t="n"/>
      <c r="O1803" s="11" t="n"/>
      <c r="P1803" s="11" t="n"/>
      <c r="Q1803" s="11" t="n"/>
    </row>
    <row r="1804">
      <c r="A1804" s="8">
        <f>B1804&amp;"_"&amp;C1804</f>
        <v/>
      </c>
      <c r="B1804" s="8" t="n"/>
      <c r="C1804" s="8" t="n"/>
      <c r="D1804" s="8" t="n"/>
      <c r="E1804" s="11" t="n"/>
      <c r="F1804" s="11" t="n"/>
      <c r="G1804" s="8" t="n"/>
      <c r="H1804" s="8" t="n"/>
      <c r="I1804" s="8" t="n"/>
      <c r="J1804" s="8" t="n"/>
      <c r="K1804" s="12">
        <f>IF(OR(ISERROR(VLOOKUP(C1804, Resultados_Reales!$A$4:$I$107, 5, FALSE)), ISERROR(VLOOKUP(C1804, Resultados_Reales!$A$4:$I$107, 6, FALSE)), VLOOKUP(C1804, Resultados_Reales!$A$4:$I$107, 5, FALSE)="", VLOOKUP(C1804, Resultados_Reales!$A$4:$I$107, 6, FALSE)=""), 0, IF(AND(VLOOKUP(C1804, Resultados_Reales!$A$4:$I$107, 5, FALSE)=G1804, VLOOKUP(C1804, Resultados_Reales!$A$4:$I$107, 6, FALSE)=H1804), Configuracion!$B$5, IF(SIGN(VLOOKUP(C1804, Resultados_Reales!$A$4:$I$107, 5, FALSE)-VLOOKUP(C1804, Resultados_Reales!$A$4:$I$107, 6, FALSE)) = SIGN(G1804-H1804), Configuracion!$B$4, 0)))</f>
        <v/>
      </c>
      <c r="L1804" s="11" t="n"/>
      <c r="M1804" s="11" t="n"/>
      <c r="N1804" s="11" t="n"/>
      <c r="O1804" s="11" t="n"/>
      <c r="P1804" s="11" t="n"/>
      <c r="Q1804" s="11" t="n"/>
    </row>
    <row r="1805">
      <c r="A1805" s="8">
        <f>B1805&amp;"_"&amp;C1805</f>
        <v/>
      </c>
      <c r="B1805" s="8" t="n"/>
      <c r="C1805" s="8" t="n"/>
      <c r="D1805" s="8" t="n"/>
      <c r="E1805" s="11" t="n"/>
      <c r="F1805" s="11" t="n"/>
      <c r="G1805" s="8" t="n"/>
      <c r="H1805" s="8" t="n"/>
      <c r="I1805" s="8" t="n"/>
      <c r="J1805" s="8" t="n"/>
      <c r="K1805" s="12">
        <f>IF(OR(ISERROR(VLOOKUP(C1805, Resultados_Reales!$A$4:$I$107, 5, FALSE)), ISERROR(VLOOKUP(C1805, Resultados_Reales!$A$4:$I$107, 6, FALSE)), VLOOKUP(C1805, Resultados_Reales!$A$4:$I$107, 5, FALSE)="", VLOOKUP(C1805, Resultados_Reales!$A$4:$I$107, 6, FALSE)=""), 0, IF(AND(VLOOKUP(C1805, Resultados_Reales!$A$4:$I$107, 5, FALSE)=G1805, VLOOKUP(C1805, Resultados_Reales!$A$4:$I$107, 6, FALSE)=H1805), Configuracion!$B$5, IF(SIGN(VLOOKUP(C1805, Resultados_Reales!$A$4:$I$107, 5, FALSE)-VLOOKUP(C1805, Resultados_Reales!$A$4:$I$107, 6, FALSE)) = SIGN(G1805-H1805), Configuracion!$B$4, 0)))</f>
        <v/>
      </c>
      <c r="L1805" s="11" t="n"/>
      <c r="M1805" s="11" t="n"/>
      <c r="N1805" s="11" t="n"/>
      <c r="O1805" s="11" t="n"/>
      <c r="P1805" s="11" t="n"/>
      <c r="Q1805" s="11" t="n"/>
    </row>
    <row r="1806">
      <c r="A1806" s="8">
        <f>B1806&amp;"_"&amp;C1806</f>
        <v/>
      </c>
      <c r="B1806" s="8" t="n"/>
      <c r="C1806" s="8" t="n"/>
      <c r="D1806" s="8" t="n"/>
      <c r="E1806" s="11" t="n"/>
      <c r="F1806" s="11" t="n"/>
      <c r="G1806" s="8" t="n"/>
      <c r="H1806" s="8" t="n"/>
      <c r="I1806" s="8" t="n"/>
      <c r="J1806" s="8" t="n"/>
      <c r="K1806" s="12">
        <f>IF(OR(ISERROR(VLOOKUP(C1806, Resultados_Reales!$A$4:$I$107, 5, FALSE)), ISERROR(VLOOKUP(C1806, Resultados_Reales!$A$4:$I$107, 6, FALSE)), VLOOKUP(C1806, Resultados_Reales!$A$4:$I$107, 5, FALSE)="", VLOOKUP(C1806, Resultados_Reales!$A$4:$I$107, 6, FALSE)=""), 0, IF(AND(VLOOKUP(C1806, Resultados_Reales!$A$4:$I$107, 5, FALSE)=G1806, VLOOKUP(C1806, Resultados_Reales!$A$4:$I$107, 6, FALSE)=H1806), Configuracion!$B$5, IF(SIGN(VLOOKUP(C1806, Resultados_Reales!$A$4:$I$107, 5, FALSE)-VLOOKUP(C1806, Resultados_Reales!$A$4:$I$107, 6, FALSE)) = SIGN(G1806-H1806), Configuracion!$B$4, 0)))</f>
        <v/>
      </c>
      <c r="L1806" s="11" t="n"/>
      <c r="M1806" s="11" t="n"/>
      <c r="N1806" s="11" t="n"/>
      <c r="O1806" s="11" t="n"/>
      <c r="P1806" s="11" t="n"/>
      <c r="Q1806" s="11" t="n"/>
    </row>
    <row r="1807">
      <c r="A1807" s="8">
        <f>B1807&amp;"_"&amp;C1807</f>
        <v/>
      </c>
      <c r="B1807" s="8" t="n"/>
      <c r="C1807" s="8" t="n"/>
      <c r="D1807" s="8" t="n"/>
      <c r="E1807" s="11" t="n"/>
      <c r="F1807" s="11" t="n"/>
      <c r="G1807" s="8" t="n"/>
      <c r="H1807" s="8" t="n"/>
      <c r="I1807" s="8" t="n"/>
      <c r="J1807" s="8" t="n"/>
      <c r="K1807" s="12">
        <f>IF(OR(ISERROR(VLOOKUP(C1807, Resultados_Reales!$A$4:$I$107, 5, FALSE)), ISERROR(VLOOKUP(C1807, Resultados_Reales!$A$4:$I$107, 6, FALSE)), VLOOKUP(C1807, Resultados_Reales!$A$4:$I$107, 5, FALSE)="", VLOOKUP(C1807, Resultados_Reales!$A$4:$I$107, 6, FALSE)=""), 0, IF(AND(VLOOKUP(C1807, Resultados_Reales!$A$4:$I$107, 5, FALSE)=G1807, VLOOKUP(C1807, Resultados_Reales!$A$4:$I$107, 6, FALSE)=H1807), Configuracion!$B$5, IF(SIGN(VLOOKUP(C1807, Resultados_Reales!$A$4:$I$107, 5, FALSE)-VLOOKUP(C1807, Resultados_Reales!$A$4:$I$107, 6, FALSE)) = SIGN(G1807-H1807), Configuracion!$B$4, 0)))</f>
        <v/>
      </c>
      <c r="L1807" s="11" t="n"/>
      <c r="M1807" s="11" t="n"/>
      <c r="N1807" s="11" t="n"/>
      <c r="O1807" s="11" t="n"/>
      <c r="P1807" s="11" t="n"/>
      <c r="Q1807" s="11" t="n"/>
    </row>
    <row r="1808">
      <c r="A1808" s="8">
        <f>B1808&amp;"_"&amp;C1808</f>
        <v/>
      </c>
      <c r="B1808" s="8" t="n"/>
      <c r="C1808" s="8" t="n"/>
      <c r="D1808" s="8" t="n"/>
      <c r="E1808" s="11" t="n"/>
      <c r="F1808" s="11" t="n"/>
      <c r="G1808" s="8" t="n"/>
      <c r="H1808" s="8" t="n"/>
      <c r="I1808" s="8" t="n"/>
      <c r="J1808" s="8" t="n"/>
      <c r="K1808" s="12">
        <f>IF(OR(ISERROR(VLOOKUP(C1808, Resultados_Reales!$A$4:$I$107, 5, FALSE)), ISERROR(VLOOKUP(C1808, Resultados_Reales!$A$4:$I$107, 6, FALSE)), VLOOKUP(C1808, Resultados_Reales!$A$4:$I$107, 5, FALSE)="", VLOOKUP(C1808, Resultados_Reales!$A$4:$I$107, 6, FALSE)=""), 0, IF(AND(VLOOKUP(C1808, Resultados_Reales!$A$4:$I$107, 5, FALSE)=G1808, VLOOKUP(C1808, Resultados_Reales!$A$4:$I$107, 6, FALSE)=H1808), Configuracion!$B$5, IF(SIGN(VLOOKUP(C1808, Resultados_Reales!$A$4:$I$107, 5, FALSE)-VLOOKUP(C1808, Resultados_Reales!$A$4:$I$107, 6, FALSE)) = SIGN(G1808-H1808), Configuracion!$B$4, 0)))</f>
        <v/>
      </c>
      <c r="L1808" s="11" t="n"/>
      <c r="M1808" s="11" t="n"/>
      <c r="N1808" s="11" t="n"/>
      <c r="O1808" s="11" t="n"/>
      <c r="P1808" s="11" t="n"/>
      <c r="Q1808" s="11" t="n"/>
    </row>
    <row r="1809">
      <c r="A1809" s="8">
        <f>B1809&amp;"_"&amp;C1809</f>
        <v/>
      </c>
      <c r="B1809" s="8" t="n"/>
      <c r="C1809" s="8" t="n"/>
      <c r="D1809" s="8" t="n"/>
      <c r="E1809" s="11" t="n"/>
      <c r="F1809" s="11" t="n"/>
      <c r="G1809" s="8" t="n"/>
      <c r="H1809" s="8" t="n"/>
      <c r="I1809" s="8" t="n"/>
      <c r="J1809" s="8" t="n"/>
      <c r="K1809" s="12">
        <f>IF(OR(ISERROR(VLOOKUP(C1809, Resultados_Reales!$A$4:$I$107, 5, FALSE)), ISERROR(VLOOKUP(C1809, Resultados_Reales!$A$4:$I$107, 6, FALSE)), VLOOKUP(C1809, Resultados_Reales!$A$4:$I$107, 5, FALSE)="", VLOOKUP(C1809, Resultados_Reales!$A$4:$I$107, 6, FALSE)=""), 0, IF(AND(VLOOKUP(C1809, Resultados_Reales!$A$4:$I$107, 5, FALSE)=G1809, VLOOKUP(C1809, Resultados_Reales!$A$4:$I$107, 6, FALSE)=H1809), Configuracion!$B$5, IF(SIGN(VLOOKUP(C1809, Resultados_Reales!$A$4:$I$107, 5, FALSE)-VLOOKUP(C1809, Resultados_Reales!$A$4:$I$107, 6, FALSE)) = SIGN(G1809-H1809), Configuracion!$B$4, 0)))</f>
        <v/>
      </c>
      <c r="L1809" s="11" t="n"/>
      <c r="M1809" s="11" t="n"/>
      <c r="N1809" s="11" t="n"/>
      <c r="O1809" s="11" t="n"/>
      <c r="P1809" s="11" t="n"/>
      <c r="Q1809" s="11" t="n"/>
    </row>
    <row r="1810">
      <c r="A1810" s="8">
        <f>B1810&amp;"_"&amp;C1810</f>
        <v/>
      </c>
      <c r="B1810" s="8" t="n"/>
      <c r="C1810" s="8" t="n"/>
      <c r="D1810" s="8" t="n"/>
      <c r="E1810" s="11" t="n"/>
      <c r="F1810" s="11" t="n"/>
      <c r="G1810" s="8" t="n"/>
      <c r="H1810" s="8" t="n"/>
      <c r="I1810" s="8" t="n"/>
      <c r="J1810" s="8" t="n"/>
      <c r="K1810" s="12">
        <f>IF(OR(ISERROR(VLOOKUP(C1810, Resultados_Reales!$A$4:$I$107, 5, FALSE)), ISERROR(VLOOKUP(C1810, Resultados_Reales!$A$4:$I$107, 6, FALSE)), VLOOKUP(C1810, Resultados_Reales!$A$4:$I$107, 5, FALSE)="", VLOOKUP(C1810, Resultados_Reales!$A$4:$I$107, 6, FALSE)=""), 0, IF(AND(VLOOKUP(C1810, Resultados_Reales!$A$4:$I$107, 5, FALSE)=G1810, VLOOKUP(C1810, Resultados_Reales!$A$4:$I$107, 6, FALSE)=H1810), Configuracion!$B$5, IF(SIGN(VLOOKUP(C1810, Resultados_Reales!$A$4:$I$107, 5, FALSE)-VLOOKUP(C1810, Resultados_Reales!$A$4:$I$107, 6, FALSE)) = SIGN(G1810-H1810), Configuracion!$B$4, 0)))</f>
        <v/>
      </c>
      <c r="L1810" s="11" t="n"/>
      <c r="M1810" s="11" t="n"/>
      <c r="N1810" s="11" t="n"/>
      <c r="O1810" s="11" t="n"/>
      <c r="P1810" s="11" t="n"/>
      <c r="Q1810" s="11" t="n"/>
    </row>
    <row r="1811">
      <c r="A1811" s="8">
        <f>B1811&amp;"_"&amp;C1811</f>
        <v/>
      </c>
      <c r="B1811" s="8" t="n"/>
      <c r="C1811" s="8" t="n"/>
      <c r="D1811" s="8" t="n"/>
      <c r="E1811" s="11" t="n"/>
      <c r="F1811" s="11" t="n"/>
      <c r="G1811" s="8" t="n"/>
      <c r="H1811" s="8" t="n"/>
      <c r="I1811" s="8" t="n"/>
      <c r="J1811" s="8" t="n"/>
      <c r="K1811" s="12">
        <f>IF(OR(ISERROR(VLOOKUP(C1811, Resultados_Reales!$A$4:$I$107, 5, FALSE)), ISERROR(VLOOKUP(C1811, Resultados_Reales!$A$4:$I$107, 6, FALSE)), VLOOKUP(C1811, Resultados_Reales!$A$4:$I$107, 5, FALSE)="", VLOOKUP(C1811, Resultados_Reales!$A$4:$I$107, 6, FALSE)=""), 0, IF(AND(VLOOKUP(C1811, Resultados_Reales!$A$4:$I$107, 5, FALSE)=G1811, VLOOKUP(C1811, Resultados_Reales!$A$4:$I$107, 6, FALSE)=H1811), Configuracion!$B$5, IF(SIGN(VLOOKUP(C1811, Resultados_Reales!$A$4:$I$107, 5, FALSE)-VLOOKUP(C1811, Resultados_Reales!$A$4:$I$107, 6, FALSE)) = SIGN(G1811-H1811), Configuracion!$B$4, 0)))</f>
        <v/>
      </c>
      <c r="L1811" s="11" t="n"/>
      <c r="M1811" s="11" t="n"/>
      <c r="N1811" s="11" t="n"/>
      <c r="O1811" s="11" t="n"/>
      <c r="P1811" s="11" t="n"/>
      <c r="Q1811" s="11" t="n"/>
    </row>
    <row r="1812">
      <c r="A1812" s="8">
        <f>B1812&amp;"_"&amp;C1812</f>
        <v/>
      </c>
      <c r="B1812" s="8" t="n"/>
      <c r="C1812" s="8" t="n"/>
      <c r="D1812" s="8" t="n"/>
      <c r="E1812" s="11" t="n"/>
      <c r="F1812" s="11" t="n"/>
      <c r="G1812" s="8" t="n"/>
      <c r="H1812" s="8" t="n"/>
      <c r="I1812" s="8" t="n"/>
      <c r="J1812" s="8" t="n"/>
      <c r="K1812" s="12">
        <f>IF(OR(ISERROR(VLOOKUP(C1812, Resultados_Reales!$A$4:$I$107, 5, FALSE)), ISERROR(VLOOKUP(C1812, Resultados_Reales!$A$4:$I$107, 6, FALSE)), VLOOKUP(C1812, Resultados_Reales!$A$4:$I$107, 5, FALSE)="", VLOOKUP(C1812, Resultados_Reales!$A$4:$I$107, 6, FALSE)=""), 0, IF(AND(VLOOKUP(C1812, Resultados_Reales!$A$4:$I$107, 5, FALSE)=G1812, VLOOKUP(C1812, Resultados_Reales!$A$4:$I$107, 6, FALSE)=H1812), Configuracion!$B$5, IF(SIGN(VLOOKUP(C1812, Resultados_Reales!$A$4:$I$107, 5, FALSE)-VLOOKUP(C1812, Resultados_Reales!$A$4:$I$107, 6, FALSE)) = SIGN(G1812-H1812), Configuracion!$B$4, 0)))</f>
        <v/>
      </c>
      <c r="L1812" s="11" t="n"/>
      <c r="M1812" s="11" t="n"/>
      <c r="N1812" s="11" t="n"/>
      <c r="O1812" s="11" t="n"/>
      <c r="P1812" s="11" t="n"/>
      <c r="Q1812" s="11" t="n"/>
    </row>
    <row r="1813">
      <c r="A1813" s="8">
        <f>B1813&amp;"_"&amp;C1813</f>
        <v/>
      </c>
      <c r="B1813" s="8" t="n"/>
      <c r="C1813" s="8" t="n"/>
      <c r="D1813" s="8" t="n"/>
      <c r="E1813" s="11" t="n"/>
      <c r="F1813" s="11" t="n"/>
      <c r="G1813" s="8" t="n"/>
      <c r="H1813" s="8" t="n"/>
      <c r="I1813" s="8" t="n"/>
      <c r="J1813" s="8" t="n"/>
      <c r="K1813" s="12">
        <f>IF(OR(ISERROR(VLOOKUP(C1813, Resultados_Reales!$A$4:$I$107, 5, FALSE)), ISERROR(VLOOKUP(C1813, Resultados_Reales!$A$4:$I$107, 6, FALSE)), VLOOKUP(C1813, Resultados_Reales!$A$4:$I$107, 5, FALSE)="", VLOOKUP(C1813, Resultados_Reales!$A$4:$I$107, 6, FALSE)=""), 0, IF(AND(VLOOKUP(C1813, Resultados_Reales!$A$4:$I$107, 5, FALSE)=G1813, VLOOKUP(C1813, Resultados_Reales!$A$4:$I$107, 6, FALSE)=H1813), Configuracion!$B$5, IF(SIGN(VLOOKUP(C1813, Resultados_Reales!$A$4:$I$107, 5, FALSE)-VLOOKUP(C1813, Resultados_Reales!$A$4:$I$107, 6, FALSE)) = SIGN(G1813-H1813), Configuracion!$B$4, 0)))</f>
        <v/>
      </c>
      <c r="L1813" s="11" t="n"/>
      <c r="M1813" s="11" t="n"/>
      <c r="N1813" s="11" t="n"/>
      <c r="O1813" s="11" t="n"/>
      <c r="P1813" s="11" t="n"/>
      <c r="Q1813" s="11" t="n"/>
    </row>
    <row r="1814">
      <c r="A1814" s="8">
        <f>B1814&amp;"_"&amp;C1814</f>
        <v/>
      </c>
      <c r="B1814" s="8" t="n"/>
      <c r="C1814" s="8" t="n"/>
      <c r="D1814" s="8" t="n"/>
      <c r="E1814" s="11" t="n"/>
      <c r="F1814" s="11" t="n"/>
      <c r="G1814" s="8" t="n"/>
      <c r="H1814" s="8" t="n"/>
      <c r="I1814" s="8" t="n"/>
      <c r="J1814" s="8" t="n"/>
      <c r="K1814" s="12">
        <f>IF(OR(ISERROR(VLOOKUP(C1814, Resultados_Reales!$A$4:$I$107, 5, FALSE)), ISERROR(VLOOKUP(C1814, Resultados_Reales!$A$4:$I$107, 6, FALSE)), VLOOKUP(C1814, Resultados_Reales!$A$4:$I$107, 5, FALSE)="", VLOOKUP(C1814, Resultados_Reales!$A$4:$I$107, 6, FALSE)=""), 0, IF(AND(VLOOKUP(C1814, Resultados_Reales!$A$4:$I$107, 5, FALSE)=G1814, VLOOKUP(C1814, Resultados_Reales!$A$4:$I$107, 6, FALSE)=H1814), Configuracion!$B$5, IF(SIGN(VLOOKUP(C1814, Resultados_Reales!$A$4:$I$107, 5, FALSE)-VLOOKUP(C1814, Resultados_Reales!$A$4:$I$107, 6, FALSE)) = SIGN(G1814-H1814), Configuracion!$B$4, 0)))</f>
        <v/>
      </c>
      <c r="L1814" s="11" t="n"/>
      <c r="M1814" s="11" t="n"/>
      <c r="N1814" s="11" t="n"/>
      <c r="O1814" s="11" t="n"/>
      <c r="P1814" s="11" t="n"/>
      <c r="Q1814" s="11" t="n"/>
    </row>
    <row r="1815">
      <c r="A1815" s="8">
        <f>B1815&amp;"_"&amp;C1815</f>
        <v/>
      </c>
      <c r="B1815" s="8" t="n"/>
      <c r="C1815" s="8" t="n"/>
      <c r="D1815" s="8" t="n"/>
      <c r="E1815" s="11" t="n"/>
      <c r="F1815" s="11" t="n"/>
      <c r="G1815" s="8" t="n"/>
      <c r="H1815" s="8" t="n"/>
      <c r="I1815" s="8" t="n"/>
      <c r="J1815" s="8" t="n"/>
      <c r="K1815" s="12">
        <f>IF(OR(ISERROR(VLOOKUP(C1815, Resultados_Reales!$A$4:$I$107, 5, FALSE)), ISERROR(VLOOKUP(C1815, Resultados_Reales!$A$4:$I$107, 6, FALSE)), VLOOKUP(C1815, Resultados_Reales!$A$4:$I$107, 5, FALSE)="", VLOOKUP(C1815, Resultados_Reales!$A$4:$I$107, 6, FALSE)=""), 0, IF(AND(VLOOKUP(C1815, Resultados_Reales!$A$4:$I$107, 5, FALSE)=G1815, VLOOKUP(C1815, Resultados_Reales!$A$4:$I$107, 6, FALSE)=H1815), Configuracion!$B$5, IF(SIGN(VLOOKUP(C1815, Resultados_Reales!$A$4:$I$107, 5, FALSE)-VLOOKUP(C1815, Resultados_Reales!$A$4:$I$107, 6, FALSE)) = SIGN(G1815-H1815), Configuracion!$B$4, 0)))</f>
        <v/>
      </c>
      <c r="L1815" s="11" t="n"/>
      <c r="M1815" s="11" t="n"/>
      <c r="N1815" s="11" t="n"/>
      <c r="O1815" s="11" t="n"/>
      <c r="P1815" s="11" t="n"/>
      <c r="Q1815" s="11" t="n"/>
    </row>
    <row r="1816">
      <c r="A1816" s="8">
        <f>B1816&amp;"_"&amp;C1816</f>
        <v/>
      </c>
      <c r="B1816" s="8" t="n"/>
      <c r="C1816" s="8" t="n"/>
      <c r="D1816" s="8" t="n"/>
      <c r="E1816" s="11" t="n"/>
      <c r="F1816" s="11" t="n"/>
      <c r="G1816" s="8" t="n"/>
      <c r="H1816" s="8" t="n"/>
      <c r="I1816" s="8" t="n"/>
      <c r="J1816" s="8" t="n"/>
      <c r="K1816" s="12">
        <f>IF(OR(ISERROR(VLOOKUP(C1816, Resultados_Reales!$A$4:$I$107, 5, FALSE)), ISERROR(VLOOKUP(C1816, Resultados_Reales!$A$4:$I$107, 6, FALSE)), VLOOKUP(C1816, Resultados_Reales!$A$4:$I$107, 5, FALSE)="", VLOOKUP(C1816, Resultados_Reales!$A$4:$I$107, 6, FALSE)=""), 0, IF(AND(VLOOKUP(C1816, Resultados_Reales!$A$4:$I$107, 5, FALSE)=G1816, VLOOKUP(C1816, Resultados_Reales!$A$4:$I$107, 6, FALSE)=H1816), Configuracion!$B$5, IF(SIGN(VLOOKUP(C1816, Resultados_Reales!$A$4:$I$107, 5, FALSE)-VLOOKUP(C1816, Resultados_Reales!$A$4:$I$107, 6, FALSE)) = SIGN(G1816-H1816), Configuracion!$B$4, 0)))</f>
        <v/>
      </c>
      <c r="L1816" s="11" t="n"/>
      <c r="M1816" s="11" t="n"/>
      <c r="N1816" s="11" t="n"/>
      <c r="O1816" s="11" t="n"/>
      <c r="P1816" s="11" t="n"/>
      <c r="Q1816" s="11" t="n"/>
    </row>
    <row r="1817">
      <c r="A1817" s="8">
        <f>B1817&amp;"_"&amp;C1817</f>
        <v/>
      </c>
      <c r="B1817" s="8" t="n"/>
      <c r="C1817" s="8" t="n"/>
      <c r="D1817" s="8" t="n"/>
      <c r="E1817" s="11" t="n"/>
      <c r="F1817" s="11" t="n"/>
      <c r="G1817" s="8" t="n"/>
      <c r="H1817" s="8" t="n"/>
      <c r="I1817" s="8" t="n"/>
      <c r="J1817" s="8" t="n"/>
      <c r="K1817" s="12">
        <f>IF(OR(ISERROR(VLOOKUP(C1817, Resultados_Reales!$A$4:$I$107, 5, FALSE)), ISERROR(VLOOKUP(C1817, Resultados_Reales!$A$4:$I$107, 6, FALSE)), VLOOKUP(C1817, Resultados_Reales!$A$4:$I$107, 5, FALSE)="", VLOOKUP(C1817, Resultados_Reales!$A$4:$I$107, 6, FALSE)=""), 0, IF(AND(VLOOKUP(C1817, Resultados_Reales!$A$4:$I$107, 5, FALSE)=G1817, VLOOKUP(C1817, Resultados_Reales!$A$4:$I$107, 6, FALSE)=H1817), Configuracion!$B$5, IF(SIGN(VLOOKUP(C1817, Resultados_Reales!$A$4:$I$107, 5, FALSE)-VLOOKUP(C1817, Resultados_Reales!$A$4:$I$107, 6, FALSE)) = SIGN(G1817-H1817), Configuracion!$B$4, 0)))</f>
        <v/>
      </c>
      <c r="L1817" s="11" t="n"/>
      <c r="M1817" s="11" t="n"/>
      <c r="N1817" s="11" t="n"/>
      <c r="O1817" s="11" t="n"/>
      <c r="P1817" s="11" t="n"/>
      <c r="Q1817" s="11" t="n"/>
    </row>
    <row r="1818">
      <c r="A1818" s="8">
        <f>B1818&amp;"_"&amp;C1818</f>
        <v/>
      </c>
      <c r="B1818" s="8" t="n"/>
      <c r="C1818" s="8" t="n"/>
      <c r="D1818" s="8" t="n"/>
      <c r="E1818" s="11" t="n"/>
      <c r="F1818" s="11" t="n"/>
      <c r="G1818" s="8" t="n"/>
      <c r="H1818" s="8" t="n"/>
      <c r="I1818" s="8" t="n"/>
      <c r="J1818" s="8" t="n"/>
      <c r="K1818" s="12">
        <f>IF(OR(ISERROR(VLOOKUP(C1818, Resultados_Reales!$A$4:$I$107, 5, FALSE)), ISERROR(VLOOKUP(C1818, Resultados_Reales!$A$4:$I$107, 6, FALSE)), VLOOKUP(C1818, Resultados_Reales!$A$4:$I$107, 5, FALSE)="", VLOOKUP(C1818, Resultados_Reales!$A$4:$I$107, 6, FALSE)=""), 0, IF(AND(VLOOKUP(C1818, Resultados_Reales!$A$4:$I$107, 5, FALSE)=G1818, VLOOKUP(C1818, Resultados_Reales!$A$4:$I$107, 6, FALSE)=H1818), Configuracion!$B$5, IF(SIGN(VLOOKUP(C1818, Resultados_Reales!$A$4:$I$107, 5, FALSE)-VLOOKUP(C1818, Resultados_Reales!$A$4:$I$107, 6, FALSE)) = SIGN(G1818-H1818), Configuracion!$B$4, 0)))</f>
        <v/>
      </c>
      <c r="L1818" s="11" t="n"/>
      <c r="M1818" s="11" t="n"/>
      <c r="N1818" s="11" t="n"/>
      <c r="O1818" s="11" t="n"/>
      <c r="P1818" s="11" t="n"/>
      <c r="Q1818" s="11" t="n"/>
    </row>
    <row r="1819">
      <c r="A1819" s="8">
        <f>B1819&amp;"_"&amp;C1819</f>
        <v/>
      </c>
      <c r="B1819" s="8" t="n"/>
      <c r="C1819" s="8" t="n"/>
      <c r="D1819" s="8" t="n"/>
      <c r="E1819" s="11" t="n"/>
      <c r="F1819" s="11" t="n"/>
      <c r="G1819" s="8" t="n"/>
      <c r="H1819" s="8" t="n"/>
      <c r="I1819" s="8" t="n"/>
      <c r="J1819" s="8" t="n"/>
      <c r="K1819" s="12">
        <f>IF(OR(ISERROR(VLOOKUP(C1819, Resultados_Reales!$A$4:$I$107, 5, FALSE)), ISERROR(VLOOKUP(C1819, Resultados_Reales!$A$4:$I$107, 6, FALSE)), VLOOKUP(C1819, Resultados_Reales!$A$4:$I$107, 5, FALSE)="", VLOOKUP(C1819, Resultados_Reales!$A$4:$I$107, 6, FALSE)=""), 0, IF(AND(VLOOKUP(C1819, Resultados_Reales!$A$4:$I$107, 5, FALSE)=G1819, VLOOKUP(C1819, Resultados_Reales!$A$4:$I$107, 6, FALSE)=H1819), Configuracion!$B$5, IF(SIGN(VLOOKUP(C1819, Resultados_Reales!$A$4:$I$107, 5, FALSE)-VLOOKUP(C1819, Resultados_Reales!$A$4:$I$107, 6, FALSE)) = SIGN(G1819-H1819), Configuracion!$B$4, 0)))</f>
        <v/>
      </c>
      <c r="L1819" s="11" t="n"/>
      <c r="M1819" s="11" t="n"/>
      <c r="N1819" s="11" t="n"/>
      <c r="O1819" s="11" t="n"/>
      <c r="P1819" s="11" t="n"/>
      <c r="Q1819" s="11" t="n"/>
    </row>
    <row r="1820">
      <c r="A1820" s="8">
        <f>B1820&amp;"_"&amp;C1820</f>
        <v/>
      </c>
      <c r="B1820" s="8" t="n"/>
      <c r="C1820" s="8" t="n"/>
      <c r="D1820" s="8" t="n"/>
      <c r="E1820" s="11" t="n"/>
      <c r="F1820" s="11" t="n"/>
      <c r="G1820" s="8" t="n"/>
      <c r="H1820" s="8" t="n"/>
      <c r="I1820" s="8" t="n"/>
      <c r="J1820" s="8" t="n"/>
      <c r="K1820" s="12">
        <f>IF(OR(ISERROR(VLOOKUP(C1820, Resultados_Reales!$A$4:$I$107, 5, FALSE)), ISERROR(VLOOKUP(C1820, Resultados_Reales!$A$4:$I$107, 6, FALSE)), VLOOKUP(C1820, Resultados_Reales!$A$4:$I$107, 5, FALSE)="", VLOOKUP(C1820, Resultados_Reales!$A$4:$I$107, 6, FALSE)=""), 0, IF(AND(VLOOKUP(C1820, Resultados_Reales!$A$4:$I$107, 5, FALSE)=G1820, VLOOKUP(C1820, Resultados_Reales!$A$4:$I$107, 6, FALSE)=H1820), Configuracion!$B$5, IF(SIGN(VLOOKUP(C1820, Resultados_Reales!$A$4:$I$107, 5, FALSE)-VLOOKUP(C1820, Resultados_Reales!$A$4:$I$107, 6, FALSE)) = SIGN(G1820-H1820), Configuracion!$B$4, 0)))</f>
        <v/>
      </c>
      <c r="L1820" s="11" t="n"/>
      <c r="M1820" s="11" t="n"/>
      <c r="N1820" s="11" t="n"/>
      <c r="O1820" s="11" t="n"/>
      <c r="P1820" s="11" t="n"/>
      <c r="Q1820" s="11" t="n"/>
    </row>
    <row r="1821">
      <c r="A1821" s="8">
        <f>B1821&amp;"_"&amp;C1821</f>
        <v/>
      </c>
      <c r="B1821" s="8" t="n"/>
      <c r="C1821" s="8" t="n"/>
      <c r="D1821" s="8" t="n"/>
      <c r="E1821" s="11" t="n"/>
      <c r="F1821" s="11" t="n"/>
      <c r="G1821" s="8" t="n"/>
      <c r="H1821" s="8" t="n"/>
      <c r="I1821" s="8" t="n"/>
      <c r="J1821" s="8" t="n"/>
      <c r="K1821" s="12">
        <f>IF(OR(ISERROR(VLOOKUP(C1821, Resultados_Reales!$A$4:$I$107, 5, FALSE)), ISERROR(VLOOKUP(C1821, Resultados_Reales!$A$4:$I$107, 6, FALSE)), VLOOKUP(C1821, Resultados_Reales!$A$4:$I$107, 5, FALSE)="", VLOOKUP(C1821, Resultados_Reales!$A$4:$I$107, 6, FALSE)=""), 0, IF(AND(VLOOKUP(C1821, Resultados_Reales!$A$4:$I$107, 5, FALSE)=G1821, VLOOKUP(C1821, Resultados_Reales!$A$4:$I$107, 6, FALSE)=H1821), Configuracion!$B$5, IF(SIGN(VLOOKUP(C1821, Resultados_Reales!$A$4:$I$107, 5, FALSE)-VLOOKUP(C1821, Resultados_Reales!$A$4:$I$107, 6, FALSE)) = SIGN(G1821-H1821), Configuracion!$B$4, 0)))</f>
        <v/>
      </c>
      <c r="L1821" s="11" t="n"/>
      <c r="M1821" s="11" t="n"/>
      <c r="N1821" s="11" t="n"/>
      <c r="O1821" s="11" t="n"/>
      <c r="P1821" s="11" t="n"/>
      <c r="Q1821" s="11" t="n"/>
    </row>
    <row r="1822">
      <c r="A1822" s="8">
        <f>B1822&amp;"_"&amp;C1822</f>
        <v/>
      </c>
      <c r="B1822" s="8" t="n"/>
      <c r="C1822" s="8" t="n"/>
      <c r="D1822" s="8" t="n"/>
      <c r="E1822" s="11" t="n"/>
      <c r="F1822" s="11" t="n"/>
      <c r="G1822" s="8" t="n"/>
      <c r="H1822" s="8" t="n"/>
      <c r="I1822" s="8" t="n"/>
      <c r="J1822" s="8" t="n"/>
      <c r="K1822" s="12">
        <f>IF(OR(ISERROR(VLOOKUP(C1822, Resultados_Reales!$A$4:$I$107, 5, FALSE)), ISERROR(VLOOKUP(C1822, Resultados_Reales!$A$4:$I$107, 6, FALSE)), VLOOKUP(C1822, Resultados_Reales!$A$4:$I$107, 5, FALSE)="", VLOOKUP(C1822, Resultados_Reales!$A$4:$I$107, 6, FALSE)=""), 0, IF(AND(VLOOKUP(C1822, Resultados_Reales!$A$4:$I$107, 5, FALSE)=G1822, VLOOKUP(C1822, Resultados_Reales!$A$4:$I$107, 6, FALSE)=H1822), Configuracion!$B$5, IF(SIGN(VLOOKUP(C1822, Resultados_Reales!$A$4:$I$107, 5, FALSE)-VLOOKUP(C1822, Resultados_Reales!$A$4:$I$107, 6, FALSE)) = SIGN(G1822-H1822), Configuracion!$B$4, 0)))</f>
        <v/>
      </c>
      <c r="L1822" s="11" t="n"/>
      <c r="M1822" s="11" t="n"/>
      <c r="N1822" s="11" t="n"/>
      <c r="O1822" s="11" t="n"/>
      <c r="P1822" s="11" t="n"/>
      <c r="Q1822" s="11" t="n"/>
    </row>
    <row r="1823">
      <c r="A1823" s="8">
        <f>B1823&amp;"_"&amp;C1823</f>
        <v/>
      </c>
      <c r="B1823" s="8" t="n"/>
      <c r="C1823" s="8" t="n"/>
      <c r="D1823" s="8" t="n"/>
      <c r="E1823" s="11" t="n"/>
      <c r="F1823" s="11" t="n"/>
      <c r="G1823" s="8" t="n"/>
      <c r="H1823" s="8" t="n"/>
      <c r="I1823" s="8" t="n"/>
      <c r="J1823" s="8" t="n"/>
      <c r="K1823" s="12">
        <f>IF(OR(ISERROR(VLOOKUP(C1823, Resultados_Reales!$A$4:$I$107, 5, FALSE)), ISERROR(VLOOKUP(C1823, Resultados_Reales!$A$4:$I$107, 6, FALSE)), VLOOKUP(C1823, Resultados_Reales!$A$4:$I$107, 5, FALSE)="", VLOOKUP(C1823, Resultados_Reales!$A$4:$I$107, 6, FALSE)=""), 0, IF(AND(VLOOKUP(C1823, Resultados_Reales!$A$4:$I$107, 5, FALSE)=G1823, VLOOKUP(C1823, Resultados_Reales!$A$4:$I$107, 6, FALSE)=H1823), Configuracion!$B$5, IF(SIGN(VLOOKUP(C1823, Resultados_Reales!$A$4:$I$107, 5, FALSE)-VLOOKUP(C1823, Resultados_Reales!$A$4:$I$107, 6, FALSE)) = SIGN(G1823-H1823), Configuracion!$B$4, 0)))</f>
        <v/>
      </c>
      <c r="L1823" s="11" t="n"/>
      <c r="M1823" s="11" t="n"/>
      <c r="N1823" s="11" t="n"/>
      <c r="O1823" s="11" t="n"/>
      <c r="P1823" s="11" t="n"/>
      <c r="Q1823" s="11" t="n"/>
    </row>
    <row r="1824">
      <c r="A1824" s="8">
        <f>B1824&amp;"_"&amp;C1824</f>
        <v/>
      </c>
      <c r="B1824" s="8" t="n"/>
      <c r="C1824" s="8" t="n"/>
      <c r="D1824" s="8" t="n"/>
      <c r="E1824" s="11" t="n"/>
      <c r="F1824" s="11" t="n"/>
      <c r="G1824" s="8" t="n"/>
      <c r="H1824" s="8" t="n"/>
      <c r="I1824" s="8" t="n"/>
      <c r="J1824" s="8" t="n"/>
      <c r="K1824" s="12">
        <f>IF(OR(ISERROR(VLOOKUP(C1824, Resultados_Reales!$A$4:$I$107, 5, FALSE)), ISERROR(VLOOKUP(C1824, Resultados_Reales!$A$4:$I$107, 6, FALSE)), VLOOKUP(C1824, Resultados_Reales!$A$4:$I$107, 5, FALSE)="", VLOOKUP(C1824, Resultados_Reales!$A$4:$I$107, 6, FALSE)=""), 0, IF(AND(VLOOKUP(C1824, Resultados_Reales!$A$4:$I$107, 5, FALSE)=G1824, VLOOKUP(C1824, Resultados_Reales!$A$4:$I$107, 6, FALSE)=H1824), Configuracion!$B$5, IF(SIGN(VLOOKUP(C1824, Resultados_Reales!$A$4:$I$107, 5, FALSE)-VLOOKUP(C1824, Resultados_Reales!$A$4:$I$107, 6, FALSE)) = SIGN(G1824-H1824), Configuracion!$B$4, 0)))</f>
        <v/>
      </c>
      <c r="L1824" s="11" t="n"/>
      <c r="M1824" s="11" t="n"/>
      <c r="N1824" s="11" t="n"/>
      <c r="O1824" s="11" t="n"/>
      <c r="P1824" s="11" t="n"/>
      <c r="Q1824" s="11" t="n"/>
    </row>
    <row r="1825">
      <c r="A1825" s="8">
        <f>B1825&amp;"_"&amp;C1825</f>
        <v/>
      </c>
      <c r="B1825" s="8" t="n"/>
      <c r="C1825" s="8" t="n"/>
      <c r="D1825" s="8" t="n"/>
      <c r="E1825" s="11" t="n"/>
      <c r="F1825" s="11" t="n"/>
      <c r="G1825" s="8" t="n"/>
      <c r="H1825" s="8" t="n"/>
      <c r="I1825" s="8" t="n"/>
      <c r="J1825" s="8" t="n"/>
      <c r="K1825" s="12">
        <f>IF(OR(ISERROR(VLOOKUP(C1825, Resultados_Reales!$A$4:$I$107, 5, FALSE)), ISERROR(VLOOKUP(C1825, Resultados_Reales!$A$4:$I$107, 6, FALSE)), VLOOKUP(C1825, Resultados_Reales!$A$4:$I$107, 5, FALSE)="", VLOOKUP(C1825, Resultados_Reales!$A$4:$I$107, 6, FALSE)=""), 0, IF(AND(VLOOKUP(C1825, Resultados_Reales!$A$4:$I$107, 5, FALSE)=G1825, VLOOKUP(C1825, Resultados_Reales!$A$4:$I$107, 6, FALSE)=H1825), Configuracion!$B$5, IF(SIGN(VLOOKUP(C1825, Resultados_Reales!$A$4:$I$107, 5, FALSE)-VLOOKUP(C1825, Resultados_Reales!$A$4:$I$107, 6, FALSE)) = SIGN(G1825-H1825), Configuracion!$B$4, 0)))</f>
        <v/>
      </c>
      <c r="L1825" s="11" t="n"/>
      <c r="M1825" s="11" t="n"/>
      <c r="N1825" s="11" t="n"/>
      <c r="O1825" s="11" t="n"/>
      <c r="P1825" s="11" t="n"/>
      <c r="Q1825" s="11" t="n"/>
    </row>
    <row r="1826">
      <c r="A1826" s="8">
        <f>B1826&amp;"_"&amp;C1826</f>
        <v/>
      </c>
      <c r="B1826" s="8" t="n"/>
      <c r="C1826" s="8" t="n"/>
      <c r="D1826" s="8" t="n"/>
      <c r="E1826" s="11" t="n"/>
      <c r="F1826" s="11" t="n"/>
      <c r="G1826" s="8" t="n"/>
      <c r="H1826" s="8" t="n"/>
      <c r="I1826" s="8" t="n"/>
      <c r="J1826" s="8" t="n"/>
      <c r="K1826" s="12">
        <f>IF(OR(ISERROR(VLOOKUP(C1826, Resultados_Reales!$A$4:$I$107, 5, FALSE)), ISERROR(VLOOKUP(C1826, Resultados_Reales!$A$4:$I$107, 6, FALSE)), VLOOKUP(C1826, Resultados_Reales!$A$4:$I$107, 5, FALSE)="", VLOOKUP(C1826, Resultados_Reales!$A$4:$I$107, 6, FALSE)=""), 0, IF(AND(VLOOKUP(C1826, Resultados_Reales!$A$4:$I$107, 5, FALSE)=G1826, VLOOKUP(C1826, Resultados_Reales!$A$4:$I$107, 6, FALSE)=H1826), Configuracion!$B$5, IF(SIGN(VLOOKUP(C1826, Resultados_Reales!$A$4:$I$107, 5, FALSE)-VLOOKUP(C1826, Resultados_Reales!$A$4:$I$107, 6, FALSE)) = SIGN(G1826-H1826), Configuracion!$B$4, 0)))</f>
        <v/>
      </c>
      <c r="L1826" s="11" t="n"/>
      <c r="M1826" s="11" t="n"/>
      <c r="N1826" s="11" t="n"/>
      <c r="O1826" s="11" t="n"/>
      <c r="P1826" s="11" t="n"/>
      <c r="Q1826" s="11" t="n"/>
    </row>
    <row r="1827">
      <c r="A1827" s="8">
        <f>B1827&amp;"_"&amp;C1827</f>
        <v/>
      </c>
      <c r="B1827" s="8" t="n"/>
      <c r="C1827" s="8" t="n"/>
      <c r="D1827" s="8" t="n"/>
      <c r="E1827" s="11" t="n"/>
      <c r="F1827" s="11" t="n"/>
      <c r="G1827" s="8" t="n"/>
      <c r="H1827" s="8" t="n"/>
      <c r="I1827" s="8" t="n"/>
      <c r="J1827" s="8" t="n"/>
      <c r="K1827" s="12">
        <f>IF(OR(ISERROR(VLOOKUP(C1827, Resultados_Reales!$A$4:$I$107, 5, FALSE)), ISERROR(VLOOKUP(C1827, Resultados_Reales!$A$4:$I$107, 6, FALSE)), VLOOKUP(C1827, Resultados_Reales!$A$4:$I$107, 5, FALSE)="", VLOOKUP(C1827, Resultados_Reales!$A$4:$I$107, 6, FALSE)=""), 0, IF(AND(VLOOKUP(C1827, Resultados_Reales!$A$4:$I$107, 5, FALSE)=G1827, VLOOKUP(C1827, Resultados_Reales!$A$4:$I$107, 6, FALSE)=H1827), Configuracion!$B$5, IF(SIGN(VLOOKUP(C1827, Resultados_Reales!$A$4:$I$107, 5, FALSE)-VLOOKUP(C1827, Resultados_Reales!$A$4:$I$107, 6, FALSE)) = SIGN(G1827-H1827), Configuracion!$B$4, 0)))</f>
        <v/>
      </c>
      <c r="L1827" s="11" t="n"/>
      <c r="M1827" s="11" t="n"/>
      <c r="N1827" s="11" t="n"/>
      <c r="O1827" s="11" t="n"/>
      <c r="P1827" s="11" t="n"/>
      <c r="Q1827" s="11" t="n"/>
    </row>
    <row r="1828">
      <c r="A1828" s="8">
        <f>B1828&amp;"_"&amp;C1828</f>
        <v/>
      </c>
      <c r="B1828" s="8" t="n"/>
      <c r="C1828" s="8" t="n"/>
      <c r="D1828" s="8" t="n"/>
      <c r="E1828" s="11" t="n"/>
      <c r="F1828" s="11" t="n"/>
      <c r="G1828" s="8" t="n"/>
      <c r="H1828" s="8" t="n"/>
      <c r="I1828" s="8" t="n"/>
      <c r="J1828" s="8" t="n"/>
      <c r="K1828" s="12">
        <f>IF(OR(ISERROR(VLOOKUP(C1828, Resultados_Reales!$A$4:$I$107, 5, FALSE)), ISERROR(VLOOKUP(C1828, Resultados_Reales!$A$4:$I$107, 6, FALSE)), VLOOKUP(C1828, Resultados_Reales!$A$4:$I$107, 5, FALSE)="", VLOOKUP(C1828, Resultados_Reales!$A$4:$I$107, 6, FALSE)=""), 0, IF(AND(VLOOKUP(C1828, Resultados_Reales!$A$4:$I$107, 5, FALSE)=G1828, VLOOKUP(C1828, Resultados_Reales!$A$4:$I$107, 6, FALSE)=H1828), Configuracion!$B$5, IF(SIGN(VLOOKUP(C1828, Resultados_Reales!$A$4:$I$107, 5, FALSE)-VLOOKUP(C1828, Resultados_Reales!$A$4:$I$107, 6, FALSE)) = SIGN(G1828-H1828), Configuracion!$B$4, 0)))</f>
        <v/>
      </c>
      <c r="L1828" s="11" t="n"/>
      <c r="M1828" s="11" t="n"/>
      <c r="N1828" s="11" t="n"/>
      <c r="O1828" s="11" t="n"/>
      <c r="P1828" s="11" t="n"/>
      <c r="Q1828" s="11" t="n"/>
    </row>
    <row r="1829">
      <c r="A1829" s="8">
        <f>B1829&amp;"_"&amp;C1829</f>
        <v/>
      </c>
      <c r="B1829" s="8" t="n"/>
      <c r="C1829" s="8" t="n"/>
      <c r="D1829" s="8" t="n"/>
      <c r="E1829" s="11" t="n"/>
      <c r="F1829" s="11" t="n"/>
      <c r="G1829" s="8" t="n"/>
      <c r="H1829" s="8" t="n"/>
      <c r="I1829" s="8" t="n"/>
      <c r="J1829" s="8" t="n"/>
      <c r="K1829" s="12">
        <f>IF(OR(ISERROR(VLOOKUP(C1829, Resultados_Reales!$A$4:$I$107, 5, FALSE)), ISERROR(VLOOKUP(C1829, Resultados_Reales!$A$4:$I$107, 6, FALSE)), VLOOKUP(C1829, Resultados_Reales!$A$4:$I$107, 5, FALSE)="", VLOOKUP(C1829, Resultados_Reales!$A$4:$I$107, 6, FALSE)=""), 0, IF(AND(VLOOKUP(C1829, Resultados_Reales!$A$4:$I$107, 5, FALSE)=G1829, VLOOKUP(C1829, Resultados_Reales!$A$4:$I$107, 6, FALSE)=H1829), Configuracion!$B$5, IF(SIGN(VLOOKUP(C1829, Resultados_Reales!$A$4:$I$107, 5, FALSE)-VLOOKUP(C1829, Resultados_Reales!$A$4:$I$107, 6, FALSE)) = SIGN(G1829-H1829), Configuracion!$B$4, 0)))</f>
        <v/>
      </c>
      <c r="L1829" s="11" t="n"/>
      <c r="M1829" s="11" t="n"/>
      <c r="N1829" s="11" t="n"/>
      <c r="O1829" s="11" t="n"/>
      <c r="P1829" s="11" t="n"/>
      <c r="Q1829" s="11" t="n"/>
    </row>
    <row r="1830">
      <c r="A1830" s="8">
        <f>B1830&amp;"_"&amp;C1830</f>
        <v/>
      </c>
      <c r="B1830" s="8" t="n"/>
      <c r="C1830" s="8" t="n"/>
      <c r="D1830" s="8" t="n"/>
      <c r="E1830" s="11" t="n"/>
      <c r="F1830" s="11" t="n"/>
      <c r="G1830" s="8" t="n"/>
      <c r="H1830" s="8" t="n"/>
      <c r="I1830" s="8" t="n"/>
      <c r="J1830" s="8" t="n"/>
      <c r="K1830" s="12">
        <f>IF(OR(ISERROR(VLOOKUP(C1830, Resultados_Reales!$A$4:$I$107, 5, FALSE)), ISERROR(VLOOKUP(C1830, Resultados_Reales!$A$4:$I$107, 6, FALSE)), VLOOKUP(C1830, Resultados_Reales!$A$4:$I$107, 5, FALSE)="", VLOOKUP(C1830, Resultados_Reales!$A$4:$I$107, 6, FALSE)=""), 0, IF(AND(VLOOKUP(C1830, Resultados_Reales!$A$4:$I$107, 5, FALSE)=G1830, VLOOKUP(C1830, Resultados_Reales!$A$4:$I$107, 6, FALSE)=H1830), Configuracion!$B$5, IF(SIGN(VLOOKUP(C1830, Resultados_Reales!$A$4:$I$107, 5, FALSE)-VLOOKUP(C1830, Resultados_Reales!$A$4:$I$107, 6, FALSE)) = SIGN(G1830-H1830), Configuracion!$B$4, 0)))</f>
        <v/>
      </c>
      <c r="L1830" s="11" t="n"/>
      <c r="M1830" s="11" t="n"/>
      <c r="N1830" s="11" t="n"/>
      <c r="O1830" s="11" t="n"/>
      <c r="P1830" s="11" t="n"/>
      <c r="Q1830" s="11" t="n"/>
    </row>
    <row r="1831">
      <c r="A1831" s="8">
        <f>B1831&amp;"_"&amp;C1831</f>
        <v/>
      </c>
      <c r="B1831" s="8" t="n"/>
      <c r="C1831" s="8" t="n"/>
      <c r="D1831" s="8" t="n"/>
      <c r="E1831" s="11" t="n"/>
      <c r="F1831" s="11" t="n"/>
      <c r="G1831" s="8" t="n"/>
      <c r="H1831" s="8" t="n"/>
      <c r="I1831" s="8" t="n"/>
      <c r="J1831" s="8" t="n"/>
      <c r="K1831" s="12">
        <f>IF(OR(ISERROR(VLOOKUP(C1831, Resultados_Reales!$A$4:$I$107, 5, FALSE)), ISERROR(VLOOKUP(C1831, Resultados_Reales!$A$4:$I$107, 6, FALSE)), VLOOKUP(C1831, Resultados_Reales!$A$4:$I$107, 5, FALSE)="", VLOOKUP(C1831, Resultados_Reales!$A$4:$I$107, 6, FALSE)=""), 0, IF(AND(VLOOKUP(C1831, Resultados_Reales!$A$4:$I$107, 5, FALSE)=G1831, VLOOKUP(C1831, Resultados_Reales!$A$4:$I$107, 6, FALSE)=H1831), Configuracion!$B$5, IF(SIGN(VLOOKUP(C1831, Resultados_Reales!$A$4:$I$107, 5, FALSE)-VLOOKUP(C1831, Resultados_Reales!$A$4:$I$107, 6, FALSE)) = SIGN(G1831-H1831), Configuracion!$B$4, 0)))</f>
        <v/>
      </c>
      <c r="L1831" s="11" t="n"/>
      <c r="M1831" s="11" t="n"/>
      <c r="N1831" s="11" t="n"/>
      <c r="O1831" s="11" t="n"/>
      <c r="P1831" s="11" t="n"/>
      <c r="Q1831" s="11" t="n"/>
    </row>
    <row r="1832">
      <c r="A1832" s="8">
        <f>B1832&amp;"_"&amp;C1832</f>
        <v/>
      </c>
      <c r="B1832" s="8" t="n"/>
      <c r="C1832" s="8" t="n"/>
      <c r="D1832" s="8" t="n"/>
      <c r="E1832" s="11" t="n"/>
      <c r="F1832" s="11" t="n"/>
      <c r="G1832" s="8" t="n"/>
      <c r="H1832" s="8" t="n"/>
      <c r="I1832" s="8" t="n"/>
      <c r="J1832" s="8" t="n"/>
      <c r="K1832" s="12">
        <f>IF(OR(ISERROR(VLOOKUP(C1832, Resultados_Reales!$A$4:$I$107, 5, FALSE)), ISERROR(VLOOKUP(C1832, Resultados_Reales!$A$4:$I$107, 6, FALSE)), VLOOKUP(C1832, Resultados_Reales!$A$4:$I$107, 5, FALSE)="", VLOOKUP(C1832, Resultados_Reales!$A$4:$I$107, 6, FALSE)=""), 0, IF(AND(VLOOKUP(C1832, Resultados_Reales!$A$4:$I$107, 5, FALSE)=G1832, VLOOKUP(C1832, Resultados_Reales!$A$4:$I$107, 6, FALSE)=H1832), Configuracion!$B$5, IF(SIGN(VLOOKUP(C1832, Resultados_Reales!$A$4:$I$107, 5, FALSE)-VLOOKUP(C1832, Resultados_Reales!$A$4:$I$107, 6, FALSE)) = SIGN(G1832-H1832), Configuracion!$B$4, 0)))</f>
        <v/>
      </c>
      <c r="L1832" s="11" t="n"/>
      <c r="M1832" s="11" t="n"/>
      <c r="N1832" s="11" t="n"/>
      <c r="O1832" s="11" t="n"/>
      <c r="P1832" s="11" t="n"/>
      <c r="Q1832" s="11" t="n"/>
    </row>
    <row r="1833">
      <c r="A1833" s="8">
        <f>B1833&amp;"_"&amp;C1833</f>
        <v/>
      </c>
      <c r="B1833" s="8" t="n"/>
      <c r="C1833" s="8" t="n"/>
      <c r="D1833" s="8" t="n"/>
      <c r="E1833" s="11" t="n"/>
      <c r="F1833" s="11" t="n"/>
      <c r="G1833" s="8" t="n"/>
      <c r="H1833" s="8" t="n"/>
      <c r="I1833" s="8" t="n"/>
      <c r="J1833" s="8" t="n"/>
      <c r="K1833" s="12">
        <f>IF(OR(ISERROR(VLOOKUP(C1833, Resultados_Reales!$A$4:$I$107, 5, FALSE)), ISERROR(VLOOKUP(C1833, Resultados_Reales!$A$4:$I$107, 6, FALSE)), VLOOKUP(C1833, Resultados_Reales!$A$4:$I$107, 5, FALSE)="", VLOOKUP(C1833, Resultados_Reales!$A$4:$I$107, 6, FALSE)=""), 0, IF(AND(VLOOKUP(C1833, Resultados_Reales!$A$4:$I$107, 5, FALSE)=G1833, VLOOKUP(C1833, Resultados_Reales!$A$4:$I$107, 6, FALSE)=H1833), Configuracion!$B$5, IF(SIGN(VLOOKUP(C1833, Resultados_Reales!$A$4:$I$107, 5, FALSE)-VLOOKUP(C1833, Resultados_Reales!$A$4:$I$107, 6, FALSE)) = SIGN(G1833-H1833), Configuracion!$B$4, 0)))</f>
        <v/>
      </c>
      <c r="L1833" s="11" t="n"/>
      <c r="M1833" s="11" t="n"/>
      <c r="N1833" s="11" t="n"/>
      <c r="O1833" s="11" t="n"/>
      <c r="P1833" s="11" t="n"/>
      <c r="Q1833" s="11" t="n"/>
    </row>
    <row r="1834">
      <c r="A1834" s="8">
        <f>B1834&amp;"_"&amp;C1834</f>
        <v/>
      </c>
      <c r="B1834" s="8" t="n"/>
      <c r="C1834" s="8" t="n"/>
      <c r="D1834" s="8" t="n"/>
      <c r="E1834" s="11" t="n"/>
      <c r="F1834" s="11" t="n"/>
      <c r="G1834" s="8" t="n"/>
      <c r="H1834" s="8" t="n"/>
      <c r="I1834" s="8" t="n"/>
      <c r="J1834" s="8" t="n"/>
      <c r="K1834" s="12">
        <f>IF(OR(ISERROR(VLOOKUP(C1834, Resultados_Reales!$A$4:$I$107, 5, FALSE)), ISERROR(VLOOKUP(C1834, Resultados_Reales!$A$4:$I$107, 6, FALSE)), VLOOKUP(C1834, Resultados_Reales!$A$4:$I$107, 5, FALSE)="", VLOOKUP(C1834, Resultados_Reales!$A$4:$I$107, 6, FALSE)=""), 0, IF(AND(VLOOKUP(C1834, Resultados_Reales!$A$4:$I$107, 5, FALSE)=G1834, VLOOKUP(C1834, Resultados_Reales!$A$4:$I$107, 6, FALSE)=H1834), Configuracion!$B$5, IF(SIGN(VLOOKUP(C1834, Resultados_Reales!$A$4:$I$107, 5, FALSE)-VLOOKUP(C1834, Resultados_Reales!$A$4:$I$107, 6, FALSE)) = SIGN(G1834-H1834), Configuracion!$B$4, 0)))</f>
        <v/>
      </c>
      <c r="L1834" s="11" t="n"/>
      <c r="M1834" s="11" t="n"/>
      <c r="N1834" s="11" t="n"/>
      <c r="O1834" s="11" t="n"/>
      <c r="P1834" s="11" t="n"/>
      <c r="Q1834" s="11" t="n"/>
    </row>
    <row r="1835">
      <c r="A1835" s="8">
        <f>B1835&amp;"_"&amp;C1835</f>
        <v/>
      </c>
      <c r="B1835" s="8" t="n"/>
      <c r="C1835" s="8" t="n"/>
      <c r="D1835" s="8" t="n"/>
      <c r="E1835" s="11" t="n"/>
      <c r="F1835" s="11" t="n"/>
      <c r="G1835" s="8" t="n"/>
      <c r="H1835" s="8" t="n"/>
      <c r="I1835" s="8" t="n"/>
      <c r="J1835" s="8" t="n"/>
      <c r="K1835" s="12">
        <f>IF(OR(ISERROR(VLOOKUP(C1835, Resultados_Reales!$A$4:$I$107, 5, FALSE)), ISERROR(VLOOKUP(C1835, Resultados_Reales!$A$4:$I$107, 6, FALSE)), VLOOKUP(C1835, Resultados_Reales!$A$4:$I$107, 5, FALSE)="", VLOOKUP(C1835, Resultados_Reales!$A$4:$I$107, 6, FALSE)=""), 0, IF(AND(VLOOKUP(C1835, Resultados_Reales!$A$4:$I$107, 5, FALSE)=G1835, VLOOKUP(C1835, Resultados_Reales!$A$4:$I$107, 6, FALSE)=H1835), Configuracion!$B$5, IF(SIGN(VLOOKUP(C1835, Resultados_Reales!$A$4:$I$107, 5, FALSE)-VLOOKUP(C1835, Resultados_Reales!$A$4:$I$107, 6, FALSE)) = SIGN(G1835-H1835), Configuracion!$B$4, 0)))</f>
        <v/>
      </c>
      <c r="L1835" s="11" t="n"/>
      <c r="M1835" s="11" t="n"/>
      <c r="N1835" s="11" t="n"/>
      <c r="O1835" s="11" t="n"/>
      <c r="P1835" s="11" t="n"/>
      <c r="Q1835" s="11" t="n"/>
    </row>
    <row r="1836">
      <c r="A1836" s="8">
        <f>B1836&amp;"_"&amp;C1836</f>
        <v/>
      </c>
      <c r="B1836" s="8" t="n"/>
      <c r="C1836" s="8" t="n"/>
      <c r="D1836" s="8" t="n"/>
      <c r="E1836" s="11" t="n"/>
      <c r="F1836" s="11" t="n"/>
      <c r="G1836" s="8" t="n"/>
      <c r="H1836" s="8" t="n"/>
      <c r="I1836" s="8" t="n"/>
      <c r="J1836" s="8" t="n"/>
      <c r="K1836" s="12">
        <f>IF(OR(ISERROR(VLOOKUP(C1836, Resultados_Reales!$A$4:$I$107, 5, FALSE)), ISERROR(VLOOKUP(C1836, Resultados_Reales!$A$4:$I$107, 6, FALSE)), VLOOKUP(C1836, Resultados_Reales!$A$4:$I$107, 5, FALSE)="", VLOOKUP(C1836, Resultados_Reales!$A$4:$I$107, 6, FALSE)=""), 0, IF(AND(VLOOKUP(C1836, Resultados_Reales!$A$4:$I$107, 5, FALSE)=G1836, VLOOKUP(C1836, Resultados_Reales!$A$4:$I$107, 6, FALSE)=H1836), Configuracion!$B$5, IF(SIGN(VLOOKUP(C1836, Resultados_Reales!$A$4:$I$107, 5, FALSE)-VLOOKUP(C1836, Resultados_Reales!$A$4:$I$107, 6, FALSE)) = SIGN(G1836-H1836), Configuracion!$B$4, 0)))</f>
        <v/>
      </c>
      <c r="L1836" s="11" t="n"/>
      <c r="M1836" s="11" t="n"/>
      <c r="N1836" s="11" t="n"/>
      <c r="O1836" s="11" t="n"/>
      <c r="P1836" s="11" t="n"/>
      <c r="Q1836" s="11" t="n"/>
    </row>
    <row r="1837">
      <c r="A1837" s="8">
        <f>B1837&amp;"_"&amp;C1837</f>
        <v/>
      </c>
      <c r="B1837" s="8" t="n"/>
      <c r="C1837" s="8" t="n"/>
      <c r="D1837" s="8" t="n"/>
      <c r="E1837" s="11" t="n"/>
      <c r="F1837" s="11" t="n"/>
      <c r="G1837" s="8" t="n"/>
      <c r="H1837" s="8" t="n"/>
      <c r="I1837" s="8" t="n"/>
      <c r="J1837" s="8" t="n"/>
      <c r="K1837" s="12">
        <f>IF(OR(ISERROR(VLOOKUP(C1837, Resultados_Reales!$A$4:$I$107, 5, FALSE)), ISERROR(VLOOKUP(C1837, Resultados_Reales!$A$4:$I$107, 6, FALSE)), VLOOKUP(C1837, Resultados_Reales!$A$4:$I$107, 5, FALSE)="", VLOOKUP(C1837, Resultados_Reales!$A$4:$I$107, 6, FALSE)=""), 0, IF(AND(VLOOKUP(C1837, Resultados_Reales!$A$4:$I$107, 5, FALSE)=G1837, VLOOKUP(C1837, Resultados_Reales!$A$4:$I$107, 6, FALSE)=H1837), Configuracion!$B$5, IF(SIGN(VLOOKUP(C1837, Resultados_Reales!$A$4:$I$107, 5, FALSE)-VLOOKUP(C1837, Resultados_Reales!$A$4:$I$107, 6, FALSE)) = SIGN(G1837-H1837), Configuracion!$B$4, 0)))</f>
        <v/>
      </c>
      <c r="L1837" s="11" t="n"/>
      <c r="M1837" s="11" t="n"/>
      <c r="N1837" s="11" t="n"/>
      <c r="O1837" s="11" t="n"/>
      <c r="P1837" s="11" t="n"/>
      <c r="Q1837" s="11" t="n"/>
    </row>
    <row r="1838">
      <c r="A1838" s="8">
        <f>B1838&amp;"_"&amp;C1838</f>
        <v/>
      </c>
      <c r="B1838" s="8" t="n"/>
      <c r="C1838" s="8" t="n"/>
      <c r="D1838" s="8" t="n"/>
      <c r="E1838" s="11" t="n"/>
      <c r="F1838" s="11" t="n"/>
      <c r="G1838" s="8" t="n"/>
      <c r="H1838" s="8" t="n"/>
      <c r="I1838" s="8" t="n"/>
      <c r="J1838" s="8" t="n"/>
      <c r="K1838" s="12">
        <f>IF(OR(ISERROR(VLOOKUP(C1838, Resultados_Reales!$A$4:$I$107, 5, FALSE)), ISERROR(VLOOKUP(C1838, Resultados_Reales!$A$4:$I$107, 6, FALSE)), VLOOKUP(C1838, Resultados_Reales!$A$4:$I$107, 5, FALSE)="", VLOOKUP(C1838, Resultados_Reales!$A$4:$I$107, 6, FALSE)=""), 0, IF(AND(VLOOKUP(C1838, Resultados_Reales!$A$4:$I$107, 5, FALSE)=G1838, VLOOKUP(C1838, Resultados_Reales!$A$4:$I$107, 6, FALSE)=H1838), Configuracion!$B$5, IF(SIGN(VLOOKUP(C1838, Resultados_Reales!$A$4:$I$107, 5, FALSE)-VLOOKUP(C1838, Resultados_Reales!$A$4:$I$107, 6, FALSE)) = SIGN(G1838-H1838), Configuracion!$B$4, 0)))</f>
        <v/>
      </c>
      <c r="L1838" s="11" t="n"/>
      <c r="M1838" s="11" t="n"/>
      <c r="N1838" s="11" t="n"/>
      <c r="O1838" s="11" t="n"/>
      <c r="P1838" s="11" t="n"/>
      <c r="Q1838" s="11" t="n"/>
    </row>
    <row r="1839">
      <c r="A1839" s="8">
        <f>B1839&amp;"_"&amp;C1839</f>
        <v/>
      </c>
      <c r="B1839" s="8" t="n"/>
      <c r="C1839" s="8" t="n"/>
      <c r="D1839" s="8" t="n"/>
      <c r="E1839" s="11" t="n"/>
      <c r="F1839" s="11" t="n"/>
      <c r="G1839" s="8" t="n"/>
      <c r="H1839" s="8" t="n"/>
      <c r="I1839" s="8" t="n"/>
      <c r="J1839" s="8" t="n"/>
      <c r="K1839" s="12">
        <f>IF(OR(ISERROR(VLOOKUP(C1839, Resultados_Reales!$A$4:$I$107, 5, FALSE)), ISERROR(VLOOKUP(C1839, Resultados_Reales!$A$4:$I$107, 6, FALSE)), VLOOKUP(C1839, Resultados_Reales!$A$4:$I$107, 5, FALSE)="", VLOOKUP(C1839, Resultados_Reales!$A$4:$I$107, 6, FALSE)=""), 0, IF(AND(VLOOKUP(C1839, Resultados_Reales!$A$4:$I$107, 5, FALSE)=G1839, VLOOKUP(C1839, Resultados_Reales!$A$4:$I$107, 6, FALSE)=H1839), Configuracion!$B$5, IF(SIGN(VLOOKUP(C1839, Resultados_Reales!$A$4:$I$107, 5, FALSE)-VLOOKUP(C1839, Resultados_Reales!$A$4:$I$107, 6, FALSE)) = SIGN(G1839-H1839), Configuracion!$B$4, 0)))</f>
        <v/>
      </c>
      <c r="L1839" s="11" t="n"/>
      <c r="M1839" s="11" t="n"/>
      <c r="N1839" s="11" t="n"/>
      <c r="O1839" s="11" t="n"/>
      <c r="P1839" s="11" t="n"/>
      <c r="Q1839" s="11" t="n"/>
    </row>
    <row r="1840">
      <c r="A1840" s="8">
        <f>B1840&amp;"_"&amp;C1840</f>
        <v/>
      </c>
      <c r="B1840" s="8" t="n"/>
      <c r="C1840" s="8" t="n"/>
      <c r="D1840" s="8" t="n"/>
      <c r="E1840" s="11" t="n"/>
      <c r="F1840" s="11" t="n"/>
      <c r="G1840" s="8" t="n"/>
      <c r="H1840" s="8" t="n"/>
      <c r="I1840" s="8" t="n"/>
      <c r="J1840" s="8" t="n"/>
      <c r="K1840" s="12">
        <f>IF(OR(ISERROR(VLOOKUP(C1840, Resultados_Reales!$A$4:$I$107, 5, FALSE)), ISERROR(VLOOKUP(C1840, Resultados_Reales!$A$4:$I$107, 6, FALSE)), VLOOKUP(C1840, Resultados_Reales!$A$4:$I$107, 5, FALSE)="", VLOOKUP(C1840, Resultados_Reales!$A$4:$I$107, 6, FALSE)=""), 0, IF(AND(VLOOKUP(C1840, Resultados_Reales!$A$4:$I$107, 5, FALSE)=G1840, VLOOKUP(C1840, Resultados_Reales!$A$4:$I$107, 6, FALSE)=H1840), Configuracion!$B$5, IF(SIGN(VLOOKUP(C1840, Resultados_Reales!$A$4:$I$107, 5, FALSE)-VLOOKUP(C1840, Resultados_Reales!$A$4:$I$107, 6, FALSE)) = SIGN(G1840-H1840), Configuracion!$B$4, 0)))</f>
        <v/>
      </c>
      <c r="L1840" s="11" t="n"/>
      <c r="M1840" s="11" t="n"/>
      <c r="N1840" s="11" t="n"/>
      <c r="O1840" s="11" t="n"/>
      <c r="P1840" s="11" t="n"/>
      <c r="Q1840" s="11" t="n"/>
    </row>
    <row r="1841">
      <c r="A1841" s="8">
        <f>B1841&amp;"_"&amp;C1841</f>
        <v/>
      </c>
      <c r="B1841" s="8" t="n"/>
      <c r="C1841" s="8" t="n"/>
      <c r="D1841" s="8" t="n"/>
      <c r="E1841" s="11" t="n"/>
      <c r="F1841" s="11" t="n"/>
      <c r="G1841" s="8" t="n"/>
      <c r="H1841" s="8" t="n"/>
      <c r="I1841" s="8" t="n"/>
      <c r="J1841" s="8" t="n"/>
      <c r="K1841" s="12">
        <f>IF(OR(ISERROR(VLOOKUP(C1841, Resultados_Reales!$A$4:$I$107, 5, FALSE)), ISERROR(VLOOKUP(C1841, Resultados_Reales!$A$4:$I$107, 6, FALSE)), VLOOKUP(C1841, Resultados_Reales!$A$4:$I$107, 5, FALSE)="", VLOOKUP(C1841, Resultados_Reales!$A$4:$I$107, 6, FALSE)=""), 0, IF(AND(VLOOKUP(C1841, Resultados_Reales!$A$4:$I$107, 5, FALSE)=G1841, VLOOKUP(C1841, Resultados_Reales!$A$4:$I$107, 6, FALSE)=H1841), Configuracion!$B$5, IF(SIGN(VLOOKUP(C1841, Resultados_Reales!$A$4:$I$107, 5, FALSE)-VLOOKUP(C1841, Resultados_Reales!$A$4:$I$107, 6, FALSE)) = SIGN(G1841-H1841), Configuracion!$B$4, 0)))</f>
        <v/>
      </c>
      <c r="L1841" s="11" t="n"/>
      <c r="M1841" s="11" t="n"/>
      <c r="N1841" s="11" t="n"/>
      <c r="O1841" s="11" t="n"/>
      <c r="P1841" s="11" t="n"/>
      <c r="Q1841" s="11" t="n"/>
    </row>
    <row r="1842">
      <c r="A1842" s="8">
        <f>B1842&amp;"_"&amp;C1842</f>
        <v/>
      </c>
      <c r="B1842" s="8" t="n"/>
      <c r="C1842" s="8" t="n"/>
      <c r="D1842" s="8" t="n"/>
      <c r="E1842" s="11" t="n"/>
      <c r="F1842" s="11" t="n"/>
      <c r="G1842" s="8" t="n"/>
      <c r="H1842" s="8" t="n"/>
      <c r="I1842" s="8" t="n"/>
      <c r="J1842" s="8" t="n"/>
      <c r="K1842" s="12">
        <f>IF(OR(ISERROR(VLOOKUP(C1842, Resultados_Reales!$A$4:$I$107, 5, FALSE)), ISERROR(VLOOKUP(C1842, Resultados_Reales!$A$4:$I$107, 6, FALSE)), VLOOKUP(C1842, Resultados_Reales!$A$4:$I$107, 5, FALSE)="", VLOOKUP(C1842, Resultados_Reales!$A$4:$I$107, 6, FALSE)=""), 0, IF(AND(VLOOKUP(C1842, Resultados_Reales!$A$4:$I$107, 5, FALSE)=G1842, VLOOKUP(C1842, Resultados_Reales!$A$4:$I$107, 6, FALSE)=H1842), Configuracion!$B$5, IF(SIGN(VLOOKUP(C1842, Resultados_Reales!$A$4:$I$107, 5, FALSE)-VLOOKUP(C1842, Resultados_Reales!$A$4:$I$107, 6, FALSE)) = SIGN(G1842-H1842), Configuracion!$B$4, 0)))</f>
        <v/>
      </c>
      <c r="L1842" s="11" t="n"/>
      <c r="M1842" s="11" t="n"/>
      <c r="N1842" s="11" t="n"/>
      <c r="O1842" s="11" t="n"/>
      <c r="P1842" s="11" t="n"/>
      <c r="Q1842" s="11" t="n"/>
    </row>
    <row r="1843">
      <c r="A1843" s="8">
        <f>B1843&amp;"_"&amp;C1843</f>
        <v/>
      </c>
      <c r="B1843" s="8" t="n"/>
      <c r="C1843" s="8" t="n"/>
      <c r="D1843" s="8" t="n"/>
      <c r="E1843" s="11" t="n"/>
      <c r="F1843" s="11" t="n"/>
      <c r="G1843" s="8" t="n"/>
      <c r="H1843" s="8" t="n"/>
      <c r="I1843" s="8" t="n"/>
      <c r="J1843" s="8" t="n"/>
      <c r="K1843" s="12">
        <f>IF(OR(ISERROR(VLOOKUP(C1843, Resultados_Reales!$A$4:$I$107, 5, FALSE)), ISERROR(VLOOKUP(C1843, Resultados_Reales!$A$4:$I$107, 6, FALSE)), VLOOKUP(C1843, Resultados_Reales!$A$4:$I$107, 5, FALSE)="", VLOOKUP(C1843, Resultados_Reales!$A$4:$I$107, 6, FALSE)=""), 0, IF(AND(VLOOKUP(C1843, Resultados_Reales!$A$4:$I$107, 5, FALSE)=G1843, VLOOKUP(C1843, Resultados_Reales!$A$4:$I$107, 6, FALSE)=H1843), Configuracion!$B$5, IF(SIGN(VLOOKUP(C1843, Resultados_Reales!$A$4:$I$107, 5, FALSE)-VLOOKUP(C1843, Resultados_Reales!$A$4:$I$107, 6, FALSE)) = SIGN(G1843-H1843), Configuracion!$B$4, 0)))</f>
        <v/>
      </c>
      <c r="L1843" s="11" t="n"/>
      <c r="M1843" s="11" t="n"/>
      <c r="N1843" s="11" t="n"/>
      <c r="O1843" s="11" t="n"/>
      <c r="P1843" s="11" t="n"/>
      <c r="Q1843" s="11" t="n"/>
    </row>
    <row r="1844">
      <c r="A1844" s="8">
        <f>B1844&amp;"_"&amp;C1844</f>
        <v/>
      </c>
      <c r="B1844" s="8" t="n"/>
      <c r="C1844" s="8" t="n"/>
      <c r="D1844" s="8" t="n"/>
      <c r="E1844" s="11" t="n"/>
      <c r="F1844" s="11" t="n"/>
      <c r="G1844" s="8" t="n"/>
      <c r="H1844" s="8" t="n"/>
      <c r="I1844" s="8" t="n"/>
      <c r="J1844" s="8" t="n"/>
      <c r="K1844" s="12">
        <f>IF(OR(ISERROR(VLOOKUP(C1844, Resultados_Reales!$A$4:$I$107, 5, FALSE)), ISERROR(VLOOKUP(C1844, Resultados_Reales!$A$4:$I$107, 6, FALSE)), VLOOKUP(C1844, Resultados_Reales!$A$4:$I$107, 5, FALSE)="", VLOOKUP(C1844, Resultados_Reales!$A$4:$I$107, 6, FALSE)=""), 0, IF(AND(VLOOKUP(C1844, Resultados_Reales!$A$4:$I$107, 5, FALSE)=G1844, VLOOKUP(C1844, Resultados_Reales!$A$4:$I$107, 6, FALSE)=H1844), Configuracion!$B$5, IF(SIGN(VLOOKUP(C1844, Resultados_Reales!$A$4:$I$107, 5, FALSE)-VLOOKUP(C1844, Resultados_Reales!$A$4:$I$107, 6, FALSE)) = SIGN(G1844-H1844), Configuracion!$B$4, 0)))</f>
        <v/>
      </c>
      <c r="L1844" s="11" t="n"/>
      <c r="M1844" s="11" t="n"/>
      <c r="N1844" s="11" t="n"/>
      <c r="O1844" s="11" t="n"/>
      <c r="P1844" s="11" t="n"/>
      <c r="Q1844" s="11" t="n"/>
    </row>
    <row r="1845">
      <c r="A1845" s="8">
        <f>B1845&amp;"_"&amp;C1845</f>
        <v/>
      </c>
      <c r="B1845" s="8" t="n"/>
      <c r="C1845" s="8" t="n"/>
      <c r="D1845" s="8" t="n"/>
      <c r="E1845" s="11" t="n"/>
      <c r="F1845" s="11" t="n"/>
      <c r="G1845" s="8" t="n"/>
      <c r="H1845" s="8" t="n"/>
      <c r="I1845" s="8" t="n"/>
      <c r="J1845" s="8" t="n"/>
      <c r="K1845" s="12">
        <f>IF(OR(ISERROR(VLOOKUP(C1845, Resultados_Reales!$A$4:$I$107, 5, FALSE)), ISERROR(VLOOKUP(C1845, Resultados_Reales!$A$4:$I$107, 6, FALSE)), VLOOKUP(C1845, Resultados_Reales!$A$4:$I$107, 5, FALSE)="", VLOOKUP(C1845, Resultados_Reales!$A$4:$I$107, 6, FALSE)=""), 0, IF(AND(VLOOKUP(C1845, Resultados_Reales!$A$4:$I$107, 5, FALSE)=G1845, VLOOKUP(C1845, Resultados_Reales!$A$4:$I$107, 6, FALSE)=H1845), Configuracion!$B$5, IF(SIGN(VLOOKUP(C1845, Resultados_Reales!$A$4:$I$107, 5, FALSE)-VLOOKUP(C1845, Resultados_Reales!$A$4:$I$107, 6, FALSE)) = SIGN(G1845-H1845), Configuracion!$B$4, 0)))</f>
        <v/>
      </c>
      <c r="L1845" s="11" t="n"/>
      <c r="M1845" s="11" t="n"/>
      <c r="N1845" s="11" t="n"/>
      <c r="O1845" s="11" t="n"/>
      <c r="P1845" s="11" t="n"/>
      <c r="Q1845" s="11" t="n"/>
    </row>
    <row r="1846">
      <c r="A1846" s="8">
        <f>B1846&amp;"_"&amp;C1846</f>
        <v/>
      </c>
      <c r="B1846" s="8" t="n"/>
      <c r="C1846" s="8" t="n"/>
      <c r="D1846" s="8" t="n"/>
      <c r="E1846" s="11" t="n"/>
      <c r="F1846" s="11" t="n"/>
      <c r="G1846" s="8" t="n"/>
      <c r="H1846" s="8" t="n"/>
      <c r="I1846" s="8" t="n"/>
      <c r="J1846" s="8" t="n"/>
      <c r="K1846" s="12">
        <f>IF(OR(ISERROR(VLOOKUP(C1846, Resultados_Reales!$A$4:$I$107, 5, FALSE)), ISERROR(VLOOKUP(C1846, Resultados_Reales!$A$4:$I$107, 6, FALSE)), VLOOKUP(C1846, Resultados_Reales!$A$4:$I$107, 5, FALSE)="", VLOOKUP(C1846, Resultados_Reales!$A$4:$I$107, 6, FALSE)=""), 0, IF(AND(VLOOKUP(C1846, Resultados_Reales!$A$4:$I$107, 5, FALSE)=G1846, VLOOKUP(C1846, Resultados_Reales!$A$4:$I$107, 6, FALSE)=H1846), Configuracion!$B$5, IF(SIGN(VLOOKUP(C1846, Resultados_Reales!$A$4:$I$107, 5, FALSE)-VLOOKUP(C1846, Resultados_Reales!$A$4:$I$107, 6, FALSE)) = SIGN(G1846-H1846), Configuracion!$B$4, 0)))</f>
        <v/>
      </c>
      <c r="L1846" s="11" t="n"/>
      <c r="M1846" s="11" t="n"/>
      <c r="N1846" s="11" t="n"/>
      <c r="O1846" s="11" t="n"/>
      <c r="P1846" s="11" t="n"/>
      <c r="Q1846" s="11" t="n"/>
    </row>
    <row r="1847">
      <c r="A1847" s="8">
        <f>B1847&amp;"_"&amp;C1847</f>
        <v/>
      </c>
      <c r="B1847" s="8" t="n"/>
      <c r="C1847" s="8" t="n"/>
      <c r="D1847" s="8" t="n"/>
      <c r="E1847" s="11" t="n"/>
      <c r="F1847" s="11" t="n"/>
      <c r="G1847" s="8" t="n"/>
      <c r="H1847" s="8" t="n"/>
      <c r="I1847" s="8" t="n"/>
      <c r="J1847" s="8" t="n"/>
      <c r="K1847" s="12">
        <f>IF(OR(ISERROR(VLOOKUP(C1847, Resultados_Reales!$A$4:$I$107, 5, FALSE)), ISERROR(VLOOKUP(C1847, Resultados_Reales!$A$4:$I$107, 6, FALSE)), VLOOKUP(C1847, Resultados_Reales!$A$4:$I$107, 5, FALSE)="", VLOOKUP(C1847, Resultados_Reales!$A$4:$I$107, 6, FALSE)=""), 0, IF(AND(VLOOKUP(C1847, Resultados_Reales!$A$4:$I$107, 5, FALSE)=G1847, VLOOKUP(C1847, Resultados_Reales!$A$4:$I$107, 6, FALSE)=H1847), Configuracion!$B$5, IF(SIGN(VLOOKUP(C1847, Resultados_Reales!$A$4:$I$107, 5, FALSE)-VLOOKUP(C1847, Resultados_Reales!$A$4:$I$107, 6, FALSE)) = SIGN(G1847-H1847), Configuracion!$B$4, 0)))</f>
        <v/>
      </c>
      <c r="L1847" s="11" t="n"/>
      <c r="M1847" s="11" t="n"/>
      <c r="N1847" s="11" t="n"/>
      <c r="O1847" s="11" t="n"/>
      <c r="P1847" s="11" t="n"/>
      <c r="Q1847" s="11" t="n"/>
    </row>
    <row r="1848">
      <c r="A1848" s="8">
        <f>B1848&amp;"_"&amp;C1848</f>
        <v/>
      </c>
      <c r="B1848" s="8" t="n"/>
      <c r="C1848" s="8" t="n"/>
      <c r="D1848" s="8" t="n"/>
      <c r="E1848" s="11" t="n"/>
      <c r="F1848" s="11" t="n"/>
      <c r="G1848" s="8" t="n"/>
      <c r="H1848" s="8" t="n"/>
      <c r="I1848" s="8" t="n"/>
      <c r="J1848" s="8" t="n"/>
      <c r="K1848" s="12">
        <f>IF(OR(ISERROR(VLOOKUP(C1848, Resultados_Reales!$A$4:$I$107, 5, FALSE)), ISERROR(VLOOKUP(C1848, Resultados_Reales!$A$4:$I$107, 6, FALSE)), VLOOKUP(C1848, Resultados_Reales!$A$4:$I$107, 5, FALSE)="", VLOOKUP(C1848, Resultados_Reales!$A$4:$I$107, 6, FALSE)=""), 0, IF(AND(VLOOKUP(C1848, Resultados_Reales!$A$4:$I$107, 5, FALSE)=G1848, VLOOKUP(C1848, Resultados_Reales!$A$4:$I$107, 6, FALSE)=H1848), Configuracion!$B$5, IF(SIGN(VLOOKUP(C1848, Resultados_Reales!$A$4:$I$107, 5, FALSE)-VLOOKUP(C1848, Resultados_Reales!$A$4:$I$107, 6, FALSE)) = SIGN(G1848-H1848), Configuracion!$B$4, 0)))</f>
        <v/>
      </c>
      <c r="L1848" s="11" t="n"/>
      <c r="M1848" s="11" t="n"/>
      <c r="N1848" s="11" t="n"/>
      <c r="O1848" s="11" t="n"/>
      <c r="P1848" s="11" t="n"/>
      <c r="Q1848" s="11" t="n"/>
    </row>
    <row r="1849">
      <c r="A1849" s="8">
        <f>B1849&amp;"_"&amp;C1849</f>
        <v/>
      </c>
      <c r="B1849" s="8" t="n"/>
      <c r="C1849" s="8" t="n"/>
      <c r="D1849" s="8" t="n"/>
      <c r="E1849" s="11" t="n"/>
      <c r="F1849" s="11" t="n"/>
      <c r="G1849" s="8" t="n"/>
      <c r="H1849" s="8" t="n"/>
      <c r="I1849" s="8" t="n"/>
      <c r="J1849" s="8" t="n"/>
      <c r="K1849" s="12">
        <f>IF(OR(ISERROR(VLOOKUP(C1849, Resultados_Reales!$A$4:$I$107, 5, FALSE)), ISERROR(VLOOKUP(C1849, Resultados_Reales!$A$4:$I$107, 6, FALSE)), VLOOKUP(C1849, Resultados_Reales!$A$4:$I$107, 5, FALSE)="", VLOOKUP(C1849, Resultados_Reales!$A$4:$I$107, 6, FALSE)=""), 0, IF(AND(VLOOKUP(C1849, Resultados_Reales!$A$4:$I$107, 5, FALSE)=G1849, VLOOKUP(C1849, Resultados_Reales!$A$4:$I$107, 6, FALSE)=H1849), Configuracion!$B$5, IF(SIGN(VLOOKUP(C1849, Resultados_Reales!$A$4:$I$107, 5, FALSE)-VLOOKUP(C1849, Resultados_Reales!$A$4:$I$107, 6, FALSE)) = SIGN(G1849-H1849), Configuracion!$B$4, 0)))</f>
        <v/>
      </c>
      <c r="L1849" s="11" t="n"/>
      <c r="M1849" s="11" t="n"/>
      <c r="N1849" s="11" t="n"/>
      <c r="O1849" s="11" t="n"/>
      <c r="P1849" s="11" t="n"/>
      <c r="Q1849" s="11" t="n"/>
    </row>
    <row r="1850">
      <c r="A1850" s="8">
        <f>B1850&amp;"_"&amp;C1850</f>
        <v/>
      </c>
      <c r="B1850" s="8" t="n"/>
      <c r="C1850" s="8" t="n"/>
      <c r="D1850" s="8" t="n"/>
      <c r="E1850" s="11" t="n"/>
      <c r="F1850" s="11" t="n"/>
      <c r="G1850" s="8" t="n"/>
      <c r="H1850" s="8" t="n"/>
      <c r="I1850" s="8" t="n"/>
      <c r="J1850" s="8" t="n"/>
      <c r="K1850" s="12">
        <f>IF(OR(ISERROR(VLOOKUP(C1850, Resultados_Reales!$A$4:$I$107, 5, FALSE)), ISERROR(VLOOKUP(C1850, Resultados_Reales!$A$4:$I$107, 6, FALSE)), VLOOKUP(C1850, Resultados_Reales!$A$4:$I$107, 5, FALSE)="", VLOOKUP(C1850, Resultados_Reales!$A$4:$I$107, 6, FALSE)=""), 0, IF(AND(VLOOKUP(C1850, Resultados_Reales!$A$4:$I$107, 5, FALSE)=G1850, VLOOKUP(C1850, Resultados_Reales!$A$4:$I$107, 6, FALSE)=H1850), Configuracion!$B$5, IF(SIGN(VLOOKUP(C1850, Resultados_Reales!$A$4:$I$107, 5, FALSE)-VLOOKUP(C1850, Resultados_Reales!$A$4:$I$107, 6, FALSE)) = SIGN(G1850-H1850), Configuracion!$B$4, 0)))</f>
        <v/>
      </c>
      <c r="L1850" s="11" t="n"/>
      <c r="M1850" s="11" t="n"/>
      <c r="N1850" s="11" t="n"/>
      <c r="O1850" s="11" t="n"/>
      <c r="P1850" s="11" t="n"/>
      <c r="Q1850" s="11" t="n"/>
    </row>
    <row r="1851">
      <c r="A1851" s="8">
        <f>B1851&amp;"_"&amp;C1851</f>
        <v/>
      </c>
      <c r="B1851" s="8" t="n"/>
      <c r="C1851" s="8" t="n"/>
      <c r="D1851" s="8" t="n"/>
      <c r="E1851" s="11" t="n"/>
      <c r="F1851" s="11" t="n"/>
      <c r="G1851" s="8" t="n"/>
      <c r="H1851" s="8" t="n"/>
      <c r="I1851" s="8" t="n"/>
      <c r="J1851" s="8" t="n"/>
      <c r="K1851" s="12">
        <f>IF(OR(ISERROR(VLOOKUP(C1851, Resultados_Reales!$A$4:$I$107, 5, FALSE)), ISERROR(VLOOKUP(C1851, Resultados_Reales!$A$4:$I$107, 6, FALSE)), VLOOKUP(C1851, Resultados_Reales!$A$4:$I$107, 5, FALSE)="", VLOOKUP(C1851, Resultados_Reales!$A$4:$I$107, 6, FALSE)=""), 0, IF(AND(VLOOKUP(C1851, Resultados_Reales!$A$4:$I$107, 5, FALSE)=G1851, VLOOKUP(C1851, Resultados_Reales!$A$4:$I$107, 6, FALSE)=H1851), Configuracion!$B$5, IF(SIGN(VLOOKUP(C1851, Resultados_Reales!$A$4:$I$107, 5, FALSE)-VLOOKUP(C1851, Resultados_Reales!$A$4:$I$107, 6, FALSE)) = SIGN(G1851-H1851), Configuracion!$B$4, 0)))</f>
        <v/>
      </c>
      <c r="L1851" s="11" t="n"/>
      <c r="M1851" s="11" t="n"/>
      <c r="N1851" s="11" t="n"/>
      <c r="O1851" s="11" t="n"/>
      <c r="P1851" s="11" t="n"/>
      <c r="Q1851" s="11" t="n"/>
    </row>
    <row r="1852">
      <c r="A1852" s="8">
        <f>B1852&amp;"_"&amp;C1852</f>
        <v/>
      </c>
      <c r="B1852" s="8" t="n"/>
      <c r="C1852" s="8" t="n"/>
      <c r="D1852" s="8" t="n"/>
      <c r="E1852" s="11" t="n"/>
      <c r="F1852" s="11" t="n"/>
      <c r="G1852" s="8" t="n"/>
      <c r="H1852" s="8" t="n"/>
      <c r="I1852" s="8" t="n"/>
      <c r="J1852" s="8" t="n"/>
      <c r="K1852" s="12">
        <f>IF(OR(ISERROR(VLOOKUP(C1852, Resultados_Reales!$A$4:$I$107, 5, FALSE)), ISERROR(VLOOKUP(C1852, Resultados_Reales!$A$4:$I$107, 6, FALSE)), VLOOKUP(C1852, Resultados_Reales!$A$4:$I$107, 5, FALSE)="", VLOOKUP(C1852, Resultados_Reales!$A$4:$I$107, 6, FALSE)=""), 0, IF(AND(VLOOKUP(C1852, Resultados_Reales!$A$4:$I$107, 5, FALSE)=G1852, VLOOKUP(C1852, Resultados_Reales!$A$4:$I$107, 6, FALSE)=H1852), Configuracion!$B$5, IF(SIGN(VLOOKUP(C1852, Resultados_Reales!$A$4:$I$107, 5, FALSE)-VLOOKUP(C1852, Resultados_Reales!$A$4:$I$107, 6, FALSE)) = SIGN(G1852-H1852), Configuracion!$B$4, 0)))</f>
        <v/>
      </c>
      <c r="L1852" s="11" t="n"/>
      <c r="M1852" s="11" t="n"/>
      <c r="N1852" s="11" t="n"/>
      <c r="O1852" s="11" t="n"/>
      <c r="P1852" s="11" t="n"/>
      <c r="Q1852" s="11" t="n"/>
    </row>
    <row r="1853">
      <c r="A1853" s="8">
        <f>B1853&amp;"_"&amp;C1853</f>
        <v/>
      </c>
      <c r="B1853" s="8" t="n"/>
      <c r="C1853" s="8" t="n"/>
      <c r="D1853" s="8" t="n"/>
      <c r="E1853" s="11" t="n"/>
      <c r="F1853" s="11" t="n"/>
      <c r="G1853" s="8" t="n"/>
      <c r="H1853" s="8" t="n"/>
      <c r="I1853" s="8" t="n"/>
      <c r="J1853" s="8" t="n"/>
      <c r="K1853" s="12">
        <f>IF(OR(ISERROR(VLOOKUP(C1853, Resultados_Reales!$A$4:$I$107, 5, FALSE)), ISERROR(VLOOKUP(C1853, Resultados_Reales!$A$4:$I$107, 6, FALSE)), VLOOKUP(C1853, Resultados_Reales!$A$4:$I$107, 5, FALSE)="", VLOOKUP(C1853, Resultados_Reales!$A$4:$I$107, 6, FALSE)=""), 0, IF(AND(VLOOKUP(C1853, Resultados_Reales!$A$4:$I$107, 5, FALSE)=G1853, VLOOKUP(C1853, Resultados_Reales!$A$4:$I$107, 6, FALSE)=H1853), Configuracion!$B$5, IF(SIGN(VLOOKUP(C1853, Resultados_Reales!$A$4:$I$107, 5, FALSE)-VLOOKUP(C1853, Resultados_Reales!$A$4:$I$107, 6, FALSE)) = SIGN(G1853-H1853), Configuracion!$B$4, 0)))</f>
        <v/>
      </c>
      <c r="L1853" s="11" t="n"/>
      <c r="M1853" s="11" t="n"/>
      <c r="N1853" s="11" t="n"/>
      <c r="O1853" s="11" t="n"/>
      <c r="P1853" s="11" t="n"/>
      <c r="Q1853" s="11" t="n"/>
    </row>
    <row r="1854">
      <c r="A1854" s="8">
        <f>B1854&amp;"_"&amp;C1854</f>
        <v/>
      </c>
      <c r="B1854" s="8" t="n"/>
      <c r="C1854" s="8" t="n"/>
      <c r="D1854" s="8" t="n"/>
      <c r="E1854" s="11" t="n"/>
      <c r="F1854" s="11" t="n"/>
      <c r="G1854" s="8" t="n"/>
      <c r="H1854" s="8" t="n"/>
      <c r="I1854" s="8" t="n"/>
      <c r="J1854" s="8" t="n"/>
      <c r="K1854" s="12">
        <f>IF(OR(ISERROR(VLOOKUP(C1854, Resultados_Reales!$A$4:$I$107, 5, FALSE)), ISERROR(VLOOKUP(C1854, Resultados_Reales!$A$4:$I$107, 6, FALSE)), VLOOKUP(C1854, Resultados_Reales!$A$4:$I$107, 5, FALSE)="", VLOOKUP(C1854, Resultados_Reales!$A$4:$I$107, 6, FALSE)=""), 0, IF(AND(VLOOKUP(C1854, Resultados_Reales!$A$4:$I$107, 5, FALSE)=G1854, VLOOKUP(C1854, Resultados_Reales!$A$4:$I$107, 6, FALSE)=H1854), Configuracion!$B$5, IF(SIGN(VLOOKUP(C1854, Resultados_Reales!$A$4:$I$107, 5, FALSE)-VLOOKUP(C1854, Resultados_Reales!$A$4:$I$107, 6, FALSE)) = SIGN(G1854-H1854), Configuracion!$B$4, 0)))</f>
        <v/>
      </c>
      <c r="L1854" s="11" t="n"/>
      <c r="M1854" s="11" t="n"/>
      <c r="N1854" s="11" t="n"/>
      <c r="O1854" s="11" t="n"/>
      <c r="P1854" s="11" t="n"/>
      <c r="Q1854" s="11" t="n"/>
    </row>
    <row r="1855">
      <c r="A1855" s="8">
        <f>B1855&amp;"_"&amp;C1855</f>
        <v/>
      </c>
      <c r="B1855" s="8" t="n"/>
      <c r="C1855" s="8" t="n"/>
      <c r="D1855" s="8" t="n"/>
      <c r="E1855" s="11" t="n"/>
      <c r="F1855" s="11" t="n"/>
      <c r="G1855" s="8" t="n"/>
      <c r="H1855" s="8" t="n"/>
      <c r="I1855" s="8" t="n"/>
      <c r="J1855" s="8" t="n"/>
      <c r="K1855" s="12">
        <f>IF(OR(ISERROR(VLOOKUP(C1855, Resultados_Reales!$A$4:$I$107, 5, FALSE)), ISERROR(VLOOKUP(C1855, Resultados_Reales!$A$4:$I$107, 6, FALSE)), VLOOKUP(C1855, Resultados_Reales!$A$4:$I$107, 5, FALSE)="", VLOOKUP(C1855, Resultados_Reales!$A$4:$I$107, 6, FALSE)=""), 0, IF(AND(VLOOKUP(C1855, Resultados_Reales!$A$4:$I$107, 5, FALSE)=G1855, VLOOKUP(C1855, Resultados_Reales!$A$4:$I$107, 6, FALSE)=H1855), Configuracion!$B$5, IF(SIGN(VLOOKUP(C1855, Resultados_Reales!$A$4:$I$107, 5, FALSE)-VLOOKUP(C1855, Resultados_Reales!$A$4:$I$107, 6, FALSE)) = SIGN(G1855-H1855), Configuracion!$B$4, 0)))</f>
        <v/>
      </c>
      <c r="L1855" s="11" t="n"/>
      <c r="M1855" s="11" t="n"/>
      <c r="N1855" s="11" t="n"/>
      <c r="O1855" s="11" t="n"/>
      <c r="P1855" s="11" t="n"/>
      <c r="Q1855" s="11" t="n"/>
    </row>
    <row r="1856">
      <c r="A1856" s="8">
        <f>B1856&amp;"_"&amp;C1856</f>
        <v/>
      </c>
      <c r="B1856" s="8" t="n"/>
      <c r="C1856" s="8" t="n"/>
      <c r="D1856" s="8" t="n"/>
      <c r="E1856" s="11" t="n"/>
      <c r="F1856" s="11" t="n"/>
      <c r="G1856" s="8" t="n"/>
      <c r="H1856" s="8" t="n"/>
      <c r="I1856" s="8" t="n"/>
      <c r="J1856" s="8" t="n"/>
      <c r="K1856" s="12">
        <f>IF(OR(ISERROR(VLOOKUP(C1856, Resultados_Reales!$A$4:$I$107, 5, FALSE)), ISERROR(VLOOKUP(C1856, Resultados_Reales!$A$4:$I$107, 6, FALSE)), VLOOKUP(C1856, Resultados_Reales!$A$4:$I$107, 5, FALSE)="", VLOOKUP(C1856, Resultados_Reales!$A$4:$I$107, 6, FALSE)=""), 0, IF(AND(VLOOKUP(C1856, Resultados_Reales!$A$4:$I$107, 5, FALSE)=G1856, VLOOKUP(C1856, Resultados_Reales!$A$4:$I$107, 6, FALSE)=H1856), Configuracion!$B$5, IF(SIGN(VLOOKUP(C1856, Resultados_Reales!$A$4:$I$107, 5, FALSE)-VLOOKUP(C1856, Resultados_Reales!$A$4:$I$107, 6, FALSE)) = SIGN(G1856-H1856), Configuracion!$B$4, 0)))</f>
        <v/>
      </c>
      <c r="L1856" s="11" t="n"/>
      <c r="M1856" s="11" t="n"/>
      <c r="N1856" s="11" t="n"/>
      <c r="O1856" s="11" t="n"/>
      <c r="P1856" s="11" t="n"/>
      <c r="Q1856" s="11" t="n"/>
    </row>
    <row r="1857">
      <c r="A1857" s="8">
        <f>B1857&amp;"_"&amp;C1857</f>
        <v/>
      </c>
      <c r="B1857" s="8" t="n"/>
      <c r="C1857" s="8" t="n"/>
      <c r="D1857" s="8" t="n"/>
      <c r="E1857" s="11" t="n"/>
      <c r="F1857" s="11" t="n"/>
      <c r="G1857" s="8" t="n"/>
      <c r="H1857" s="8" t="n"/>
      <c r="I1857" s="8" t="n"/>
      <c r="J1857" s="8" t="n"/>
      <c r="K1857" s="12">
        <f>IF(OR(ISERROR(VLOOKUP(C1857, Resultados_Reales!$A$4:$I$107, 5, FALSE)), ISERROR(VLOOKUP(C1857, Resultados_Reales!$A$4:$I$107, 6, FALSE)), VLOOKUP(C1857, Resultados_Reales!$A$4:$I$107, 5, FALSE)="", VLOOKUP(C1857, Resultados_Reales!$A$4:$I$107, 6, FALSE)=""), 0, IF(AND(VLOOKUP(C1857, Resultados_Reales!$A$4:$I$107, 5, FALSE)=G1857, VLOOKUP(C1857, Resultados_Reales!$A$4:$I$107, 6, FALSE)=H1857), Configuracion!$B$5, IF(SIGN(VLOOKUP(C1857, Resultados_Reales!$A$4:$I$107, 5, FALSE)-VLOOKUP(C1857, Resultados_Reales!$A$4:$I$107, 6, FALSE)) = SIGN(G1857-H1857), Configuracion!$B$4, 0)))</f>
        <v/>
      </c>
      <c r="L1857" s="11" t="n"/>
      <c r="M1857" s="11" t="n"/>
      <c r="N1857" s="11" t="n"/>
      <c r="O1857" s="11" t="n"/>
      <c r="P1857" s="11" t="n"/>
      <c r="Q1857" s="11" t="n"/>
    </row>
    <row r="1858">
      <c r="A1858" s="8">
        <f>B1858&amp;"_"&amp;C1858</f>
        <v/>
      </c>
      <c r="B1858" s="8" t="n"/>
      <c r="C1858" s="8" t="n"/>
      <c r="D1858" s="8" t="n"/>
      <c r="E1858" s="11" t="n"/>
      <c r="F1858" s="11" t="n"/>
      <c r="G1858" s="8" t="n"/>
      <c r="H1858" s="8" t="n"/>
      <c r="I1858" s="8" t="n"/>
      <c r="J1858" s="8" t="n"/>
      <c r="K1858" s="12">
        <f>IF(OR(ISERROR(VLOOKUP(C1858, Resultados_Reales!$A$4:$I$107, 5, FALSE)), ISERROR(VLOOKUP(C1858, Resultados_Reales!$A$4:$I$107, 6, FALSE)), VLOOKUP(C1858, Resultados_Reales!$A$4:$I$107, 5, FALSE)="", VLOOKUP(C1858, Resultados_Reales!$A$4:$I$107, 6, FALSE)=""), 0, IF(AND(VLOOKUP(C1858, Resultados_Reales!$A$4:$I$107, 5, FALSE)=G1858, VLOOKUP(C1858, Resultados_Reales!$A$4:$I$107, 6, FALSE)=H1858), Configuracion!$B$5, IF(SIGN(VLOOKUP(C1858, Resultados_Reales!$A$4:$I$107, 5, FALSE)-VLOOKUP(C1858, Resultados_Reales!$A$4:$I$107, 6, FALSE)) = SIGN(G1858-H1858), Configuracion!$B$4, 0)))</f>
        <v/>
      </c>
      <c r="L1858" s="11" t="n"/>
      <c r="M1858" s="11" t="n"/>
      <c r="N1858" s="11" t="n"/>
      <c r="O1858" s="11" t="n"/>
      <c r="P1858" s="11" t="n"/>
      <c r="Q1858" s="11" t="n"/>
    </row>
    <row r="1859">
      <c r="A1859" s="8">
        <f>B1859&amp;"_"&amp;C1859</f>
        <v/>
      </c>
      <c r="B1859" s="8" t="n"/>
      <c r="C1859" s="8" t="n"/>
      <c r="D1859" s="8" t="n"/>
      <c r="E1859" s="11" t="n"/>
      <c r="F1859" s="11" t="n"/>
      <c r="G1859" s="8" t="n"/>
      <c r="H1859" s="8" t="n"/>
      <c r="I1859" s="8" t="n"/>
      <c r="J1859" s="8" t="n"/>
      <c r="K1859" s="12">
        <f>IF(OR(ISERROR(VLOOKUP(C1859, Resultados_Reales!$A$4:$I$107, 5, FALSE)), ISERROR(VLOOKUP(C1859, Resultados_Reales!$A$4:$I$107, 6, FALSE)), VLOOKUP(C1859, Resultados_Reales!$A$4:$I$107, 5, FALSE)="", VLOOKUP(C1859, Resultados_Reales!$A$4:$I$107, 6, FALSE)=""), 0, IF(AND(VLOOKUP(C1859, Resultados_Reales!$A$4:$I$107, 5, FALSE)=G1859, VLOOKUP(C1859, Resultados_Reales!$A$4:$I$107, 6, FALSE)=H1859), Configuracion!$B$5, IF(SIGN(VLOOKUP(C1859, Resultados_Reales!$A$4:$I$107, 5, FALSE)-VLOOKUP(C1859, Resultados_Reales!$A$4:$I$107, 6, FALSE)) = SIGN(G1859-H1859), Configuracion!$B$4, 0)))</f>
        <v/>
      </c>
      <c r="L1859" s="11" t="n"/>
      <c r="M1859" s="11" t="n"/>
      <c r="N1859" s="11" t="n"/>
      <c r="O1859" s="11" t="n"/>
      <c r="P1859" s="11" t="n"/>
      <c r="Q1859" s="11" t="n"/>
    </row>
    <row r="1860">
      <c r="A1860" s="8">
        <f>B1860&amp;"_"&amp;C1860</f>
        <v/>
      </c>
      <c r="B1860" s="8" t="n"/>
      <c r="C1860" s="8" t="n"/>
      <c r="D1860" s="8" t="n"/>
      <c r="E1860" s="11" t="n"/>
      <c r="F1860" s="11" t="n"/>
      <c r="G1860" s="8" t="n"/>
      <c r="H1860" s="8" t="n"/>
      <c r="I1860" s="8" t="n"/>
      <c r="J1860" s="8" t="n"/>
      <c r="K1860" s="12">
        <f>IF(OR(ISERROR(VLOOKUP(C1860, Resultados_Reales!$A$4:$I$107, 5, FALSE)), ISERROR(VLOOKUP(C1860, Resultados_Reales!$A$4:$I$107, 6, FALSE)), VLOOKUP(C1860, Resultados_Reales!$A$4:$I$107, 5, FALSE)="", VLOOKUP(C1860, Resultados_Reales!$A$4:$I$107, 6, FALSE)=""), 0, IF(AND(VLOOKUP(C1860, Resultados_Reales!$A$4:$I$107, 5, FALSE)=G1860, VLOOKUP(C1860, Resultados_Reales!$A$4:$I$107, 6, FALSE)=H1860), Configuracion!$B$5, IF(SIGN(VLOOKUP(C1860, Resultados_Reales!$A$4:$I$107, 5, FALSE)-VLOOKUP(C1860, Resultados_Reales!$A$4:$I$107, 6, FALSE)) = SIGN(G1860-H1860), Configuracion!$B$4, 0)))</f>
        <v/>
      </c>
      <c r="L1860" s="11" t="n"/>
      <c r="M1860" s="11" t="n"/>
      <c r="N1860" s="11" t="n"/>
      <c r="O1860" s="11" t="n"/>
      <c r="P1860" s="11" t="n"/>
      <c r="Q1860" s="11" t="n"/>
    </row>
    <row r="1861">
      <c r="A1861" s="8">
        <f>B1861&amp;"_"&amp;C1861</f>
        <v/>
      </c>
      <c r="B1861" s="8" t="n"/>
      <c r="C1861" s="8" t="n"/>
      <c r="D1861" s="8" t="n"/>
      <c r="E1861" s="11" t="n"/>
      <c r="F1861" s="11" t="n"/>
      <c r="G1861" s="8" t="n"/>
      <c r="H1861" s="8" t="n"/>
      <c r="I1861" s="8" t="n"/>
      <c r="J1861" s="8" t="n"/>
      <c r="K1861" s="12">
        <f>IF(OR(ISERROR(VLOOKUP(C1861, Resultados_Reales!$A$4:$I$107, 5, FALSE)), ISERROR(VLOOKUP(C1861, Resultados_Reales!$A$4:$I$107, 6, FALSE)), VLOOKUP(C1861, Resultados_Reales!$A$4:$I$107, 5, FALSE)="", VLOOKUP(C1861, Resultados_Reales!$A$4:$I$107, 6, FALSE)=""), 0, IF(AND(VLOOKUP(C1861, Resultados_Reales!$A$4:$I$107, 5, FALSE)=G1861, VLOOKUP(C1861, Resultados_Reales!$A$4:$I$107, 6, FALSE)=H1861), Configuracion!$B$5, IF(SIGN(VLOOKUP(C1861, Resultados_Reales!$A$4:$I$107, 5, FALSE)-VLOOKUP(C1861, Resultados_Reales!$A$4:$I$107, 6, FALSE)) = SIGN(G1861-H1861), Configuracion!$B$4, 0)))</f>
        <v/>
      </c>
      <c r="L1861" s="11" t="n"/>
      <c r="M1861" s="11" t="n"/>
      <c r="N1861" s="11" t="n"/>
      <c r="O1861" s="11" t="n"/>
      <c r="P1861" s="11" t="n"/>
      <c r="Q1861" s="11" t="n"/>
    </row>
    <row r="1862">
      <c r="A1862" s="8">
        <f>B1862&amp;"_"&amp;C1862</f>
        <v/>
      </c>
      <c r="B1862" s="8" t="n"/>
      <c r="C1862" s="8" t="n"/>
      <c r="D1862" s="8" t="n"/>
      <c r="E1862" s="11" t="n"/>
      <c r="F1862" s="11" t="n"/>
      <c r="G1862" s="8" t="n"/>
      <c r="H1862" s="8" t="n"/>
      <c r="I1862" s="8" t="n"/>
      <c r="J1862" s="8" t="n"/>
      <c r="K1862" s="12">
        <f>IF(OR(ISERROR(VLOOKUP(C1862, Resultados_Reales!$A$4:$I$107, 5, FALSE)), ISERROR(VLOOKUP(C1862, Resultados_Reales!$A$4:$I$107, 6, FALSE)), VLOOKUP(C1862, Resultados_Reales!$A$4:$I$107, 5, FALSE)="", VLOOKUP(C1862, Resultados_Reales!$A$4:$I$107, 6, FALSE)=""), 0, IF(AND(VLOOKUP(C1862, Resultados_Reales!$A$4:$I$107, 5, FALSE)=G1862, VLOOKUP(C1862, Resultados_Reales!$A$4:$I$107, 6, FALSE)=H1862), Configuracion!$B$5, IF(SIGN(VLOOKUP(C1862, Resultados_Reales!$A$4:$I$107, 5, FALSE)-VLOOKUP(C1862, Resultados_Reales!$A$4:$I$107, 6, FALSE)) = SIGN(G1862-H1862), Configuracion!$B$4, 0)))</f>
        <v/>
      </c>
      <c r="L1862" s="11" t="n"/>
      <c r="M1862" s="11" t="n"/>
      <c r="N1862" s="11" t="n"/>
      <c r="O1862" s="11" t="n"/>
      <c r="P1862" s="11" t="n"/>
      <c r="Q1862" s="11" t="n"/>
    </row>
    <row r="1863">
      <c r="A1863" s="8">
        <f>B1863&amp;"_"&amp;C1863</f>
        <v/>
      </c>
      <c r="B1863" s="8" t="n"/>
      <c r="C1863" s="8" t="n"/>
      <c r="D1863" s="8" t="n"/>
      <c r="E1863" s="11" t="n"/>
      <c r="F1863" s="11" t="n"/>
      <c r="G1863" s="8" t="n"/>
      <c r="H1863" s="8" t="n"/>
      <c r="I1863" s="8" t="n"/>
      <c r="J1863" s="8" t="n"/>
      <c r="K1863" s="12">
        <f>IF(OR(ISERROR(VLOOKUP(C1863, Resultados_Reales!$A$4:$I$107, 5, FALSE)), ISERROR(VLOOKUP(C1863, Resultados_Reales!$A$4:$I$107, 6, FALSE)), VLOOKUP(C1863, Resultados_Reales!$A$4:$I$107, 5, FALSE)="", VLOOKUP(C1863, Resultados_Reales!$A$4:$I$107, 6, FALSE)=""), 0, IF(AND(VLOOKUP(C1863, Resultados_Reales!$A$4:$I$107, 5, FALSE)=G1863, VLOOKUP(C1863, Resultados_Reales!$A$4:$I$107, 6, FALSE)=H1863), Configuracion!$B$5, IF(SIGN(VLOOKUP(C1863, Resultados_Reales!$A$4:$I$107, 5, FALSE)-VLOOKUP(C1863, Resultados_Reales!$A$4:$I$107, 6, FALSE)) = SIGN(G1863-H1863), Configuracion!$B$4, 0)))</f>
        <v/>
      </c>
      <c r="L1863" s="11" t="n"/>
      <c r="M1863" s="11" t="n"/>
      <c r="N1863" s="11" t="n"/>
      <c r="O1863" s="11" t="n"/>
      <c r="P1863" s="11" t="n"/>
      <c r="Q1863" s="11" t="n"/>
    </row>
    <row r="1864">
      <c r="A1864" s="8">
        <f>B1864&amp;"_"&amp;C1864</f>
        <v/>
      </c>
      <c r="B1864" s="8" t="n"/>
      <c r="C1864" s="8" t="n"/>
      <c r="D1864" s="8" t="n"/>
      <c r="E1864" s="11" t="n"/>
      <c r="F1864" s="11" t="n"/>
      <c r="G1864" s="8" t="n"/>
      <c r="H1864" s="8" t="n"/>
      <c r="I1864" s="8" t="n"/>
      <c r="J1864" s="8" t="n"/>
      <c r="K1864" s="12">
        <f>IF(OR(ISERROR(VLOOKUP(C1864, Resultados_Reales!$A$4:$I$107, 5, FALSE)), ISERROR(VLOOKUP(C1864, Resultados_Reales!$A$4:$I$107, 6, FALSE)), VLOOKUP(C1864, Resultados_Reales!$A$4:$I$107, 5, FALSE)="", VLOOKUP(C1864, Resultados_Reales!$A$4:$I$107, 6, FALSE)=""), 0, IF(AND(VLOOKUP(C1864, Resultados_Reales!$A$4:$I$107, 5, FALSE)=G1864, VLOOKUP(C1864, Resultados_Reales!$A$4:$I$107, 6, FALSE)=H1864), Configuracion!$B$5, IF(SIGN(VLOOKUP(C1864, Resultados_Reales!$A$4:$I$107, 5, FALSE)-VLOOKUP(C1864, Resultados_Reales!$A$4:$I$107, 6, FALSE)) = SIGN(G1864-H1864), Configuracion!$B$4, 0)))</f>
        <v/>
      </c>
      <c r="L1864" s="11" t="n"/>
      <c r="M1864" s="11" t="n"/>
      <c r="N1864" s="11" t="n"/>
      <c r="O1864" s="11" t="n"/>
      <c r="P1864" s="11" t="n"/>
      <c r="Q1864" s="11" t="n"/>
    </row>
    <row r="1865">
      <c r="A1865" s="8">
        <f>B1865&amp;"_"&amp;C1865</f>
        <v/>
      </c>
      <c r="B1865" s="8" t="n"/>
      <c r="C1865" s="8" t="n"/>
      <c r="D1865" s="8" t="n"/>
      <c r="E1865" s="11" t="n"/>
      <c r="F1865" s="11" t="n"/>
      <c r="G1865" s="8" t="n"/>
      <c r="H1865" s="8" t="n"/>
      <c r="I1865" s="8" t="n"/>
      <c r="J1865" s="8" t="n"/>
      <c r="K1865" s="12">
        <f>IF(OR(ISERROR(VLOOKUP(C1865, Resultados_Reales!$A$4:$I$107, 5, FALSE)), ISERROR(VLOOKUP(C1865, Resultados_Reales!$A$4:$I$107, 6, FALSE)), VLOOKUP(C1865, Resultados_Reales!$A$4:$I$107, 5, FALSE)="", VLOOKUP(C1865, Resultados_Reales!$A$4:$I$107, 6, FALSE)=""), 0, IF(AND(VLOOKUP(C1865, Resultados_Reales!$A$4:$I$107, 5, FALSE)=G1865, VLOOKUP(C1865, Resultados_Reales!$A$4:$I$107, 6, FALSE)=H1865), Configuracion!$B$5, IF(SIGN(VLOOKUP(C1865, Resultados_Reales!$A$4:$I$107, 5, FALSE)-VLOOKUP(C1865, Resultados_Reales!$A$4:$I$107, 6, FALSE)) = SIGN(G1865-H1865), Configuracion!$B$4, 0)))</f>
        <v/>
      </c>
      <c r="L1865" s="11" t="n"/>
      <c r="M1865" s="11" t="n"/>
      <c r="N1865" s="11" t="n"/>
      <c r="O1865" s="11" t="n"/>
      <c r="P1865" s="11" t="n"/>
      <c r="Q1865" s="11" t="n"/>
    </row>
    <row r="1866">
      <c r="A1866" s="8">
        <f>B1866&amp;"_"&amp;C1866</f>
        <v/>
      </c>
      <c r="B1866" s="8" t="n"/>
      <c r="C1866" s="8" t="n"/>
      <c r="D1866" s="8" t="n"/>
      <c r="E1866" s="11" t="n"/>
      <c r="F1866" s="11" t="n"/>
      <c r="G1866" s="8" t="n"/>
      <c r="H1866" s="8" t="n"/>
      <c r="I1866" s="8" t="n"/>
      <c r="J1866" s="8" t="n"/>
      <c r="K1866" s="12">
        <f>IF(OR(ISERROR(VLOOKUP(C1866, Resultados_Reales!$A$4:$I$107, 5, FALSE)), ISERROR(VLOOKUP(C1866, Resultados_Reales!$A$4:$I$107, 6, FALSE)), VLOOKUP(C1866, Resultados_Reales!$A$4:$I$107, 5, FALSE)="", VLOOKUP(C1866, Resultados_Reales!$A$4:$I$107, 6, FALSE)=""), 0, IF(AND(VLOOKUP(C1866, Resultados_Reales!$A$4:$I$107, 5, FALSE)=G1866, VLOOKUP(C1866, Resultados_Reales!$A$4:$I$107, 6, FALSE)=H1866), Configuracion!$B$5, IF(SIGN(VLOOKUP(C1866, Resultados_Reales!$A$4:$I$107, 5, FALSE)-VLOOKUP(C1866, Resultados_Reales!$A$4:$I$107, 6, FALSE)) = SIGN(G1866-H1866), Configuracion!$B$4, 0)))</f>
        <v/>
      </c>
      <c r="L1866" s="11" t="n"/>
      <c r="M1866" s="11" t="n"/>
      <c r="N1866" s="11" t="n"/>
      <c r="O1866" s="11" t="n"/>
      <c r="P1866" s="11" t="n"/>
      <c r="Q1866" s="11" t="n"/>
    </row>
    <row r="1867">
      <c r="A1867" s="8">
        <f>B1867&amp;"_"&amp;C1867</f>
        <v/>
      </c>
      <c r="B1867" s="8" t="n"/>
      <c r="C1867" s="8" t="n"/>
      <c r="D1867" s="8" t="n"/>
      <c r="E1867" s="11" t="n"/>
      <c r="F1867" s="11" t="n"/>
      <c r="G1867" s="8" t="n"/>
      <c r="H1867" s="8" t="n"/>
      <c r="I1867" s="8" t="n"/>
      <c r="J1867" s="8" t="n"/>
      <c r="K1867" s="12">
        <f>IF(OR(ISERROR(VLOOKUP(C1867, Resultados_Reales!$A$4:$I$107, 5, FALSE)), ISERROR(VLOOKUP(C1867, Resultados_Reales!$A$4:$I$107, 6, FALSE)), VLOOKUP(C1867, Resultados_Reales!$A$4:$I$107, 5, FALSE)="", VLOOKUP(C1867, Resultados_Reales!$A$4:$I$107, 6, FALSE)=""), 0, IF(AND(VLOOKUP(C1867, Resultados_Reales!$A$4:$I$107, 5, FALSE)=G1867, VLOOKUP(C1867, Resultados_Reales!$A$4:$I$107, 6, FALSE)=H1867), Configuracion!$B$5, IF(SIGN(VLOOKUP(C1867, Resultados_Reales!$A$4:$I$107, 5, FALSE)-VLOOKUP(C1867, Resultados_Reales!$A$4:$I$107, 6, FALSE)) = SIGN(G1867-H1867), Configuracion!$B$4, 0)))</f>
        <v/>
      </c>
      <c r="L1867" s="11" t="n"/>
      <c r="M1867" s="11" t="n"/>
      <c r="N1867" s="11" t="n"/>
      <c r="O1867" s="11" t="n"/>
      <c r="P1867" s="11" t="n"/>
      <c r="Q1867" s="11" t="n"/>
    </row>
    <row r="1868">
      <c r="A1868" s="8">
        <f>B1868&amp;"_"&amp;C1868</f>
        <v/>
      </c>
      <c r="B1868" s="8" t="n"/>
      <c r="C1868" s="8" t="n"/>
      <c r="D1868" s="8" t="n"/>
      <c r="E1868" s="11" t="n"/>
      <c r="F1868" s="11" t="n"/>
      <c r="G1868" s="8" t="n"/>
      <c r="H1868" s="8" t="n"/>
      <c r="I1868" s="8" t="n"/>
      <c r="J1868" s="8" t="n"/>
      <c r="K1868" s="12">
        <f>IF(OR(ISERROR(VLOOKUP(C1868, Resultados_Reales!$A$4:$I$107, 5, FALSE)), ISERROR(VLOOKUP(C1868, Resultados_Reales!$A$4:$I$107, 6, FALSE)), VLOOKUP(C1868, Resultados_Reales!$A$4:$I$107, 5, FALSE)="", VLOOKUP(C1868, Resultados_Reales!$A$4:$I$107, 6, FALSE)=""), 0, IF(AND(VLOOKUP(C1868, Resultados_Reales!$A$4:$I$107, 5, FALSE)=G1868, VLOOKUP(C1868, Resultados_Reales!$A$4:$I$107, 6, FALSE)=H1868), Configuracion!$B$5, IF(SIGN(VLOOKUP(C1868, Resultados_Reales!$A$4:$I$107, 5, FALSE)-VLOOKUP(C1868, Resultados_Reales!$A$4:$I$107, 6, FALSE)) = SIGN(G1868-H1868), Configuracion!$B$4, 0)))</f>
        <v/>
      </c>
      <c r="L1868" s="11" t="n"/>
      <c r="M1868" s="11" t="n"/>
      <c r="N1868" s="11" t="n"/>
      <c r="O1868" s="11" t="n"/>
      <c r="P1868" s="11" t="n"/>
      <c r="Q1868" s="11" t="n"/>
    </row>
    <row r="1869">
      <c r="A1869" s="8">
        <f>B1869&amp;"_"&amp;C1869</f>
        <v/>
      </c>
      <c r="B1869" s="8" t="n"/>
      <c r="C1869" s="8" t="n"/>
      <c r="D1869" s="8" t="n"/>
      <c r="E1869" s="11" t="n"/>
      <c r="F1869" s="11" t="n"/>
      <c r="G1869" s="8" t="n"/>
      <c r="H1869" s="8" t="n"/>
      <c r="I1869" s="8" t="n"/>
      <c r="J1869" s="8" t="n"/>
      <c r="K1869" s="12">
        <f>IF(OR(ISERROR(VLOOKUP(C1869, Resultados_Reales!$A$4:$I$107, 5, FALSE)), ISERROR(VLOOKUP(C1869, Resultados_Reales!$A$4:$I$107, 6, FALSE)), VLOOKUP(C1869, Resultados_Reales!$A$4:$I$107, 5, FALSE)="", VLOOKUP(C1869, Resultados_Reales!$A$4:$I$107, 6, FALSE)=""), 0, IF(AND(VLOOKUP(C1869, Resultados_Reales!$A$4:$I$107, 5, FALSE)=G1869, VLOOKUP(C1869, Resultados_Reales!$A$4:$I$107, 6, FALSE)=H1869), Configuracion!$B$5, IF(SIGN(VLOOKUP(C1869, Resultados_Reales!$A$4:$I$107, 5, FALSE)-VLOOKUP(C1869, Resultados_Reales!$A$4:$I$107, 6, FALSE)) = SIGN(G1869-H1869), Configuracion!$B$4, 0)))</f>
        <v/>
      </c>
      <c r="L1869" s="11" t="n"/>
      <c r="M1869" s="11" t="n"/>
      <c r="N1869" s="11" t="n"/>
      <c r="O1869" s="11" t="n"/>
      <c r="P1869" s="11" t="n"/>
      <c r="Q1869" s="11" t="n"/>
    </row>
    <row r="1870">
      <c r="A1870" s="8">
        <f>B1870&amp;"_"&amp;C1870</f>
        <v/>
      </c>
      <c r="B1870" s="8" t="n"/>
      <c r="C1870" s="8" t="n"/>
      <c r="D1870" s="8" t="n"/>
      <c r="E1870" s="11" t="n"/>
      <c r="F1870" s="11" t="n"/>
      <c r="G1870" s="8" t="n"/>
      <c r="H1870" s="8" t="n"/>
      <c r="I1870" s="8" t="n"/>
      <c r="J1870" s="8" t="n"/>
      <c r="K1870" s="12">
        <f>IF(OR(ISERROR(VLOOKUP(C1870, Resultados_Reales!$A$4:$I$107, 5, FALSE)), ISERROR(VLOOKUP(C1870, Resultados_Reales!$A$4:$I$107, 6, FALSE)), VLOOKUP(C1870, Resultados_Reales!$A$4:$I$107, 5, FALSE)="", VLOOKUP(C1870, Resultados_Reales!$A$4:$I$107, 6, FALSE)=""), 0, IF(AND(VLOOKUP(C1870, Resultados_Reales!$A$4:$I$107, 5, FALSE)=G1870, VLOOKUP(C1870, Resultados_Reales!$A$4:$I$107, 6, FALSE)=H1870), Configuracion!$B$5, IF(SIGN(VLOOKUP(C1870, Resultados_Reales!$A$4:$I$107, 5, FALSE)-VLOOKUP(C1870, Resultados_Reales!$A$4:$I$107, 6, FALSE)) = SIGN(G1870-H1870), Configuracion!$B$4, 0)))</f>
        <v/>
      </c>
      <c r="L1870" s="11" t="n"/>
      <c r="M1870" s="11" t="n"/>
      <c r="N1870" s="11" t="n"/>
      <c r="O1870" s="11" t="n"/>
      <c r="P1870" s="11" t="n"/>
      <c r="Q1870" s="11" t="n"/>
    </row>
    <row r="1871">
      <c r="A1871" s="8">
        <f>B1871&amp;"_"&amp;C1871</f>
        <v/>
      </c>
      <c r="B1871" s="8" t="n"/>
      <c r="C1871" s="8" t="n"/>
      <c r="D1871" s="8" t="n"/>
      <c r="E1871" s="11" t="n"/>
      <c r="F1871" s="11" t="n"/>
      <c r="G1871" s="8" t="n"/>
      <c r="H1871" s="8" t="n"/>
      <c r="I1871" s="8" t="n"/>
      <c r="J1871" s="8" t="n"/>
      <c r="K1871" s="12">
        <f>IF(OR(ISERROR(VLOOKUP(C1871, Resultados_Reales!$A$4:$I$107, 5, FALSE)), ISERROR(VLOOKUP(C1871, Resultados_Reales!$A$4:$I$107, 6, FALSE)), VLOOKUP(C1871, Resultados_Reales!$A$4:$I$107, 5, FALSE)="", VLOOKUP(C1871, Resultados_Reales!$A$4:$I$107, 6, FALSE)=""), 0, IF(AND(VLOOKUP(C1871, Resultados_Reales!$A$4:$I$107, 5, FALSE)=G1871, VLOOKUP(C1871, Resultados_Reales!$A$4:$I$107, 6, FALSE)=H1871), Configuracion!$B$5, IF(SIGN(VLOOKUP(C1871, Resultados_Reales!$A$4:$I$107, 5, FALSE)-VLOOKUP(C1871, Resultados_Reales!$A$4:$I$107, 6, FALSE)) = SIGN(G1871-H1871), Configuracion!$B$4, 0)))</f>
        <v/>
      </c>
      <c r="L1871" s="11" t="n"/>
      <c r="M1871" s="11" t="n"/>
      <c r="N1871" s="11" t="n"/>
      <c r="O1871" s="11" t="n"/>
      <c r="P1871" s="11" t="n"/>
      <c r="Q1871" s="11" t="n"/>
    </row>
    <row r="1872">
      <c r="A1872" s="8">
        <f>B1872&amp;"_"&amp;C1872</f>
        <v/>
      </c>
      <c r="B1872" s="8" t="n"/>
      <c r="C1872" s="8" t="n"/>
      <c r="D1872" s="8" t="n"/>
      <c r="E1872" s="11" t="n"/>
      <c r="F1872" s="11" t="n"/>
      <c r="G1872" s="8" t="n"/>
      <c r="H1872" s="8" t="n"/>
      <c r="I1872" s="8" t="n"/>
      <c r="J1872" s="8" t="n"/>
      <c r="K1872" s="12">
        <f>IF(OR(ISERROR(VLOOKUP(C1872, Resultados_Reales!$A$4:$I$107, 5, FALSE)), ISERROR(VLOOKUP(C1872, Resultados_Reales!$A$4:$I$107, 6, FALSE)), VLOOKUP(C1872, Resultados_Reales!$A$4:$I$107, 5, FALSE)="", VLOOKUP(C1872, Resultados_Reales!$A$4:$I$107, 6, FALSE)=""), 0, IF(AND(VLOOKUP(C1872, Resultados_Reales!$A$4:$I$107, 5, FALSE)=G1872, VLOOKUP(C1872, Resultados_Reales!$A$4:$I$107, 6, FALSE)=H1872), Configuracion!$B$5, IF(SIGN(VLOOKUP(C1872, Resultados_Reales!$A$4:$I$107, 5, FALSE)-VLOOKUP(C1872, Resultados_Reales!$A$4:$I$107, 6, FALSE)) = SIGN(G1872-H1872), Configuracion!$B$4, 0)))</f>
        <v/>
      </c>
      <c r="L1872" s="11" t="n"/>
      <c r="M1872" s="11" t="n"/>
      <c r="N1872" s="11" t="n"/>
      <c r="O1872" s="11" t="n"/>
      <c r="P1872" s="11" t="n"/>
      <c r="Q1872" s="11" t="n"/>
    </row>
    <row r="1873">
      <c r="A1873" s="8">
        <f>B1873&amp;"_"&amp;C1873</f>
        <v/>
      </c>
      <c r="B1873" s="8" t="n"/>
      <c r="C1873" s="8" t="n"/>
      <c r="D1873" s="8" t="n"/>
      <c r="E1873" s="11" t="n"/>
      <c r="F1873" s="11" t="n"/>
      <c r="G1873" s="8" t="n"/>
      <c r="H1873" s="8" t="n"/>
      <c r="I1873" s="8" t="n"/>
      <c r="J1873" s="8" t="n"/>
      <c r="K1873" s="12">
        <f>IF(OR(ISERROR(VLOOKUP(C1873, Resultados_Reales!$A$4:$I$107, 5, FALSE)), ISERROR(VLOOKUP(C1873, Resultados_Reales!$A$4:$I$107, 6, FALSE)), VLOOKUP(C1873, Resultados_Reales!$A$4:$I$107, 5, FALSE)="", VLOOKUP(C1873, Resultados_Reales!$A$4:$I$107, 6, FALSE)=""), 0, IF(AND(VLOOKUP(C1873, Resultados_Reales!$A$4:$I$107, 5, FALSE)=G1873, VLOOKUP(C1873, Resultados_Reales!$A$4:$I$107, 6, FALSE)=H1873), Configuracion!$B$5, IF(SIGN(VLOOKUP(C1873, Resultados_Reales!$A$4:$I$107, 5, FALSE)-VLOOKUP(C1873, Resultados_Reales!$A$4:$I$107, 6, FALSE)) = SIGN(G1873-H1873), Configuracion!$B$4, 0)))</f>
        <v/>
      </c>
      <c r="L1873" s="11" t="n"/>
      <c r="M1873" s="11" t="n"/>
      <c r="N1873" s="11" t="n"/>
      <c r="O1873" s="11" t="n"/>
      <c r="P1873" s="11" t="n"/>
      <c r="Q1873" s="11" t="n"/>
    </row>
    <row r="1874">
      <c r="A1874" s="8">
        <f>B1874&amp;"_"&amp;C1874</f>
        <v/>
      </c>
      <c r="B1874" s="8" t="n"/>
      <c r="C1874" s="8" t="n"/>
      <c r="D1874" s="8" t="n"/>
      <c r="E1874" s="11" t="n"/>
      <c r="F1874" s="11" t="n"/>
      <c r="G1874" s="8" t="n"/>
      <c r="H1874" s="8" t="n"/>
      <c r="I1874" s="8" t="n"/>
      <c r="J1874" s="8" t="n"/>
      <c r="K1874" s="12">
        <f>IF(OR(ISERROR(VLOOKUP(C1874, Resultados_Reales!$A$4:$I$107, 5, FALSE)), ISERROR(VLOOKUP(C1874, Resultados_Reales!$A$4:$I$107, 6, FALSE)), VLOOKUP(C1874, Resultados_Reales!$A$4:$I$107, 5, FALSE)="", VLOOKUP(C1874, Resultados_Reales!$A$4:$I$107, 6, FALSE)=""), 0, IF(AND(VLOOKUP(C1874, Resultados_Reales!$A$4:$I$107, 5, FALSE)=G1874, VLOOKUP(C1874, Resultados_Reales!$A$4:$I$107, 6, FALSE)=H1874), Configuracion!$B$5, IF(SIGN(VLOOKUP(C1874, Resultados_Reales!$A$4:$I$107, 5, FALSE)-VLOOKUP(C1874, Resultados_Reales!$A$4:$I$107, 6, FALSE)) = SIGN(G1874-H1874), Configuracion!$B$4, 0)))</f>
        <v/>
      </c>
      <c r="L1874" s="11" t="n"/>
      <c r="M1874" s="11" t="n"/>
      <c r="N1874" s="11" t="n"/>
      <c r="O1874" s="11" t="n"/>
      <c r="P1874" s="11" t="n"/>
      <c r="Q1874" s="11" t="n"/>
    </row>
    <row r="1875">
      <c r="A1875" s="8">
        <f>B1875&amp;"_"&amp;C1875</f>
        <v/>
      </c>
      <c r="B1875" s="8" t="n"/>
      <c r="C1875" s="8" t="n"/>
      <c r="D1875" s="8" t="n"/>
      <c r="E1875" s="11" t="n"/>
      <c r="F1875" s="11" t="n"/>
      <c r="G1875" s="8" t="n"/>
      <c r="H1875" s="8" t="n"/>
      <c r="I1875" s="8" t="n"/>
      <c r="J1875" s="8" t="n"/>
      <c r="K1875" s="12">
        <f>IF(OR(ISERROR(VLOOKUP(C1875, Resultados_Reales!$A$4:$I$107, 5, FALSE)), ISERROR(VLOOKUP(C1875, Resultados_Reales!$A$4:$I$107, 6, FALSE)), VLOOKUP(C1875, Resultados_Reales!$A$4:$I$107, 5, FALSE)="", VLOOKUP(C1875, Resultados_Reales!$A$4:$I$107, 6, FALSE)=""), 0, IF(AND(VLOOKUP(C1875, Resultados_Reales!$A$4:$I$107, 5, FALSE)=G1875, VLOOKUP(C1875, Resultados_Reales!$A$4:$I$107, 6, FALSE)=H1875), Configuracion!$B$5, IF(SIGN(VLOOKUP(C1875, Resultados_Reales!$A$4:$I$107, 5, FALSE)-VLOOKUP(C1875, Resultados_Reales!$A$4:$I$107, 6, FALSE)) = SIGN(G1875-H1875), Configuracion!$B$4, 0)))</f>
        <v/>
      </c>
      <c r="L1875" s="11" t="n"/>
      <c r="M1875" s="11" t="n"/>
      <c r="N1875" s="11" t="n"/>
      <c r="O1875" s="11" t="n"/>
      <c r="P1875" s="11" t="n"/>
      <c r="Q1875" s="11" t="n"/>
    </row>
    <row r="1876">
      <c r="A1876" s="8">
        <f>B1876&amp;"_"&amp;C1876</f>
        <v/>
      </c>
      <c r="B1876" s="8" t="n"/>
      <c r="C1876" s="8" t="n"/>
      <c r="D1876" s="8" t="n"/>
      <c r="E1876" s="11" t="n"/>
      <c r="F1876" s="11" t="n"/>
      <c r="G1876" s="8" t="n"/>
      <c r="H1876" s="8" t="n"/>
      <c r="I1876" s="8" t="n"/>
      <c r="J1876" s="8" t="n"/>
      <c r="K1876" s="12">
        <f>IF(OR(ISERROR(VLOOKUP(C1876, Resultados_Reales!$A$4:$I$107, 5, FALSE)), ISERROR(VLOOKUP(C1876, Resultados_Reales!$A$4:$I$107, 6, FALSE)), VLOOKUP(C1876, Resultados_Reales!$A$4:$I$107, 5, FALSE)="", VLOOKUP(C1876, Resultados_Reales!$A$4:$I$107, 6, FALSE)=""), 0, IF(AND(VLOOKUP(C1876, Resultados_Reales!$A$4:$I$107, 5, FALSE)=G1876, VLOOKUP(C1876, Resultados_Reales!$A$4:$I$107, 6, FALSE)=H1876), Configuracion!$B$5, IF(SIGN(VLOOKUP(C1876, Resultados_Reales!$A$4:$I$107, 5, FALSE)-VLOOKUP(C1876, Resultados_Reales!$A$4:$I$107, 6, FALSE)) = SIGN(G1876-H1876), Configuracion!$B$4, 0)))</f>
        <v/>
      </c>
      <c r="L1876" s="11" t="n"/>
      <c r="M1876" s="11" t="n"/>
      <c r="N1876" s="11" t="n"/>
      <c r="O1876" s="11" t="n"/>
      <c r="P1876" s="11" t="n"/>
      <c r="Q1876" s="11" t="n"/>
    </row>
    <row r="1877">
      <c r="A1877" s="8">
        <f>B1877&amp;"_"&amp;C1877</f>
        <v/>
      </c>
      <c r="B1877" s="8" t="n"/>
      <c r="C1877" s="8" t="n"/>
      <c r="D1877" s="8" t="n"/>
      <c r="E1877" s="11" t="n"/>
      <c r="F1877" s="11" t="n"/>
      <c r="G1877" s="8" t="n"/>
      <c r="H1877" s="8" t="n"/>
      <c r="I1877" s="8" t="n"/>
      <c r="J1877" s="8" t="n"/>
      <c r="K1877" s="12">
        <f>IF(OR(ISERROR(VLOOKUP(C1877, Resultados_Reales!$A$4:$I$107, 5, FALSE)), ISERROR(VLOOKUP(C1877, Resultados_Reales!$A$4:$I$107, 6, FALSE)), VLOOKUP(C1877, Resultados_Reales!$A$4:$I$107, 5, FALSE)="", VLOOKUP(C1877, Resultados_Reales!$A$4:$I$107, 6, FALSE)=""), 0, IF(AND(VLOOKUP(C1877, Resultados_Reales!$A$4:$I$107, 5, FALSE)=G1877, VLOOKUP(C1877, Resultados_Reales!$A$4:$I$107, 6, FALSE)=H1877), Configuracion!$B$5, IF(SIGN(VLOOKUP(C1877, Resultados_Reales!$A$4:$I$107, 5, FALSE)-VLOOKUP(C1877, Resultados_Reales!$A$4:$I$107, 6, FALSE)) = SIGN(G1877-H1877), Configuracion!$B$4, 0)))</f>
        <v/>
      </c>
      <c r="L1877" s="11" t="n"/>
      <c r="M1877" s="11" t="n"/>
      <c r="N1877" s="11" t="n"/>
      <c r="O1877" s="11" t="n"/>
      <c r="P1877" s="11" t="n"/>
      <c r="Q1877" s="11" t="n"/>
    </row>
    <row r="1878">
      <c r="A1878" s="8">
        <f>B1878&amp;"_"&amp;C1878</f>
        <v/>
      </c>
      <c r="B1878" s="8" t="n"/>
      <c r="C1878" s="8" t="n"/>
      <c r="D1878" s="8" t="n"/>
      <c r="E1878" s="11" t="n"/>
      <c r="F1878" s="11" t="n"/>
      <c r="G1878" s="8" t="n"/>
      <c r="H1878" s="8" t="n"/>
      <c r="I1878" s="8" t="n"/>
      <c r="J1878" s="8" t="n"/>
      <c r="K1878" s="12">
        <f>IF(OR(ISERROR(VLOOKUP(C1878, Resultados_Reales!$A$4:$I$107, 5, FALSE)), ISERROR(VLOOKUP(C1878, Resultados_Reales!$A$4:$I$107, 6, FALSE)), VLOOKUP(C1878, Resultados_Reales!$A$4:$I$107, 5, FALSE)="", VLOOKUP(C1878, Resultados_Reales!$A$4:$I$107, 6, FALSE)=""), 0, IF(AND(VLOOKUP(C1878, Resultados_Reales!$A$4:$I$107, 5, FALSE)=G1878, VLOOKUP(C1878, Resultados_Reales!$A$4:$I$107, 6, FALSE)=H1878), Configuracion!$B$5, IF(SIGN(VLOOKUP(C1878, Resultados_Reales!$A$4:$I$107, 5, FALSE)-VLOOKUP(C1878, Resultados_Reales!$A$4:$I$107, 6, FALSE)) = SIGN(G1878-H1878), Configuracion!$B$4, 0)))</f>
        <v/>
      </c>
      <c r="L1878" s="11" t="n"/>
      <c r="M1878" s="11" t="n"/>
      <c r="N1878" s="11" t="n"/>
      <c r="O1878" s="11" t="n"/>
      <c r="P1878" s="11" t="n"/>
      <c r="Q1878" s="11" t="n"/>
    </row>
    <row r="1879">
      <c r="A1879" s="8">
        <f>B1879&amp;"_"&amp;C1879</f>
        <v/>
      </c>
      <c r="B1879" s="8" t="n"/>
      <c r="C1879" s="8" t="n"/>
      <c r="D1879" s="8" t="n"/>
      <c r="E1879" s="11" t="n"/>
      <c r="F1879" s="11" t="n"/>
      <c r="G1879" s="8" t="n"/>
      <c r="H1879" s="8" t="n"/>
      <c r="I1879" s="8" t="n"/>
      <c r="J1879" s="8" t="n"/>
      <c r="K1879" s="12">
        <f>IF(OR(ISERROR(VLOOKUP(C1879, Resultados_Reales!$A$4:$I$107, 5, FALSE)), ISERROR(VLOOKUP(C1879, Resultados_Reales!$A$4:$I$107, 6, FALSE)), VLOOKUP(C1879, Resultados_Reales!$A$4:$I$107, 5, FALSE)="", VLOOKUP(C1879, Resultados_Reales!$A$4:$I$107, 6, FALSE)=""), 0, IF(AND(VLOOKUP(C1879, Resultados_Reales!$A$4:$I$107, 5, FALSE)=G1879, VLOOKUP(C1879, Resultados_Reales!$A$4:$I$107, 6, FALSE)=H1879), Configuracion!$B$5, IF(SIGN(VLOOKUP(C1879, Resultados_Reales!$A$4:$I$107, 5, FALSE)-VLOOKUP(C1879, Resultados_Reales!$A$4:$I$107, 6, FALSE)) = SIGN(G1879-H1879), Configuracion!$B$4, 0)))</f>
        <v/>
      </c>
      <c r="L1879" s="11" t="n"/>
      <c r="M1879" s="11" t="n"/>
      <c r="N1879" s="11" t="n"/>
      <c r="O1879" s="11" t="n"/>
      <c r="P1879" s="11" t="n"/>
      <c r="Q1879" s="11" t="n"/>
    </row>
    <row r="1880">
      <c r="A1880" s="8">
        <f>B1880&amp;"_"&amp;C1880</f>
        <v/>
      </c>
      <c r="B1880" s="8" t="n"/>
      <c r="C1880" s="8" t="n"/>
      <c r="D1880" s="8" t="n"/>
      <c r="E1880" s="11" t="n"/>
      <c r="F1880" s="11" t="n"/>
      <c r="G1880" s="8" t="n"/>
      <c r="H1880" s="8" t="n"/>
      <c r="I1880" s="8" t="n"/>
      <c r="J1880" s="8" t="n"/>
      <c r="K1880" s="12">
        <f>IF(OR(ISERROR(VLOOKUP(C1880, Resultados_Reales!$A$4:$I$107, 5, FALSE)), ISERROR(VLOOKUP(C1880, Resultados_Reales!$A$4:$I$107, 6, FALSE)), VLOOKUP(C1880, Resultados_Reales!$A$4:$I$107, 5, FALSE)="", VLOOKUP(C1880, Resultados_Reales!$A$4:$I$107, 6, FALSE)=""), 0, IF(AND(VLOOKUP(C1880, Resultados_Reales!$A$4:$I$107, 5, FALSE)=G1880, VLOOKUP(C1880, Resultados_Reales!$A$4:$I$107, 6, FALSE)=H1880), Configuracion!$B$5, IF(SIGN(VLOOKUP(C1880, Resultados_Reales!$A$4:$I$107, 5, FALSE)-VLOOKUP(C1880, Resultados_Reales!$A$4:$I$107, 6, FALSE)) = SIGN(G1880-H1880), Configuracion!$B$4, 0)))</f>
        <v/>
      </c>
      <c r="L1880" s="11" t="n"/>
      <c r="M1880" s="11" t="n"/>
      <c r="N1880" s="11" t="n"/>
      <c r="O1880" s="11" t="n"/>
      <c r="P1880" s="11" t="n"/>
      <c r="Q1880" s="11" t="n"/>
    </row>
    <row r="1881">
      <c r="A1881" s="8">
        <f>B1881&amp;"_"&amp;C1881</f>
        <v/>
      </c>
      <c r="B1881" s="8" t="n"/>
      <c r="C1881" s="8" t="n"/>
      <c r="D1881" s="8" t="n"/>
      <c r="E1881" s="11" t="n"/>
      <c r="F1881" s="11" t="n"/>
      <c r="G1881" s="8" t="n"/>
      <c r="H1881" s="8" t="n"/>
      <c r="I1881" s="8" t="n"/>
      <c r="J1881" s="8" t="n"/>
      <c r="K1881" s="12">
        <f>IF(OR(ISERROR(VLOOKUP(C1881, Resultados_Reales!$A$4:$I$107, 5, FALSE)), ISERROR(VLOOKUP(C1881, Resultados_Reales!$A$4:$I$107, 6, FALSE)), VLOOKUP(C1881, Resultados_Reales!$A$4:$I$107, 5, FALSE)="", VLOOKUP(C1881, Resultados_Reales!$A$4:$I$107, 6, FALSE)=""), 0, IF(AND(VLOOKUP(C1881, Resultados_Reales!$A$4:$I$107, 5, FALSE)=G1881, VLOOKUP(C1881, Resultados_Reales!$A$4:$I$107, 6, FALSE)=H1881), Configuracion!$B$5, IF(SIGN(VLOOKUP(C1881, Resultados_Reales!$A$4:$I$107, 5, FALSE)-VLOOKUP(C1881, Resultados_Reales!$A$4:$I$107, 6, FALSE)) = SIGN(G1881-H1881), Configuracion!$B$4, 0)))</f>
        <v/>
      </c>
      <c r="L1881" s="11" t="n"/>
      <c r="M1881" s="11" t="n"/>
      <c r="N1881" s="11" t="n"/>
      <c r="O1881" s="11" t="n"/>
      <c r="P1881" s="11" t="n"/>
      <c r="Q1881" s="11" t="n"/>
    </row>
    <row r="1882">
      <c r="A1882" s="8">
        <f>B1882&amp;"_"&amp;C1882</f>
        <v/>
      </c>
      <c r="B1882" s="8" t="n"/>
      <c r="C1882" s="8" t="n"/>
      <c r="D1882" s="8" t="n"/>
      <c r="E1882" s="11" t="n"/>
      <c r="F1882" s="11" t="n"/>
      <c r="G1882" s="8" t="n"/>
      <c r="H1882" s="8" t="n"/>
      <c r="I1882" s="8" t="n"/>
      <c r="J1882" s="8" t="n"/>
      <c r="K1882" s="12">
        <f>IF(OR(ISERROR(VLOOKUP(C1882, Resultados_Reales!$A$4:$I$107, 5, FALSE)), ISERROR(VLOOKUP(C1882, Resultados_Reales!$A$4:$I$107, 6, FALSE)), VLOOKUP(C1882, Resultados_Reales!$A$4:$I$107, 5, FALSE)="", VLOOKUP(C1882, Resultados_Reales!$A$4:$I$107, 6, FALSE)=""), 0, IF(AND(VLOOKUP(C1882, Resultados_Reales!$A$4:$I$107, 5, FALSE)=G1882, VLOOKUP(C1882, Resultados_Reales!$A$4:$I$107, 6, FALSE)=H1882), Configuracion!$B$5, IF(SIGN(VLOOKUP(C1882, Resultados_Reales!$A$4:$I$107, 5, FALSE)-VLOOKUP(C1882, Resultados_Reales!$A$4:$I$107, 6, FALSE)) = SIGN(G1882-H1882), Configuracion!$B$4, 0)))</f>
        <v/>
      </c>
      <c r="L1882" s="11" t="n"/>
      <c r="M1882" s="11" t="n"/>
      <c r="N1882" s="11" t="n"/>
      <c r="O1882" s="11" t="n"/>
      <c r="P1882" s="11" t="n"/>
      <c r="Q1882" s="11" t="n"/>
    </row>
    <row r="1883">
      <c r="A1883" s="8">
        <f>B1883&amp;"_"&amp;C1883</f>
        <v/>
      </c>
      <c r="B1883" s="8" t="n"/>
      <c r="C1883" s="8" t="n"/>
      <c r="D1883" s="8" t="n"/>
      <c r="E1883" s="11" t="n"/>
      <c r="F1883" s="11" t="n"/>
      <c r="G1883" s="8" t="n"/>
      <c r="H1883" s="8" t="n"/>
      <c r="I1883" s="8" t="n"/>
      <c r="J1883" s="8" t="n"/>
      <c r="K1883" s="12">
        <f>IF(OR(ISERROR(VLOOKUP(C1883, Resultados_Reales!$A$4:$I$107, 5, FALSE)), ISERROR(VLOOKUP(C1883, Resultados_Reales!$A$4:$I$107, 6, FALSE)), VLOOKUP(C1883, Resultados_Reales!$A$4:$I$107, 5, FALSE)="", VLOOKUP(C1883, Resultados_Reales!$A$4:$I$107, 6, FALSE)=""), 0, IF(AND(VLOOKUP(C1883, Resultados_Reales!$A$4:$I$107, 5, FALSE)=G1883, VLOOKUP(C1883, Resultados_Reales!$A$4:$I$107, 6, FALSE)=H1883), Configuracion!$B$5, IF(SIGN(VLOOKUP(C1883, Resultados_Reales!$A$4:$I$107, 5, FALSE)-VLOOKUP(C1883, Resultados_Reales!$A$4:$I$107, 6, FALSE)) = SIGN(G1883-H1883), Configuracion!$B$4, 0)))</f>
        <v/>
      </c>
      <c r="L1883" s="11" t="n"/>
      <c r="M1883" s="11" t="n"/>
      <c r="N1883" s="11" t="n"/>
      <c r="O1883" s="11" t="n"/>
      <c r="P1883" s="11" t="n"/>
      <c r="Q1883" s="11" t="n"/>
    </row>
    <row r="1884">
      <c r="A1884" s="8">
        <f>B1884&amp;"_"&amp;C1884</f>
        <v/>
      </c>
      <c r="B1884" s="8" t="n"/>
      <c r="C1884" s="8" t="n"/>
      <c r="D1884" s="8" t="n"/>
      <c r="E1884" s="11" t="n"/>
      <c r="F1884" s="11" t="n"/>
      <c r="G1884" s="8" t="n"/>
      <c r="H1884" s="8" t="n"/>
      <c r="I1884" s="8" t="n"/>
      <c r="J1884" s="8" t="n"/>
      <c r="K1884" s="12">
        <f>IF(OR(ISERROR(VLOOKUP(C1884, Resultados_Reales!$A$4:$I$107, 5, FALSE)), ISERROR(VLOOKUP(C1884, Resultados_Reales!$A$4:$I$107, 6, FALSE)), VLOOKUP(C1884, Resultados_Reales!$A$4:$I$107, 5, FALSE)="", VLOOKUP(C1884, Resultados_Reales!$A$4:$I$107, 6, FALSE)=""), 0, IF(AND(VLOOKUP(C1884, Resultados_Reales!$A$4:$I$107, 5, FALSE)=G1884, VLOOKUP(C1884, Resultados_Reales!$A$4:$I$107, 6, FALSE)=H1884), Configuracion!$B$5, IF(SIGN(VLOOKUP(C1884, Resultados_Reales!$A$4:$I$107, 5, FALSE)-VLOOKUP(C1884, Resultados_Reales!$A$4:$I$107, 6, FALSE)) = SIGN(G1884-H1884), Configuracion!$B$4, 0)))</f>
        <v/>
      </c>
      <c r="L1884" s="11" t="n"/>
      <c r="M1884" s="11" t="n"/>
      <c r="N1884" s="11" t="n"/>
      <c r="O1884" s="11" t="n"/>
      <c r="P1884" s="11" t="n"/>
      <c r="Q1884" s="11" t="n"/>
    </row>
    <row r="1885">
      <c r="A1885" s="8">
        <f>B1885&amp;"_"&amp;C1885</f>
        <v/>
      </c>
      <c r="B1885" s="8" t="n"/>
      <c r="C1885" s="8" t="n"/>
      <c r="D1885" s="8" t="n"/>
      <c r="E1885" s="11" t="n"/>
      <c r="F1885" s="11" t="n"/>
      <c r="G1885" s="8" t="n"/>
      <c r="H1885" s="8" t="n"/>
      <c r="I1885" s="8" t="n"/>
      <c r="J1885" s="8" t="n"/>
      <c r="K1885" s="12">
        <f>IF(OR(ISERROR(VLOOKUP(C1885, Resultados_Reales!$A$4:$I$107, 5, FALSE)), ISERROR(VLOOKUP(C1885, Resultados_Reales!$A$4:$I$107, 6, FALSE)), VLOOKUP(C1885, Resultados_Reales!$A$4:$I$107, 5, FALSE)="", VLOOKUP(C1885, Resultados_Reales!$A$4:$I$107, 6, FALSE)=""), 0, IF(AND(VLOOKUP(C1885, Resultados_Reales!$A$4:$I$107, 5, FALSE)=G1885, VLOOKUP(C1885, Resultados_Reales!$A$4:$I$107, 6, FALSE)=H1885), Configuracion!$B$5, IF(SIGN(VLOOKUP(C1885, Resultados_Reales!$A$4:$I$107, 5, FALSE)-VLOOKUP(C1885, Resultados_Reales!$A$4:$I$107, 6, FALSE)) = SIGN(G1885-H1885), Configuracion!$B$4, 0)))</f>
        <v/>
      </c>
      <c r="L1885" s="11" t="n"/>
      <c r="M1885" s="11" t="n"/>
      <c r="N1885" s="11" t="n"/>
      <c r="O1885" s="11" t="n"/>
      <c r="P1885" s="11" t="n"/>
      <c r="Q1885" s="11" t="n"/>
    </row>
    <row r="1886">
      <c r="A1886" s="8">
        <f>B1886&amp;"_"&amp;C1886</f>
        <v/>
      </c>
      <c r="B1886" s="8" t="n"/>
      <c r="C1886" s="8" t="n"/>
      <c r="D1886" s="8" t="n"/>
      <c r="E1886" s="11" t="n"/>
      <c r="F1886" s="11" t="n"/>
      <c r="G1886" s="8" t="n"/>
      <c r="H1886" s="8" t="n"/>
      <c r="I1886" s="8" t="n"/>
      <c r="J1886" s="8" t="n"/>
      <c r="K1886" s="12">
        <f>IF(OR(ISERROR(VLOOKUP(C1886, Resultados_Reales!$A$4:$I$107, 5, FALSE)), ISERROR(VLOOKUP(C1886, Resultados_Reales!$A$4:$I$107, 6, FALSE)), VLOOKUP(C1886, Resultados_Reales!$A$4:$I$107, 5, FALSE)="", VLOOKUP(C1886, Resultados_Reales!$A$4:$I$107, 6, FALSE)=""), 0, IF(AND(VLOOKUP(C1886, Resultados_Reales!$A$4:$I$107, 5, FALSE)=G1886, VLOOKUP(C1886, Resultados_Reales!$A$4:$I$107, 6, FALSE)=H1886), Configuracion!$B$5, IF(SIGN(VLOOKUP(C1886, Resultados_Reales!$A$4:$I$107, 5, FALSE)-VLOOKUP(C1886, Resultados_Reales!$A$4:$I$107, 6, FALSE)) = SIGN(G1886-H1886), Configuracion!$B$4, 0)))</f>
        <v/>
      </c>
      <c r="L1886" s="11" t="n"/>
      <c r="M1886" s="11" t="n"/>
      <c r="N1886" s="11" t="n"/>
      <c r="O1886" s="11" t="n"/>
      <c r="P1886" s="11" t="n"/>
      <c r="Q1886" s="11" t="n"/>
    </row>
    <row r="1887">
      <c r="A1887" s="8">
        <f>B1887&amp;"_"&amp;C1887</f>
        <v/>
      </c>
      <c r="B1887" s="8" t="n"/>
      <c r="C1887" s="8" t="n"/>
      <c r="D1887" s="8" t="n"/>
      <c r="E1887" s="11" t="n"/>
      <c r="F1887" s="11" t="n"/>
      <c r="G1887" s="8" t="n"/>
      <c r="H1887" s="8" t="n"/>
      <c r="I1887" s="8" t="n"/>
      <c r="J1887" s="8" t="n"/>
      <c r="K1887" s="12">
        <f>IF(OR(ISERROR(VLOOKUP(C1887, Resultados_Reales!$A$4:$I$107, 5, FALSE)), ISERROR(VLOOKUP(C1887, Resultados_Reales!$A$4:$I$107, 6, FALSE)), VLOOKUP(C1887, Resultados_Reales!$A$4:$I$107, 5, FALSE)="", VLOOKUP(C1887, Resultados_Reales!$A$4:$I$107, 6, FALSE)=""), 0, IF(AND(VLOOKUP(C1887, Resultados_Reales!$A$4:$I$107, 5, FALSE)=G1887, VLOOKUP(C1887, Resultados_Reales!$A$4:$I$107, 6, FALSE)=H1887), Configuracion!$B$5, IF(SIGN(VLOOKUP(C1887, Resultados_Reales!$A$4:$I$107, 5, FALSE)-VLOOKUP(C1887, Resultados_Reales!$A$4:$I$107, 6, FALSE)) = SIGN(G1887-H1887), Configuracion!$B$4, 0)))</f>
        <v/>
      </c>
      <c r="L1887" s="11" t="n"/>
      <c r="M1887" s="11" t="n"/>
      <c r="N1887" s="11" t="n"/>
      <c r="O1887" s="11" t="n"/>
      <c r="P1887" s="11" t="n"/>
      <c r="Q1887" s="11" t="n"/>
    </row>
    <row r="1888">
      <c r="A1888" s="8">
        <f>B1888&amp;"_"&amp;C1888</f>
        <v/>
      </c>
      <c r="B1888" s="8" t="n"/>
      <c r="C1888" s="8" t="n"/>
      <c r="D1888" s="8" t="n"/>
      <c r="E1888" s="11" t="n"/>
      <c r="F1888" s="11" t="n"/>
      <c r="G1888" s="8" t="n"/>
      <c r="H1888" s="8" t="n"/>
      <c r="I1888" s="8" t="n"/>
      <c r="J1888" s="8" t="n"/>
      <c r="K1888" s="12">
        <f>IF(OR(ISERROR(VLOOKUP(C1888, Resultados_Reales!$A$4:$I$107, 5, FALSE)), ISERROR(VLOOKUP(C1888, Resultados_Reales!$A$4:$I$107, 6, FALSE)), VLOOKUP(C1888, Resultados_Reales!$A$4:$I$107, 5, FALSE)="", VLOOKUP(C1888, Resultados_Reales!$A$4:$I$107, 6, FALSE)=""), 0, IF(AND(VLOOKUP(C1888, Resultados_Reales!$A$4:$I$107, 5, FALSE)=G1888, VLOOKUP(C1888, Resultados_Reales!$A$4:$I$107, 6, FALSE)=H1888), Configuracion!$B$5, IF(SIGN(VLOOKUP(C1888, Resultados_Reales!$A$4:$I$107, 5, FALSE)-VLOOKUP(C1888, Resultados_Reales!$A$4:$I$107, 6, FALSE)) = SIGN(G1888-H1888), Configuracion!$B$4, 0)))</f>
        <v/>
      </c>
      <c r="L1888" s="11" t="n"/>
      <c r="M1888" s="11" t="n"/>
      <c r="N1888" s="11" t="n"/>
      <c r="O1888" s="11" t="n"/>
      <c r="P1888" s="11" t="n"/>
      <c r="Q1888" s="11" t="n"/>
    </row>
    <row r="1889">
      <c r="A1889" s="8">
        <f>B1889&amp;"_"&amp;C1889</f>
        <v/>
      </c>
      <c r="B1889" s="8" t="n"/>
      <c r="C1889" s="8" t="n"/>
      <c r="D1889" s="8" t="n"/>
      <c r="E1889" s="11" t="n"/>
      <c r="F1889" s="11" t="n"/>
      <c r="G1889" s="8" t="n"/>
      <c r="H1889" s="8" t="n"/>
      <c r="I1889" s="8" t="n"/>
      <c r="J1889" s="8" t="n"/>
      <c r="K1889" s="12">
        <f>IF(OR(ISERROR(VLOOKUP(C1889, Resultados_Reales!$A$4:$I$107, 5, FALSE)), ISERROR(VLOOKUP(C1889, Resultados_Reales!$A$4:$I$107, 6, FALSE)), VLOOKUP(C1889, Resultados_Reales!$A$4:$I$107, 5, FALSE)="", VLOOKUP(C1889, Resultados_Reales!$A$4:$I$107, 6, FALSE)=""), 0, IF(AND(VLOOKUP(C1889, Resultados_Reales!$A$4:$I$107, 5, FALSE)=G1889, VLOOKUP(C1889, Resultados_Reales!$A$4:$I$107, 6, FALSE)=H1889), Configuracion!$B$5, IF(SIGN(VLOOKUP(C1889, Resultados_Reales!$A$4:$I$107, 5, FALSE)-VLOOKUP(C1889, Resultados_Reales!$A$4:$I$107, 6, FALSE)) = SIGN(G1889-H1889), Configuracion!$B$4, 0)))</f>
        <v/>
      </c>
      <c r="L1889" s="11" t="n"/>
      <c r="M1889" s="11" t="n"/>
      <c r="N1889" s="11" t="n"/>
      <c r="O1889" s="11" t="n"/>
      <c r="P1889" s="11" t="n"/>
      <c r="Q1889" s="11" t="n"/>
    </row>
    <row r="1890">
      <c r="A1890" s="8">
        <f>B1890&amp;"_"&amp;C1890</f>
        <v/>
      </c>
      <c r="B1890" s="8" t="n"/>
      <c r="C1890" s="8" t="n"/>
      <c r="D1890" s="8" t="n"/>
      <c r="E1890" s="11" t="n"/>
      <c r="F1890" s="11" t="n"/>
      <c r="G1890" s="8" t="n"/>
      <c r="H1890" s="8" t="n"/>
      <c r="I1890" s="8" t="n"/>
      <c r="J1890" s="8" t="n"/>
      <c r="K1890" s="12">
        <f>IF(OR(ISERROR(VLOOKUP(C1890, Resultados_Reales!$A$4:$I$107, 5, FALSE)), ISERROR(VLOOKUP(C1890, Resultados_Reales!$A$4:$I$107, 6, FALSE)), VLOOKUP(C1890, Resultados_Reales!$A$4:$I$107, 5, FALSE)="", VLOOKUP(C1890, Resultados_Reales!$A$4:$I$107, 6, FALSE)=""), 0, IF(AND(VLOOKUP(C1890, Resultados_Reales!$A$4:$I$107, 5, FALSE)=G1890, VLOOKUP(C1890, Resultados_Reales!$A$4:$I$107, 6, FALSE)=H1890), Configuracion!$B$5, IF(SIGN(VLOOKUP(C1890, Resultados_Reales!$A$4:$I$107, 5, FALSE)-VLOOKUP(C1890, Resultados_Reales!$A$4:$I$107, 6, FALSE)) = SIGN(G1890-H1890), Configuracion!$B$4, 0)))</f>
        <v/>
      </c>
      <c r="L1890" s="11" t="n"/>
      <c r="M1890" s="11" t="n"/>
      <c r="N1890" s="11" t="n"/>
      <c r="O1890" s="11" t="n"/>
      <c r="P1890" s="11" t="n"/>
      <c r="Q1890" s="11" t="n"/>
    </row>
    <row r="1891">
      <c r="A1891" s="8">
        <f>B1891&amp;"_"&amp;C1891</f>
        <v/>
      </c>
      <c r="B1891" s="8" t="n"/>
      <c r="C1891" s="8" t="n"/>
      <c r="D1891" s="8" t="n"/>
      <c r="E1891" s="11" t="n"/>
      <c r="F1891" s="11" t="n"/>
      <c r="G1891" s="8" t="n"/>
      <c r="H1891" s="8" t="n"/>
      <c r="I1891" s="8" t="n"/>
      <c r="J1891" s="8" t="n"/>
      <c r="K1891" s="12">
        <f>IF(OR(ISERROR(VLOOKUP(C1891, Resultados_Reales!$A$4:$I$107, 5, FALSE)), ISERROR(VLOOKUP(C1891, Resultados_Reales!$A$4:$I$107, 6, FALSE)), VLOOKUP(C1891, Resultados_Reales!$A$4:$I$107, 5, FALSE)="", VLOOKUP(C1891, Resultados_Reales!$A$4:$I$107, 6, FALSE)=""), 0, IF(AND(VLOOKUP(C1891, Resultados_Reales!$A$4:$I$107, 5, FALSE)=G1891, VLOOKUP(C1891, Resultados_Reales!$A$4:$I$107, 6, FALSE)=H1891), Configuracion!$B$5, IF(SIGN(VLOOKUP(C1891, Resultados_Reales!$A$4:$I$107, 5, FALSE)-VLOOKUP(C1891, Resultados_Reales!$A$4:$I$107, 6, FALSE)) = SIGN(G1891-H1891), Configuracion!$B$4, 0)))</f>
        <v/>
      </c>
      <c r="L1891" s="11" t="n"/>
      <c r="M1891" s="11" t="n"/>
      <c r="N1891" s="11" t="n"/>
      <c r="O1891" s="11" t="n"/>
      <c r="P1891" s="11" t="n"/>
      <c r="Q1891" s="11" t="n"/>
    </row>
    <row r="1892">
      <c r="A1892" s="8">
        <f>B1892&amp;"_"&amp;C1892</f>
        <v/>
      </c>
      <c r="B1892" s="8" t="n"/>
      <c r="C1892" s="8" t="n"/>
      <c r="D1892" s="8" t="n"/>
      <c r="E1892" s="11" t="n"/>
      <c r="F1892" s="11" t="n"/>
      <c r="G1892" s="8" t="n"/>
      <c r="H1892" s="8" t="n"/>
      <c r="I1892" s="8" t="n"/>
      <c r="J1892" s="8" t="n"/>
      <c r="K1892" s="12">
        <f>IF(OR(ISERROR(VLOOKUP(C1892, Resultados_Reales!$A$4:$I$107, 5, FALSE)), ISERROR(VLOOKUP(C1892, Resultados_Reales!$A$4:$I$107, 6, FALSE)), VLOOKUP(C1892, Resultados_Reales!$A$4:$I$107, 5, FALSE)="", VLOOKUP(C1892, Resultados_Reales!$A$4:$I$107, 6, FALSE)=""), 0, IF(AND(VLOOKUP(C1892, Resultados_Reales!$A$4:$I$107, 5, FALSE)=G1892, VLOOKUP(C1892, Resultados_Reales!$A$4:$I$107, 6, FALSE)=H1892), Configuracion!$B$5, IF(SIGN(VLOOKUP(C1892, Resultados_Reales!$A$4:$I$107, 5, FALSE)-VLOOKUP(C1892, Resultados_Reales!$A$4:$I$107, 6, FALSE)) = SIGN(G1892-H1892), Configuracion!$B$4, 0)))</f>
        <v/>
      </c>
      <c r="L1892" s="11" t="n"/>
      <c r="M1892" s="11" t="n"/>
      <c r="N1892" s="11" t="n"/>
      <c r="O1892" s="11" t="n"/>
      <c r="P1892" s="11" t="n"/>
      <c r="Q1892" s="11" t="n"/>
    </row>
    <row r="1893">
      <c r="A1893" s="8">
        <f>B1893&amp;"_"&amp;C1893</f>
        <v/>
      </c>
      <c r="B1893" s="8" t="n"/>
      <c r="C1893" s="8" t="n"/>
      <c r="D1893" s="8" t="n"/>
      <c r="E1893" s="11" t="n"/>
      <c r="F1893" s="11" t="n"/>
      <c r="G1893" s="8" t="n"/>
      <c r="H1893" s="8" t="n"/>
      <c r="I1893" s="8" t="n"/>
      <c r="J1893" s="8" t="n"/>
      <c r="K1893" s="12">
        <f>IF(OR(ISERROR(VLOOKUP(C1893, Resultados_Reales!$A$4:$I$107, 5, FALSE)), ISERROR(VLOOKUP(C1893, Resultados_Reales!$A$4:$I$107, 6, FALSE)), VLOOKUP(C1893, Resultados_Reales!$A$4:$I$107, 5, FALSE)="", VLOOKUP(C1893, Resultados_Reales!$A$4:$I$107, 6, FALSE)=""), 0, IF(AND(VLOOKUP(C1893, Resultados_Reales!$A$4:$I$107, 5, FALSE)=G1893, VLOOKUP(C1893, Resultados_Reales!$A$4:$I$107, 6, FALSE)=H1893), Configuracion!$B$5, IF(SIGN(VLOOKUP(C1893, Resultados_Reales!$A$4:$I$107, 5, FALSE)-VLOOKUP(C1893, Resultados_Reales!$A$4:$I$107, 6, FALSE)) = SIGN(G1893-H1893), Configuracion!$B$4, 0)))</f>
        <v/>
      </c>
      <c r="L1893" s="11" t="n"/>
      <c r="M1893" s="11" t="n"/>
      <c r="N1893" s="11" t="n"/>
      <c r="O1893" s="11" t="n"/>
      <c r="P1893" s="11" t="n"/>
      <c r="Q1893" s="11" t="n"/>
    </row>
    <row r="1894">
      <c r="A1894" s="8">
        <f>B1894&amp;"_"&amp;C1894</f>
        <v/>
      </c>
      <c r="B1894" s="8" t="n"/>
      <c r="C1894" s="8" t="n"/>
      <c r="D1894" s="8" t="n"/>
      <c r="E1894" s="11" t="n"/>
      <c r="F1894" s="11" t="n"/>
      <c r="G1894" s="8" t="n"/>
      <c r="H1894" s="8" t="n"/>
      <c r="I1894" s="8" t="n"/>
      <c r="J1894" s="8" t="n"/>
      <c r="K1894" s="12">
        <f>IF(OR(ISERROR(VLOOKUP(C1894, Resultados_Reales!$A$4:$I$107, 5, FALSE)), ISERROR(VLOOKUP(C1894, Resultados_Reales!$A$4:$I$107, 6, FALSE)), VLOOKUP(C1894, Resultados_Reales!$A$4:$I$107, 5, FALSE)="", VLOOKUP(C1894, Resultados_Reales!$A$4:$I$107, 6, FALSE)=""), 0, IF(AND(VLOOKUP(C1894, Resultados_Reales!$A$4:$I$107, 5, FALSE)=G1894, VLOOKUP(C1894, Resultados_Reales!$A$4:$I$107, 6, FALSE)=H1894), Configuracion!$B$5, IF(SIGN(VLOOKUP(C1894, Resultados_Reales!$A$4:$I$107, 5, FALSE)-VLOOKUP(C1894, Resultados_Reales!$A$4:$I$107, 6, FALSE)) = SIGN(G1894-H1894), Configuracion!$B$4, 0)))</f>
        <v/>
      </c>
      <c r="L1894" s="11" t="n"/>
      <c r="M1894" s="11" t="n"/>
      <c r="N1894" s="11" t="n"/>
      <c r="O1894" s="11" t="n"/>
      <c r="P1894" s="11" t="n"/>
      <c r="Q1894" s="11" t="n"/>
    </row>
    <row r="1895">
      <c r="A1895" s="8">
        <f>B1895&amp;"_"&amp;C1895</f>
        <v/>
      </c>
      <c r="B1895" s="8" t="n"/>
      <c r="C1895" s="8" t="n"/>
      <c r="D1895" s="8" t="n"/>
      <c r="E1895" s="11" t="n"/>
      <c r="F1895" s="11" t="n"/>
      <c r="G1895" s="8" t="n"/>
      <c r="H1895" s="8" t="n"/>
      <c r="I1895" s="8" t="n"/>
      <c r="J1895" s="8" t="n"/>
      <c r="K1895" s="12">
        <f>IF(OR(ISERROR(VLOOKUP(C1895, Resultados_Reales!$A$4:$I$107, 5, FALSE)), ISERROR(VLOOKUP(C1895, Resultados_Reales!$A$4:$I$107, 6, FALSE)), VLOOKUP(C1895, Resultados_Reales!$A$4:$I$107, 5, FALSE)="", VLOOKUP(C1895, Resultados_Reales!$A$4:$I$107, 6, FALSE)=""), 0, IF(AND(VLOOKUP(C1895, Resultados_Reales!$A$4:$I$107, 5, FALSE)=G1895, VLOOKUP(C1895, Resultados_Reales!$A$4:$I$107, 6, FALSE)=H1895), Configuracion!$B$5, IF(SIGN(VLOOKUP(C1895, Resultados_Reales!$A$4:$I$107, 5, FALSE)-VLOOKUP(C1895, Resultados_Reales!$A$4:$I$107, 6, FALSE)) = SIGN(G1895-H1895), Configuracion!$B$4, 0)))</f>
        <v/>
      </c>
      <c r="L1895" s="11" t="n"/>
      <c r="M1895" s="11" t="n"/>
      <c r="N1895" s="11" t="n"/>
      <c r="O1895" s="11" t="n"/>
      <c r="P1895" s="11" t="n"/>
      <c r="Q1895" s="11" t="n"/>
    </row>
    <row r="1896">
      <c r="A1896" s="8">
        <f>B1896&amp;"_"&amp;C1896</f>
        <v/>
      </c>
      <c r="B1896" s="8" t="n"/>
      <c r="C1896" s="8" t="n"/>
      <c r="D1896" s="8" t="n"/>
      <c r="E1896" s="11" t="n"/>
      <c r="F1896" s="11" t="n"/>
      <c r="G1896" s="8" t="n"/>
      <c r="H1896" s="8" t="n"/>
      <c r="I1896" s="8" t="n"/>
      <c r="J1896" s="8" t="n"/>
      <c r="K1896" s="12">
        <f>IF(OR(ISERROR(VLOOKUP(C1896, Resultados_Reales!$A$4:$I$107, 5, FALSE)), ISERROR(VLOOKUP(C1896, Resultados_Reales!$A$4:$I$107, 6, FALSE)), VLOOKUP(C1896, Resultados_Reales!$A$4:$I$107, 5, FALSE)="", VLOOKUP(C1896, Resultados_Reales!$A$4:$I$107, 6, FALSE)=""), 0, IF(AND(VLOOKUP(C1896, Resultados_Reales!$A$4:$I$107, 5, FALSE)=G1896, VLOOKUP(C1896, Resultados_Reales!$A$4:$I$107, 6, FALSE)=H1896), Configuracion!$B$5, IF(SIGN(VLOOKUP(C1896, Resultados_Reales!$A$4:$I$107, 5, FALSE)-VLOOKUP(C1896, Resultados_Reales!$A$4:$I$107, 6, FALSE)) = SIGN(G1896-H1896), Configuracion!$B$4, 0)))</f>
        <v/>
      </c>
      <c r="L1896" s="11" t="n"/>
      <c r="M1896" s="11" t="n"/>
      <c r="N1896" s="11" t="n"/>
      <c r="O1896" s="11" t="n"/>
      <c r="P1896" s="11" t="n"/>
      <c r="Q1896" s="11" t="n"/>
    </row>
    <row r="1897">
      <c r="A1897" s="8">
        <f>B1897&amp;"_"&amp;C1897</f>
        <v/>
      </c>
      <c r="B1897" s="8" t="n"/>
      <c r="C1897" s="8" t="n"/>
      <c r="D1897" s="8" t="n"/>
      <c r="E1897" s="11" t="n"/>
      <c r="F1897" s="11" t="n"/>
      <c r="G1897" s="8" t="n"/>
      <c r="H1897" s="8" t="n"/>
      <c r="I1897" s="8" t="n"/>
      <c r="J1897" s="8" t="n"/>
      <c r="K1897" s="12">
        <f>IF(OR(ISERROR(VLOOKUP(C1897, Resultados_Reales!$A$4:$I$107, 5, FALSE)), ISERROR(VLOOKUP(C1897, Resultados_Reales!$A$4:$I$107, 6, FALSE)), VLOOKUP(C1897, Resultados_Reales!$A$4:$I$107, 5, FALSE)="", VLOOKUP(C1897, Resultados_Reales!$A$4:$I$107, 6, FALSE)=""), 0, IF(AND(VLOOKUP(C1897, Resultados_Reales!$A$4:$I$107, 5, FALSE)=G1897, VLOOKUP(C1897, Resultados_Reales!$A$4:$I$107, 6, FALSE)=H1897), Configuracion!$B$5, IF(SIGN(VLOOKUP(C1897, Resultados_Reales!$A$4:$I$107, 5, FALSE)-VLOOKUP(C1897, Resultados_Reales!$A$4:$I$107, 6, FALSE)) = SIGN(G1897-H1897), Configuracion!$B$4, 0)))</f>
        <v/>
      </c>
      <c r="L1897" s="11" t="n"/>
      <c r="M1897" s="11" t="n"/>
      <c r="N1897" s="11" t="n"/>
      <c r="O1897" s="11" t="n"/>
      <c r="P1897" s="11" t="n"/>
      <c r="Q1897" s="11" t="n"/>
    </row>
    <row r="1898">
      <c r="A1898" s="8">
        <f>B1898&amp;"_"&amp;C1898</f>
        <v/>
      </c>
      <c r="B1898" s="8" t="n"/>
      <c r="C1898" s="8" t="n"/>
      <c r="D1898" s="8" t="n"/>
      <c r="E1898" s="11" t="n"/>
      <c r="F1898" s="11" t="n"/>
      <c r="G1898" s="8" t="n"/>
      <c r="H1898" s="8" t="n"/>
      <c r="I1898" s="8" t="n"/>
      <c r="J1898" s="8" t="n"/>
      <c r="K1898" s="12">
        <f>IF(OR(ISERROR(VLOOKUP(C1898, Resultados_Reales!$A$4:$I$107, 5, FALSE)), ISERROR(VLOOKUP(C1898, Resultados_Reales!$A$4:$I$107, 6, FALSE)), VLOOKUP(C1898, Resultados_Reales!$A$4:$I$107, 5, FALSE)="", VLOOKUP(C1898, Resultados_Reales!$A$4:$I$107, 6, FALSE)=""), 0, IF(AND(VLOOKUP(C1898, Resultados_Reales!$A$4:$I$107, 5, FALSE)=G1898, VLOOKUP(C1898, Resultados_Reales!$A$4:$I$107, 6, FALSE)=H1898), Configuracion!$B$5, IF(SIGN(VLOOKUP(C1898, Resultados_Reales!$A$4:$I$107, 5, FALSE)-VLOOKUP(C1898, Resultados_Reales!$A$4:$I$107, 6, FALSE)) = SIGN(G1898-H1898), Configuracion!$B$4, 0)))</f>
        <v/>
      </c>
      <c r="L1898" s="11" t="n"/>
      <c r="M1898" s="11" t="n"/>
      <c r="N1898" s="11" t="n"/>
      <c r="O1898" s="11" t="n"/>
      <c r="P1898" s="11" t="n"/>
      <c r="Q1898" s="11" t="n"/>
    </row>
    <row r="1899">
      <c r="A1899" s="8">
        <f>B1899&amp;"_"&amp;C1899</f>
        <v/>
      </c>
      <c r="B1899" s="8" t="n"/>
      <c r="C1899" s="8" t="n"/>
      <c r="D1899" s="8" t="n"/>
      <c r="E1899" s="11" t="n"/>
      <c r="F1899" s="11" t="n"/>
      <c r="G1899" s="8" t="n"/>
      <c r="H1899" s="8" t="n"/>
      <c r="I1899" s="8" t="n"/>
      <c r="J1899" s="8" t="n"/>
      <c r="K1899" s="12">
        <f>IF(OR(ISERROR(VLOOKUP(C1899, Resultados_Reales!$A$4:$I$107, 5, FALSE)), ISERROR(VLOOKUP(C1899, Resultados_Reales!$A$4:$I$107, 6, FALSE)), VLOOKUP(C1899, Resultados_Reales!$A$4:$I$107, 5, FALSE)="", VLOOKUP(C1899, Resultados_Reales!$A$4:$I$107, 6, FALSE)=""), 0, IF(AND(VLOOKUP(C1899, Resultados_Reales!$A$4:$I$107, 5, FALSE)=G1899, VLOOKUP(C1899, Resultados_Reales!$A$4:$I$107, 6, FALSE)=H1899), Configuracion!$B$5, IF(SIGN(VLOOKUP(C1899, Resultados_Reales!$A$4:$I$107, 5, FALSE)-VLOOKUP(C1899, Resultados_Reales!$A$4:$I$107, 6, FALSE)) = SIGN(G1899-H1899), Configuracion!$B$4, 0)))</f>
        <v/>
      </c>
      <c r="L1899" s="11" t="n"/>
      <c r="M1899" s="11" t="n"/>
      <c r="N1899" s="11" t="n"/>
      <c r="O1899" s="11" t="n"/>
      <c r="P1899" s="11" t="n"/>
      <c r="Q1899" s="11" t="n"/>
    </row>
    <row r="1900">
      <c r="A1900" s="8">
        <f>B1900&amp;"_"&amp;C1900</f>
        <v/>
      </c>
      <c r="B1900" s="8" t="n"/>
      <c r="C1900" s="8" t="n"/>
      <c r="D1900" s="8" t="n"/>
      <c r="E1900" s="11" t="n"/>
      <c r="F1900" s="11" t="n"/>
      <c r="G1900" s="8" t="n"/>
      <c r="H1900" s="8" t="n"/>
      <c r="I1900" s="8" t="n"/>
      <c r="J1900" s="8" t="n"/>
      <c r="K1900" s="12">
        <f>IF(OR(ISERROR(VLOOKUP(C1900, Resultados_Reales!$A$4:$I$107, 5, FALSE)), ISERROR(VLOOKUP(C1900, Resultados_Reales!$A$4:$I$107, 6, FALSE)), VLOOKUP(C1900, Resultados_Reales!$A$4:$I$107, 5, FALSE)="", VLOOKUP(C1900, Resultados_Reales!$A$4:$I$107, 6, FALSE)=""), 0, IF(AND(VLOOKUP(C1900, Resultados_Reales!$A$4:$I$107, 5, FALSE)=G1900, VLOOKUP(C1900, Resultados_Reales!$A$4:$I$107, 6, FALSE)=H1900), Configuracion!$B$5, IF(SIGN(VLOOKUP(C1900, Resultados_Reales!$A$4:$I$107, 5, FALSE)-VLOOKUP(C1900, Resultados_Reales!$A$4:$I$107, 6, FALSE)) = SIGN(G1900-H1900), Configuracion!$B$4, 0)))</f>
        <v/>
      </c>
      <c r="L1900" s="11" t="n"/>
      <c r="M1900" s="11" t="n"/>
      <c r="N1900" s="11" t="n"/>
      <c r="O1900" s="11" t="n"/>
      <c r="P1900" s="11" t="n"/>
      <c r="Q1900" s="11" t="n"/>
    </row>
    <row r="1901">
      <c r="A1901" s="8">
        <f>B1901&amp;"_"&amp;C1901</f>
        <v/>
      </c>
      <c r="B1901" s="8" t="n"/>
      <c r="C1901" s="8" t="n"/>
      <c r="D1901" s="8" t="n"/>
      <c r="E1901" s="11" t="n"/>
      <c r="F1901" s="11" t="n"/>
      <c r="G1901" s="8" t="n"/>
      <c r="H1901" s="8" t="n"/>
      <c r="I1901" s="8" t="n"/>
      <c r="J1901" s="8" t="n"/>
      <c r="K1901" s="12">
        <f>IF(OR(ISERROR(VLOOKUP(C1901, Resultados_Reales!$A$4:$I$107, 5, FALSE)), ISERROR(VLOOKUP(C1901, Resultados_Reales!$A$4:$I$107, 6, FALSE)), VLOOKUP(C1901, Resultados_Reales!$A$4:$I$107, 5, FALSE)="", VLOOKUP(C1901, Resultados_Reales!$A$4:$I$107, 6, FALSE)=""), 0, IF(AND(VLOOKUP(C1901, Resultados_Reales!$A$4:$I$107, 5, FALSE)=G1901, VLOOKUP(C1901, Resultados_Reales!$A$4:$I$107, 6, FALSE)=H1901), Configuracion!$B$5, IF(SIGN(VLOOKUP(C1901, Resultados_Reales!$A$4:$I$107, 5, FALSE)-VLOOKUP(C1901, Resultados_Reales!$A$4:$I$107, 6, FALSE)) = SIGN(G1901-H1901), Configuracion!$B$4, 0)))</f>
        <v/>
      </c>
      <c r="L1901" s="11" t="n"/>
      <c r="M1901" s="11" t="n"/>
      <c r="N1901" s="11" t="n"/>
      <c r="O1901" s="11" t="n"/>
      <c r="P1901" s="11" t="n"/>
      <c r="Q1901" s="11" t="n"/>
    </row>
    <row r="1902">
      <c r="A1902" s="8">
        <f>B1902&amp;"_"&amp;C1902</f>
        <v/>
      </c>
      <c r="B1902" s="8" t="n"/>
      <c r="C1902" s="8" t="n"/>
      <c r="D1902" s="8" t="n"/>
      <c r="E1902" s="11" t="n"/>
      <c r="F1902" s="11" t="n"/>
      <c r="G1902" s="8" t="n"/>
      <c r="H1902" s="8" t="n"/>
      <c r="I1902" s="8" t="n"/>
      <c r="J1902" s="8" t="n"/>
      <c r="K1902" s="12">
        <f>IF(OR(ISERROR(VLOOKUP(C1902, Resultados_Reales!$A$4:$I$107, 5, FALSE)), ISERROR(VLOOKUP(C1902, Resultados_Reales!$A$4:$I$107, 6, FALSE)), VLOOKUP(C1902, Resultados_Reales!$A$4:$I$107, 5, FALSE)="", VLOOKUP(C1902, Resultados_Reales!$A$4:$I$107, 6, FALSE)=""), 0, IF(AND(VLOOKUP(C1902, Resultados_Reales!$A$4:$I$107, 5, FALSE)=G1902, VLOOKUP(C1902, Resultados_Reales!$A$4:$I$107, 6, FALSE)=H1902), Configuracion!$B$5, IF(SIGN(VLOOKUP(C1902, Resultados_Reales!$A$4:$I$107, 5, FALSE)-VLOOKUP(C1902, Resultados_Reales!$A$4:$I$107, 6, FALSE)) = SIGN(G1902-H1902), Configuracion!$B$4, 0)))</f>
        <v/>
      </c>
      <c r="L1902" s="11" t="n"/>
      <c r="M1902" s="11" t="n"/>
      <c r="N1902" s="11" t="n"/>
      <c r="O1902" s="11" t="n"/>
      <c r="P1902" s="11" t="n"/>
      <c r="Q1902" s="11" t="n"/>
    </row>
    <row r="1903">
      <c r="A1903" s="8">
        <f>B1903&amp;"_"&amp;C1903</f>
        <v/>
      </c>
      <c r="B1903" s="8" t="n"/>
      <c r="C1903" s="8" t="n"/>
      <c r="D1903" s="8" t="n"/>
      <c r="E1903" s="11" t="n"/>
      <c r="F1903" s="11" t="n"/>
      <c r="G1903" s="8" t="n"/>
      <c r="H1903" s="8" t="n"/>
      <c r="I1903" s="8" t="n"/>
      <c r="J1903" s="8" t="n"/>
      <c r="K1903" s="12">
        <f>IF(OR(ISERROR(VLOOKUP(C1903, Resultados_Reales!$A$4:$I$107, 5, FALSE)), ISERROR(VLOOKUP(C1903, Resultados_Reales!$A$4:$I$107, 6, FALSE)), VLOOKUP(C1903, Resultados_Reales!$A$4:$I$107, 5, FALSE)="", VLOOKUP(C1903, Resultados_Reales!$A$4:$I$107, 6, FALSE)=""), 0, IF(AND(VLOOKUP(C1903, Resultados_Reales!$A$4:$I$107, 5, FALSE)=G1903, VLOOKUP(C1903, Resultados_Reales!$A$4:$I$107, 6, FALSE)=H1903), Configuracion!$B$5, IF(SIGN(VLOOKUP(C1903, Resultados_Reales!$A$4:$I$107, 5, FALSE)-VLOOKUP(C1903, Resultados_Reales!$A$4:$I$107, 6, FALSE)) = SIGN(G1903-H1903), Configuracion!$B$4, 0)))</f>
        <v/>
      </c>
      <c r="L1903" s="11" t="n"/>
      <c r="M1903" s="11" t="n"/>
      <c r="N1903" s="11" t="n"/>
      <c r="O1903" s="11" t="n"/>
      <c r="P1903" s="11" t="n"/>
      <c r="Q1903" s="11" t="n"/>
    </row>
    <row r="1904">
      <c r="A1904" s="8">
        <f>B1904&amp;"_"&amp;C1904</f>
        <v/>
      </c>
      <c r="B1904" s="8" t="n"/>
      <c r="C1904" s="8" t="n"/>
      <c r="D1904" s="8" t="n"/>
      <c r="E1904" s="11" t="n"/>
      <c r="F1904" s="11" t="n"/>
      <c r="G1904" s="8" t="n"/>
      <c r="H1904" s="8" t="n"/>
      <c r="I1904" s="8" t="n"/>
      <c r="J1904" s="8" t="n"/>
      <c r="K1904" s="12">
        <f>IF(OR(ISERROR(VLOOKUP(C1904, Resultados_Reales!$A$4:$I$107, 5, FALSE)), ISERROR(VLOOKUP(C1904, Resultados_Reales!$A$4:$I$107, 6, FALSE)), VLOOKUP(C1904, Resultados_Reales!$A$4:$I$107, 5, FALSE)="", VLOOKUP(C1904, Resultados_Reales!$A$4:$I$107, 6, FALSE)=""), 0, IF(AND(VLOOKUP(C1904, Resultados_Reales!$A$4:$I$107, 5, FALSE)=G1904, VLOOKUP(C1904, Resultados_Reales!$A$4:$I$107, 6, FALSE)=H1904), Configuracion!$B$5, IF(SIGN(VLOOKUP(C1904, Resultados_Reales!$A$4:$I$107, 5, FALSE)-VLOOKUP(C1904, Resultados_Reales!$A$4:$I$107, 6, FALSE)) = SIGN(G1904-H1904), Configuracion!$B$4, 0)))</f>
        <v/>
      </c>
      <c r="L1904" s="11" t="n"/>
      <c r="M1904" s="11" t="n"/>
      <c r="N1904" s="11" t="n"/>
      <c r="O1904" s="11" t="n"/>
      <c r="P1904" s="11" t="n"/>
      <c r="Q1904" s="11" t="n"/>
    </row>
    <row r="1905">
      <c r="A1905" s="8">
        <f>B1905&amp;"_"&amp;C1905</f>
        <v/>
      </c>
      <c r="B1905" s="8" t="n"/>
      <c r="C1905" s="8" t="n"/>
      <c r="D1905" s="8" t="n"/>
      <c r="E1905" s="11" t="n"/>
      <c r="F1905" s="11" t="n"/>
      <c r="G1905" s="8" t="n"/>
      <c r="H1905" s="8" t="n"/>
      <c r="I1905" s="8" t="n"/>
      <c r="J1905" s="8" t="n"/>
      <c r="K1905" s="12">
        <f>IF(OR(ISERROR(VLOOKUP(C1905, Resultados_Reales!$A$4:$I$107, 5, FALSE)), ISERROR(VLOOKUP(C1905, Resultados_Reales!$A$4:$I$107, 6, FALSE)), VLOOKUP(C1905, Resultados_Reales!$A$4:$I$107, 5, FALSE)="", VLOOKUP(C1905, Resultados_Reales!$A$4:$I$107, 6, FALSE)=""), 0, IF(AND(VLOOKUP(C1905, Resultados_Reales!$A$4:$I$107, 5, FALSE)=G1905, VLOOKUP(C1905, Resultados_Reales!$A$4:$I$107, 6, FALSE)=H1905), Configuracion!$B$5, IF(SIGN(VLOOKUP(C1905, Resultados_Reales!$A$4:$I$107, 5, FALSE)-VLOOKUP(C1905, Resultados_Reales!$A$4:$I$107, 6, FALSE)) = SIGN(G1905-H1905), Configuracion!$B$4, 0)))</f>
        <v/>
      </c>
      <c r="L1905" s="11" t="n"/>
      <c r="M1905" s="11" t="n"/>
      <c r="N1905" s="11" t="n"/>
      <c r="O1905" s="11" t="n"/>
      <c r="P1905" s="11" t="n"/>
      <c r="Q1905" s="11" t="n"/>
    </row>
    <row r="1906">
      <c r="A1906" s="8">
        <f>B1906&amp;"_"&amp;C1906</f>
        <v/>
      </c>
      <c r="B1906" s="8" t="n"/>
      <c r="C1906" s="8" t="n"/>
      <c r="D1906" s="8" t="n"/>
      <c r="E1906" s="11" t="n"/>
      <c r="F1906" s="11" t="n"/>
      <c r="G1906" s="8" t="n"/>
      <c r="H1906" s="8" t="n"/>
      <c r="I1906" s="8" t="n"/>
      <c r="J1906" s="8" t="n"/>
      <c r="K1906" s="12">
        <f>IF(OR(ISERROR(VLOOKUP(C1906, Resultados_Reales!$A$4:$I$107, 5, FALSE)), ISERROR(VLOOKUP(C1906, Resultados_Reales!$A$4:$I$107, 6, FALSE)), VLOOKUP(C1906, Resultados_Reales!$A$4:$I$107, 5, FALSE)="", VLOOKUP(C1906, Resultados_Reales!$A$4:$I$107, 6, FALSE)=""), 0, IF(AND(VLOOKUP(C1906, Resultados_Reales!$A$4:$I$107, 5, FALSE)=G1906, VLOOKUP(C1906, Resultados_Reales!$A$4:$I$107, 6, FALSE)=H1906), Configuracion!$B$5, IF(SIGN(VLOOKUP(C1906, Resultados_Reales!$A$4:$I$107, 5, FALSE)-VLOOKUP(C1906, Resultados_Reales!$A$4:$I$107, 6, FALSE)) = SIGN(G1906-H1906), Configuracion!$B$4, 0)))</f>
        <v/>
      </c>
      <c r="L1906" s="11" t="n"/>
      <c r="M1906" s="11" t="n"/>
      <c r="N1906" s="11" t="n"/>
      <c r="O1906" s="11" t="n"/>
      <c r="P1906" s="11" t="n"/>
      <c r="Q1906" s="11" t="n"/>
    </row>
    <row r="1907">
      <c r="A1907" s="8">
        <f>B1907&amp;"_"&amp;C1907</f>
        <v/>
      </c>
      <c r="B1907" s="8" t="n"/>
      <c r="C1907" s="8" t="n"/>
      <c r="D1907" s="8" t="n"/>
      <c r="E1907" s="11" t="n"/>
      <c r="F1907" s="11" t="n"/>
      <c r="G1907" s="8" t="n"/>
      <c r="H1907" s="8" t="n"/>
      <c r="I1907" s="8" t="n"/>
      <c r="J1907" s="8" t="n"/>
      <c r="K1907" s="12">
        <f>IF(OR(ISERROR(VLOOKUP(C1907, Resultados_Reales!$A$4:$I$107, 5, FALSE)), ISERROR(VLOOKUP(C1907, Resultados_Reales!$A$4:$I$107, 6, FALSE)), VLOOKUP(C1907, Resultados_Reales!$A$4:$I$107, 5, FALSE)="", VLOOKUP(C1907, Resultados_Reales!$A$4:$I$107, 6, FALSE)=""), 0, IF(AND(VLOOKUP(C1907, Resultados_Reales!$A$4:$I$107, 5, FALSE)=G1907, VLOOKUP(C1907, Resultados_Reales!$A$4:$I$107, 6, FALSE)=H1907), Configuracion!$B$5, IF(SIGN(VLOOKUP(C1907, Resultados_Reales!$A$4:$I$107, 5, FALSE)-VLOOKUP(C1907, Resultados_Reales!$A$4:$I$107, 6, FALSE)) = SIGN(G1907-H1907), Configuracion!$B$4, 0)))</f>
        <v/>
      </c>
      <c r="L1907" s="11" t="n"/>
      <c r="M1907" s="11" t="n"/>
      <c r="N1907" s="11" t="n"/>
      <c r="O1907" s="11" t="n"/>
      <c r="P1907" s="11" t="n"/>
      <c r="Q1907" s="11" t="n"/>
    </row>
    <row r="1908">
      <c r="A1908" s="8">
        <f>B1908&amp;"_"&amp;C1908</f>
        <v/>
      </c>
      <c r="B1908" s="8" t="n"/>
      <c r="C1908" s="8" t="n"/>
      <c r="D1908" s="8" t="n"/>
      <c r="E1908" s="11" t="n"/>
      <c r="F1908" s="11" t="n"/>
      <c r="G1908" s="8" t="n"/>
      <c r="H1908" s="8" t="n"/>
      <c r="I1908" s="8" t="n"/>
      <c r="J1908" s="8" t="n"/>
      <c r="K1908" s="12">
        <f>IF(OR(ISERROR(VLOOKUP(C1908, Resultados_Reales!$A$4:$I$107, 5, FALSE)), ISERROR(VLOOKUP(C1908, Resultados_Reales!$A$4:$I$107, 6, FALSE)), VLOOKUP(C1908, Resultados_Reales!$A$4:$I$107, 5, FALSE)="", VLOOKUP(C1908, Resultados_Reales!$A$4:$I$107, 6, FALSE)=""), 0, IF(AND(VLOOKUP(C1908, Resultados_Reales!$A$4:$I$107, 5, FALSE)=G1908, VLOOKUP(C1908, Resultados_Reales!$A$4:$I$107, 6, FALSE)=H1908), Configuracion!$B$5, IF(SIGN(VLOOKUP(C1908, Resultados_Reales!$A$4:$I$107, 5, FALSE)-VLOOKUP(C1908, Resultados_Reales!$A$4:$I$107, 6, FALSE)) = SIGN(G1908-H1908), Configuracion!$B$4, 0)))</f>
        <v/>
      </c>
      <c r="L1908" s="11" t="n"/>
      <c r="M1908" s="11" t="n"/>
      <c r="N1908" s="11" t="n"/>
      <c r="O1908" s="11" t="n"/>
      <c r="P1908" s="11" t="n"/>
      <c r="Q1908" s="11" t="n"/>
    </row>
    <row r="1909">
      <c r="A1909" s="8">
        <f>B1909&amp;"_"&amp;C1909</f>
        <v/>
      </c>
      <c r="B1909" s="8" t="n"/>
      <c r="C1909" s="8" t="n"/>
      <c r="D1909" s="8" t="n"/>
      <c r="E1909" s="11" t="n"/>
      <c r="F1909" s="11" t="n"/>
      <c r="G1909" s="8" t="n"/>
      <c r="H1909" s="8" t="n"/>
      <c r="I1909" s="8" t="n"/>
      <c r="J1909" s="8" t="n"/>
      <c r="K1909" s="12">
        <f>IF(OR(ISERROR(VLOOKUP(C1909, Resultados_Reales!$A$4:$I$107, 5, FALSE)), ISERROR(VLOOKUP(C1909, Resultados_Reales!$A$4:$I$107, 6, FALSE)), VLOOKUP(C1909, Resultados_Reales!$A$4:$I$107, 5, FALSE)="", VLOOKUP(C1909, Resultados_Reales!$A$4:$I$107, 6, FALSE)=""), 0, IF(AND(VLOOKUP(C1909, Resultados_Reales!$A$4:$I$107, 5, FALSE)=G1909, VLOOKUP(C1909, Resultados_Reales!$A$4:$I$107, 6, FALSE)=H1909), Configuracion!$B$5, IF(SIGN(VLOOKUP(C1909, Resultados_Reales!$A$4:$I$107, 5, FALSE)-VLOOKUP(C1909, Resultados_Reales!$A$4:$I$107, 6, FALSE)) = SIGN(G1909-H1909), Configuracion!$B$4, 0)))</f>
        <v/>
      </c>
      <c r="L1909" s="11" t="n"/>
      <c r="M1909" s="11" t="n"/>
      <c r="N1909" s="11" t="n"/>
      <c r="O1909" s="11" t="n"/>
      <c r="P1909" s="11" t="n"/>
      <c r="Q1909" s="11" t="n"/>
    </row>
    <row r="1910">
      <c r="A1910" s="8">
        <f>B1910&amp;"_"&amp;C1910</f>
        <v/>
      </c>
      <c r="B1910" s="8" t="n"/>
      <c r="C1910" s="8" t="n"/>
      <c r="D1910" s="8" t="n"/>
      <c r="E1910" s="11" t="n"/>
      <c r="F1910" s="11" t="n"/>
      <c r="G1910" s="8" t="n"/>
      <c r="H1910" s="8" t="n"/>
      <c r="I1910" s="8" t="n"/>
      <c r="J1910" s="8" t="n"/>
      <c r="K1910" s="12">
        <f>IF(OR(ISERROR(VLOOKUP(C1910, Resultados_Reales!$A$4:$I$107, 5, FALSE)), ISERROR(VLOOKUP(C1910, Resultados_Reales!$A$4:$I$107, 6, FALSE)), VLOOKUP(C1910, Resultados_Reales!$A$4:$I$107, 5, FALSE)="", VLOOKUP(C1910, Resultados_Reales!$A$4:$I$107, 6, FALSE)=""), 0, IF(AND(VLOOKUP(C1910, Resultados_Reales!$A$4:$I$107, 5, FALSE)=G1910, VLOOKUP(C1910, Resultados_Reales!$A$4:$I$107, 6, FALSE)=H1910), Configuracion!$B$5, IF(SIGN(VLOOKUP(C1910, Resultados_Reales!$A$4:$I$107, 5, FALSE)-VLOOKUP(C1910, Resultados_Reales!$A$4:$I$107, 6, FALSE)) = SIGN(G1910-H1910), Configuracion!$B$4, 0)))</f>
        <v/>
      </c>
      <c r="L1910" s="11" t="n"/>
      <c r="M1910" s="11" t="n"/>
      <c r="N1910" s="11" t="n"/>
      <c r="O1910" s="11" t="n"/>
      <c r="P1910" s="11" t="n"/>
      <c r="Q1910" s="11" t="n"/>
    </row>
    <row r="1911">
      <c r="A1911" s="8">
        <f>B1911&amp;"_"&amp;C1911</f>
        <v/>
      </c>
      <c r="B1911" s="8" t="n"/>
      <c r="C1911" s="8" t="n"/>
      <c r="D1911" s="8" t="n"/>
      <c r="E1911" s="11" t="n"/>
      <c r="F1911" s="11" t="n"/>
      <c r="G1911" s="8" t="n"/>
      <c r="H1911" s="8" t="n"/>
      <c r="I1911" s="8" t="n"/>
      <c r="J1911" s="8" t="n"/>
      <c r="K1911" s="12">
        <f>IF(OR(ISERROR(VLOOKUP(C1911, Resultados_Reales!$A$4:$I$107, 5, FALSE)), ISERROR(VLOOKUP(C1911, Resultados_Reales!$A$4:$I$107, 6, FALSE)), VLOOKUP(C1911, Resultados_Reales!$A$4:$I$107, 5, FALSE)="", VLOOKUP(C1911, Resultados_Reales!$A$4:$I$107, 6, FALSE)=""), 0, IF(AND(VLOOKUP(C1911, Resultados_Reales!$A$4:$I$107, 5, FALSE)=G1911, VLOOKUP(C1911, Resultados_Reales!$A$4:$I$107, 6, FALSE)=H1911), Configuracion!$B$5, IF(SIGN(VLOOKUP(C1911, Resultados_Reales!$A$4:$I$107, 5, FALSE)-VLOOKUP(C1911, Resultados_Reales!$A$4:$I$107, 6, FALSE)) = SIGN(G1911-H1911), Configuracion!$B$4, 0)))</f>
        <v/>
      </c>
      <c r="L1911" s="11" t="n"/>
      <c r="M1911" s="11" t="n"/>
      <c r="N1911" s="11" t="n"/>
      <c r="O1911" s="11" t="n"/>
      <c r="P1911" s="11" t="n"/>
      <c r="Q1911" s="11" t="n"/>
    </row>
    <row r="1912">
      <c r="A1912" s="8">
        <f>B1912&amp;"_"&amp;C1912</f>
        <v/>
      </c>
      <c r="B1912" s="8" t="n"/>
      <c r="C1912" s="8" t="n"/>
      <c r="D1912" s="8" t="n"/>
      <c r="E1912" s="11" t="n"/>
      <c r="F1912" s="11" t="n"/>
      <c r="G1912" s="8" t="n"/>
      <c r="H1912" s="8" t="n"/>
      <c r="I1912" s="8" t="n"/>
      <c r="J1912" s="8" t="n"/>
      <c r="K1912" s="12">
        <f>IF(OR(ISERROR(VLOOKUP(C1912, Resultados_Reales!$A$4:$I$107, 5, FALSE)), ISERROR(VLOOKUP(C1912, Resultados_Reales!$A$4:$I$107, 6, FALSE)), VLOOKUP(C1912, Resultados_Reales!$A$4:$I$107, 5, FALSE)="", VLOOKUP(C1912, Resultados_Reales!$A$4:$I$107, 6, FALSE)=""), 0, IF(AND(VLOOKUP(C1912, Resultados_Reales!$A$4:$I$107, 5, FALSE)=G1912, VLOOKUP(C1912, Resultados_Reales!$A$4:$I$107, 6, FALSE)=H1912), Configuracion!$B$5, IF(SIGN(VLOOKUP(C1912, Resultados_Reales!$A$4:$I$107, 5, FALSE)-VLOOKUP(C1912, Resultados_Reales!$A$4:$I$107, 6, FALSE)) = SIGN(G1912-H1912), Configuracion!$B$4, 0)))</f>
        <v/>
      </c>
      <c r="L1912" s="11" t="n"/>
      <c r="M1912" s="11" t="n"/>
      <c r="N1912" s="11" t="n"/>
      <c r="O1912" s="11" t="n"/>
      <c r="P1912" s="11" t="n"/>
      <c r="Q1912" s="11" t="n"/>
    </row>
    <row r="1913">
      <c r="A1913" s="8">
        <f>B1913&amp;"_"&amp;C1913</f>
        <v/>
      </c>
      <c r="B1913" s="8" t="n"/>
      <c r="C1913" s="8" t="n"/>
      <c r="D1913" s="8" t="n"/>
      <c r="E1913" s="11" t="n"/>
      <c r="F1913" s="11" t="n"/>
      <c r="G1913" s="8" t="n"/>
      <c r="H1913" s="8" t="n"/>
      <c r="I1913" s="8" t="n"/>
      <c r="J1913" s="8" t="n"/>
      <c r="K1913" s="12">
        <f>IF(OR(ISERROR(VLOOKUP(C1913, Resultados_Reales!$A$4:$I$107, 5, FALSE)), ISERROR(VLOOKUP(C1913, Resultados_Reales!$A$4:$I$107, 6, FALSE)), VLOOKUP(C1913, Resultados_Reales!$A$4:$I$107, 5, FALSE)="", VLOOKUP(C1913, Resultados_Reales!$A$4:$I$107, 6, FALSE)=""), 0, IF(AND(VLOOKUP(C1913, Resultados_Reales!$A$4:$I$107, 5, FALSE)=G1913, VLOOKUP(C1913, Resultados_Reales!$A$4:$I$107, 6, FALSE)=H1913), Configuracion!$B$5, IF(SIGN(VLOOKUP(C1913, Resultados_Reales!$A$4:$I$107, 5, FALSE)-VLOOKUP(C1913, Resultados_Reales!$A$4:$I$107, 6, FALSE)) = SIGN(G1913-H1913), Configuracion!$B$4, 0)))</f>
        <v/>
      </c>
      <c r="L1913" s="11" t="n"/>
      <c r="M1913" s="11" t="n"/>
      <c r="N1913" s="11" t="n"/>
      <c r="O1913" s="11" t="n"/>
      <c r="P1913" s="11" t="n"/>
      <c r="Q1913" s="11" t="n"/>
    </row>
    <row r="1914">
      <c r="A1914" s="8">
        <f>B1914&amp;"_"&amp;C1914</f>
        <v/>
      </c>
      <c r="B1914" s="8" t="n"/>
      <c r="C1914" s="8" t="n"/>
      <c r="D1914" s="8" t="n"/>
      <c r="E1914" s="11" t="n"/>
      <c r="F1914" s="11" t="n"/>
      <c r="G1914" s="8" t="n"/>
      <c r="H1914" s="8" t="n"/>
      <c r="I1914" s="8" t="n"/>
      <c r="J1914" s="8" t="n"/>
      <c r="K1914" s="12">
        <f>IF(OR(ISERROR(VLOOKUP(C1914, Resultados_Reales!$A$4:$I$107, 5, FALSE)), ISERROR(VLOOKUP(C1914, Resultados_Reales!$A$4:$I$107, 6, FALSE)), VLOOKUP(C1914, Resultados_Reales!$A$4:$I$107, 5, FALSE)="", VLOOKUP(C1914, Resultados_Reales!$A$4:$I$107, 6, FALSE)=""), 0, IF(AND(VLOOKUP(C1914, Resultados_Reales!$A$4:$I$107, 5, FALSE)=G1914, VLOOKUP(C1914, Resultados_Reales!$A$4:$I$107, 6, FALSE)=H1914), Configuracion!$B$5, IF(SIGN(VLOOKUP(C1914, Resultados_Reales!$A$4:$I$107, 5, FALSE)-VLOOKUP(C1914, Resultados_Reales!$A$4:$I$107, 6, FALSE)) = SIGN(G1914-H1914), Configuracion!$B$4, 0)))</f>
        <v/>
      </c>
      <c r="L1914" s="11" t="n"/>
      <c r="M1914" s="11" t="n"/>
      <c r="N1914" s="11" t="n"/>
      <c r="O1914" s="11" t="n"/>
      <c r="P1914" s="11" t="n"/>
      <c r="Q1914" s="11" t="n"/>
    </row>
    <row r="1915">
      <c r="A1915" s="8">
        <f>B1915&amp;"_"&amp;C1915</f>
        <v/>
      </c>
      <c r="B1915" s="8" t="n"/>
      <c r="C1915" s="8" t="n"/>
      <c r="D1915" s="8" t="n"/>
      <c r="E1915" s="11" t="n"/>
      <c r="F1915" s="11" t="n"/>
      <c r="G1915" s="8" t="n"/>
      <c r="H1915" s="8" t="n"/>
      <c r="I1915" s="8" t="n"/>
      <c r="J1915" s="8" t="n"/>
      <c r="K1915" s="12">
        <f>IF(OR(ISERROR(VLOOKUP(C1915, Resultados_Reales!$A$4:$I$107, 5, FALSE)), ISERROR(VLOOKUP(C1915, Resultados_Reales!$A$4:$I$107, 6, FALSE)), VLOOKUP(C1915, Resultados_Reales!$A$4:$I$107, 5, FALSE)="", VLOOKUP(C1915, Resultados_Reales!$A$4:$I$107, 6, FALSE)=""), 0, IF(AND(VLOOKUP(C1915, Resultados_Reales!$A$4:$I$107, 5, FALSE)=G1915, VLOOKUP(C1915, Resultados_Reales!$A$4:$I$107, 6, FALSE)=H1915), Configuracion!$B$5, IF(SIGN(VLOOKUP(C1915, Resultados_Reales!$A$4:$I$107, 5, FALSE)-VLOOKUP(C1915, Resultados_Reales!$A$4:$I$107, 6, FALSE)) = SIGN(G1915-H1915), Configuracion!$B$4, 0)))</f>
        <v/>
      </c>
      <c r="L1915" s="11" t="n"/>
      <c r="M1915" s="11" t="n"/>
      <c r="N1915" s="11" t="n"/>
      <c r="O1915" s="11" t="n"/>
      <c r="P1915" s="11" t="n"/>
      <c r="Q1915" s="11" t="n"/>
    </row>
    <row r="1916">
      <c r="A1916" s="8">
        <f>B1916&amp;"_"&amp;C1916</f>
        <v/>
      </c>
      <c r="B1916" s="8" t="n"/>
      <c r="C1916" s="8" t="n"/>
      <c r="D1916" s="8" t="n"/>
      <c r="E1916" s="11" t="n"/>
      <c r="F1916" s="11" t="n"/>
      <c r="G1916" s="8" t="n"/>
      <c r="H1916" s="8" t="n"/>
      <c r="I1916" s="8" t="n"/>
      <c r="J1916" s="8" t="n"/>
      <c r="K1916" s="12">
        <f>IF(OR(ISERROR(VLOOKUP(C1916, Resultados_Reales!$A$4:$I$107, 5, FALSE)), ISERROR(VLOOKUP(C1916, Resultados_Reales!$A$4:$I$107, 6, FALSE)), VLOOKUP(C1916, Resultados_Reales!$A$4:$I$107, 5, FALSE)="", VLOOKUP(C1916, Resultados_Reales!$A$4:$I$107, 6, FALSE)=""), 0, IF(AND(VLOOKUP(C1916, Resultados_Reales!$A$4:$I$107, 5, FALSE)=G1916, VLOOKUP(C1916, Resultados_Reales!$A$4:$I$107, 6, FALSE)=H1916), Configuracion!$B$5, IF(SIGN(VLOOKUP(C1916, Resultados_Reales!$A$4:$I$107, 5, FALSE)-VLOOKUP(C1916, Resultados_Reales!$A$4:$I$107, 6, FALSE)) = SIGN(G1916-H1916), Configuracion!$B$4, 0)))</f>
        <v/>
      </c>
      <c r="L1916" s="11" t="n"/>
      <c r="M1916" s="11" t="n"/>
      <c r="N1916" s="11" t="n"/>
      <c r="O1916" s="11" t="n"/>
      <c r="P1916" s="11" t="n"/>
      <c r="Q1916" s="11" t="n"/>
    </row>
    <row r="1917">
      <c r="A1917" s="8">
        <f>B1917&amp;"_"&amp;C1917</f>
        <v/>
      </c>
      <c r="B1917" s="8" t="n"/>
      <c r="C1917" s="8" t="n"/>
      <c r="D1917" s="8" t="n"/>
      <c r="E1917" s="11" t="n"/>
      <c r="F1917" s="11" t="n"/>
      <c r="G1917" s="8" t="n"/>
      <c r="H1917" s="8" t="n"/>
      <c r="I1917" s="8" t="n"/>
      <c r="J1917" s="8" t="n"/>
      <c r="K1917" s="12">
        <f>IF(OR(ISERROR(VLOOKUP(C1917, Resultados_Reales!$A$4:$I$107, 5, FALSE)), ISERROR(VLOOKUP(C1917, Resultados_Reales!$A$4:$I$107, 6, FALSE)), VLOOKUP(C1917, Resultados_Reales!$A$4:$I$107, 5, FALSE)="", VLOOKUP(C1917, Resultados_Reales!$A$4:$I$107, 6, FALSE)=""), 0, IF(AND(VLOOKUP(C1917, Resultados_Reales!$A$4:$I$107, 5, FALSE)=G1917, VLOOKUP(C1917, Resultados_Reales!$A$4:$I$107, 6, FALSE)=H1917), Configuracion!$B$5, IF(SIGN(VLOOKUP(C1917, Resultados_Reales!$A$4:$I$107, 5, FALSE)-VLOOKUP(C1917, Resultados_Reales!$A$4:$I$107, 6, FALSE)) = SIGN(G1917-H1917), Configuracion!$B$4, 0)))</f>
        <v/>
      </c>
      <c r="L1917" s="11" t="n"/>
      <c r="M1917" s="11" t="n"/>
      <c r="N1917" s="11" t="n"/>
      <c r="O1917" s="11" t="n"/>
      <c r="P1917" s="11" t="n"/>
      <c r="Q1917" s="11" t="n"/>
    </row>
    <row r="1918">
      <c r="A1918" s="8">
        <f>B1918&amp;"_"&amp;C1918</f>
        <v/>
      </c>
      <c r="B1918" s="8" t="n"/>
      <c r="C1918" s="8" t="n"/>
      <c r="D1918" s="8" t="n"/>
      <c r="E1918" s="11" t="n"/>
      <c r="F1918" s="11" t="n"/>
      <c r="G1918" s="8" t="n"/>
      <c r="H1918" s="8" t="n"/>
      <c r="I1918" s="8" t="n"/>
      <c r="J1918" s="8" t="n"/>
      <c r="K1918" s="12">
        <f>IF(OR(ISERROR(VLOOKUP(C1918, Resultados_Reales!$A$4:$I$107, 5, FALSE)), ISERROR(VLOOKUP(C1918, Resultados_Reales!$A$4:$I$107, 6, FALSE)), VLOOKUP(C1918, Resultados_Reales!$A$4:$I$107, 5, FALSE)="", VLOOKUP(C1918, Resultados_Reales!$A$4:$I$107, 6, FALSE)=""), 0, IF(AND(VLOOKUP(C1918, Resultados_Reales!$A$4:$I$107, 5, FALSE)=G1918, VLOOKUP(C1918, Resultados_Reales!$A$4:$I$107, 6, FALSE)=H1918), Configuracion!$B$5, IF(SIGN(VLOOKUP(C1918, Resultados_Reales!$A$4:$I$107, 5, FALSE)-VLOOKUP(C1918, Resultados_Reales!$A$4:$I$107, 6, FALSE)) = SIGN(G1918-H1918), Configuracion!$B$4, 0)))</f>
        <v/>
      </c>
      <c r="L1918" s="11" t="n"/>
      <c r="M1918" s="11" t="n"/>
      <c r="N1918" s="11" t="n"/>
      <c r="O1918" s="11" t="n"/>
      <c r="P1918" s="11" t="n"/>
      <c r="Q1918" s="11" t="n"/>
    </row>
    <row r="1919">
      <c r="A1919" s="8">
        <f>B1919&amp;"_"&amp;C1919</f>
        <v/>
      </c>
      <c r="B1919" s="8" t="n"/>
      <c r="C1919" s="8" t="n"/>
      <c r="D1919" s="8" t="n"/>
      <c r="E1919" s="11" t="n"/>
      <c r="F1919" s="11" t="n"/>
      <c r="G1919" s="8" t="n"/>
      <c r="H1919" s="8" t="n"/>
      <c r="I1919" s="8" t="n"/>
      <c r="J1919" s="8" t="n"/>
      <c r="K1919" s="12">
        <f>IF(OR(ISERROR(VLOOKUP(C1919, Resultados_Reales!$A$4:$I$107, 5, FALSE)), ISERROR(VLOOKUP(C1919, Resultados_Reales!$A$4:$I$107, 6, FALSE)), VLOOKUP(C1919, Resultados_Reales!$A$4:$I$107, 5, FALSE)="", VLOOKUP(C1919, Resultados_Reales!$A$4:$I$107, 6, FALSE)=""), 0, IF(AND(VLOOKUP(C1919, Resultados_Reales!$A$4:$I$107, 5, FALSE)=G1919, VLOOKUP(C1919, Resultados_Reales!$A$4:$I$107, 6, FALSE)=H1919), Configuracion!$B$5, IF(SIGN(VLOOKUP(C1919, Resultados_Reales!$A$4:$I$107, 5, FALSE)-VLOOKUP(C1919, Resultados_Reales!$A$4:$I$107, 6, FALSE)) = SIGN(G1919-H1919), Configuracion!$B$4, 0)))</f>
        <v/>
      </c>
      <c r="L1919" s="11" t="n"/>
      <c r="M1919" s="11" t="n"/>
      <c r="N1919" s="11" t="n"/>
      <c r="O1919" s="11" t="n"/>
      <c r="P1919" s="11" t="n"/>
      <c r="Q1919" s="11" t="n"/>
    </row>
    <row r="1920">
      <c r="A1920" s="8">
        <f>B1920&amp;"_"&amp;C1920</f>
        <v/>
      </c>
      <c r="B1920" s="8" t="n"/>
      <c r="C1920" s="8" t="n"/>
      <c r="D1920" s="8" t="n"/>
      <c r="E1920" s="11" t="n"/>
      <c r="F1920" s="11" t="n"/>
      <c r="G1920" s="8" t="n"/>
      <c r="H1920" s="8" t="n"/>
      <c r="I1920" s="8" t="n"/>
      <c r="J1920" s="8" t="n"/>
      <c r="K1920" s="12">
        <f>IF(OR(ISERROR(VLOOKUP(C1920, Resultados_Reales!$A$4:$I$107, 5, FALSE)), ISERROR(VLOOKUP(C1920, Resultados_Reales!$A$4:$I$107, 6, FALSE)), VLOOKUP(C1920, Resultados_Reales!$A$4:$I$107, 5, FALSE)="", VLOOKUP(C1920, Resultados_Reales!$A$4:$I$107, 6, FALSE)=""), 0, IF(AND(VLOOKUP(C1920, Resultados_Reales!$A$4:$I$107, 5, FALSE)=G1920, VLOOKUP(C1920, Resultados_Reales!$A$4:$I$107, 6, FALSE)=H1920), Configuracion!$B$5, IF(SIGN(VLOOKUP(C1920, Resultados_Reales!$A$4:$I$107, 5, FALSE)-VLOOKUP(C1920, Resultados_Reales!$A$4:$I$107, 6, FALSE)) = SIGN(G1920-H1920), Configuracion!$B$4, 0)))</f>
        <v/>
      </c>
      <c r="L1920" s="11" t="n"/>
      <c r="M1920" s="11" t="n"/>
      <c r="N1920" s="11" t="n"/>
      <c r="O1920" s="11" t="n"/>
      <c r="P1920" s="11" t="n"/>
      <c r="Q1920" s="11" t="n"/>
    </row>
    <row r="1921">
      <c r="A1921" s="8">
        <f>B1921&amp;"_"&amp;C1921</f>
        <v/>
      </c>
      <c r="B1921" s="8" t="n"/>
      <c r="C1921" s="8" t="n"/>
      <c r="D1921" s="8" t="n"/>
      <c r="E1921" s="11" t="n"/>
      <c r="F1921" s="11" t="n"/>
      <c r="G1921" s="8" t="n"/>
      <c r="H1921" s="8" t="n"/>
      <c r="I1921" s="8" t="n"/>
      <c r="J1921" s="8" t="n"/>
      <c r="K1921" s="12">
        <f>IF(OR(ISERROR(VLOOKUP(C1921, Resultados_Reales!$A$4:$I$107, 5, FALSE)), ISERROR(VLOOKUP(C1921, Resultados_Reales!$A$4:$I$107, 6, FALSE)), VLOOKUP(C1921, Resultados_Reales!$A$4:$I$107, 5, FALSE)="", VLOOKUP(C1921, Resultados_Reales!$A$4:$I$107, 6, FALSE)=""), 0, IF(AND(VLOOKUP(C1921, Resultados_Reales!$A$4:$I$107, 5, FALSE)=G1921, VLOOKUP(C1921, Resultados_Reales!$A$4:$I$107, 6, FALSE)=H1921), Configuracion!$B$5, IF(SIGN(VLOOKUP(C1921, Resultados_Reales!$A$4:$I$107, 5, FALSE)-VLOOKUP(C1921, Resultados_Reales!$A$4:$I$107, 6, FALSE)) = SIGN(G1921-H1921), Configuracion!$B$4, 0)))</f>
        <v/>
      </c>
      <c r="L1921" s="11" t="n"/>
      <c r="M1921" s="11" t="n"/>
      <c r="N1921" s="11" t="n"/>
      <c r="O1921" s="11" t="n"/>
      <c r="P1921" s="11" t="n"/>
      <c r="Q1921" s="11" t="n"/>
    </row>
    <row r="1922">
      <c r="A1922" s="8">
        <f>B1922&amp;"_"&amp;C1922</f>
        <v/>
      </c>
      <c r="B1922" s="8" t="n"/>
      <c r="C1922" s="8" t="n"/>
      <c r="D1922" s="8" t="n"/>
      <c r="E1922" s="11" t="n"/>
      <c r="F1922" s="11" t="n"/>
      <c r="G1922" s="8" t="n"/>
      <c r="H1922" s="8" t="n"/>
      <c r="I1922" s="8" t="n"/>
      <c r="J1922" s="8" t="n"/>
      <c r="K1922" s="12">
        <f>IF(OR(ISERROR(VLOOKUP(C1922, Resultados_Reales!$A$4:$I$107, 5, FALSE)), ISERROR(VLOOKUP(C1922, Resultados_Reales!$A$4:$I$107, 6, FALSE)), VLOOKUP(C1922, Resultados_Reales!$A$4:$I$107, 5, FALSE)="", VLOOKUP(C1922, Resultados_Reales!$A$4:$I$107, 6, FALSE)=""), 0, IF(AND(VLOOKUP(C1922, Resultados_Reales!$A$4:$I$107, 5, FALSE)=G1922, VLOOKUP(C1922, Resultados_Reales!$A$4:$I$107, 6, FALSE)=H1922), Configuracion!$B$5, IF(SIGN(VLOOKUP(C1922, Resultados_Reales!$A$4:$I$107, 5, FALSE)-VLOOKUP(C1922, Resultados_Reales!$A$4:$I$107, 6, FALSE)) = SIGN(G1922-H1922), Configuracion!$B$4, 0)))</f>
        <v/>
      </c>
      <c r="L1922" s="11" t="n"/>
      <c r="M1922" s="11" t="n"/>
      <c r="N1922" s="11" t="n"/>
      <c r="O1922" s="11" t="n"/>
      <c r="P1922" s="11" t="n"/>
      <c r="Q1922" s="11" t="n"/>
    </row>
    <row r="1923">
      <c r="A1923" s="8">
        <f>B1923&amp;"_"&amp;C1923</f>
        <v/>
      </c>
      <c r="B1923" s="8" t="n"/>
      <c r="C1923" s="8" t="n"/>
      <c r="D1923" s="8" t="n"/>
      <c r="E1923" s="11" t="n"/>
      <c r="F1923" s="11" t="n"/>
      <c r="G1923" s="8" t="n"/>
      <c r="H1923" s="8" t="n"/>
      <c r="I1923" s="8" t="n"/>
      <c r="J1923" s="8" t="n"/>
      <c r="K1923" s="12">
        <f>IF(OR(ISERROR(VLOOKUP(C1923, Resultados_Reales!$A$4:$I$107, 5, FALSE)), ISERROR(VLOOKUP(C1923, Resultados_Reales!$A$4:$I$107, 6, FALSE)), VLOOKUP(C1923, Resultados_Reales!$A$4:$I$107, 5, FALSE)="", VLOOKUP(C1923, Resultados_Reales!$A$4:$I$107, 6, FALSE)=""), 0, IF(AND(VLOOKUP(C1923, Resultados_Reales!$A$4:$I$107, 5, FALSE)=G1923, VLOOKUP(C1923, Resultados_Reales!$A$4:$I$107, 6, FALSE)=H1923), Configuracion!$B$5, IF(SIGN(VLOOKUP(C1923, Resultados_Reales!$A$4:$I$107, 5, FALSE)-VLOOKUP(C1923, Resultados_Reales!$A$4:$I$107, 6, FALSE)) = SIGN(G1923-H1923), Configuracion!$B$4, 0)))</f>
        <v/>
      </c>
      <c r="L1923" s="11" t="n"/>
      <c r="M1923" s="11" t="n"/>
      <c r="N1923" s="11" t="n"/>
      <c r="O1923" s="11" t="n"/>
      <c r="P1923" s="11" t="n"/>
      <c r="Q1923" s="11" t="n"/>
    </row>
    <row r="1924">
      <c r="A1924" s="8">
        <f>B1924&amp;"_"&amp;C1924</f>
        <v/>
      </c>
      <c r="B1924" s="8" t="n"/>
      <c r="C1924" s="8" t="n"/>
      <c r="D1924" s="8" t="n"/>
      <c r="E1924" s="11" t="n"/>
      <c r="F1924" s="11" t="n"/>
      <c r="G1924" s="8" t="n"/>
      <c r="H1924" s="8" t="n"/>
      <c r="I1924" s="8" t="n"/>
      <c r="J1924" s="8" t="n"/>
      <c r="K1924" s="12">
        <f>IF(OR(ISERROR(VLOOKUP(C1924, Resultados_Reales!$A$4:$I$107, 5, FALSE)), ISERROR(VLOOKUP(C1924, Resultados_Reales!$A$4:$I$107, 6, FALSE)), VLOOKUP(C1924, Resultados_Reales!$A$4:$I$107, 5, FALSE)="", VLOOKUP(C1924, Resultados_Reales!$A$4:$I$107, 6, FALSE)=""), 0, IF(AND(VLOOKUP(C1924, Resultados_Reales!$A$4:$I$107, 5, FALSE)=G1924, VLOOKUP(C1924, Resultados_Reales!$A$4:$I$107, 6, FALSE)=H1924), Configuracion!$B$5, IF(SIGN(VLOOKUP(C1924, Resultados_Reales!$A$4:$I$107, 5, FALSE)-VLOOKUP(C1924, Resultados_Reales!$A$4:$I$107, 6, FALSE)) = SIGN(G1924-H1924), Configuracion!$B$4, 0)))</f>
        <v/>
      </c>
      <c r="L1924" s="11" t="n"/>
      <c r="M1924" s="11" t="n"/>
      <c r="N1924" s="11" t="n"/>
      <c r="O1924" s="11" t="n"/>
      <c r="P1924" s="11" t="n"/>
      <c r="Q1924" s="11" t="n"/>
    </row>
    <row r="1925">
      <c r="A1925" s="8">
        <f>B1925&amp;"_"&amp;C1925</f>
        <v/>
      </c>
      <c r="B1925" s="8" t="n"/>
      <c r="C1925" s="8" t="n"/>
      <c r="D1925" s="8" t="n"/>
      <c r="E1925" s="11" t="n"/>
      <c r="F1925" s="11" t="n"/>
      <c r="G1925" s="8" t="n"/>
      <c r="H1925" s="8" t="n"/>
      <c r="I1925" s="8" t="n"/>
      <c r="J1925" s="8" t="n"/>
      <c r="K1925" s="12">
        <f>IF(OR(ISERROR(VLOOKUP(C1925, Resultados_Reales!$A$4:$I$107, 5, FALSE)), ISERROR(VLOOKUP(C1925, Resultados_Reales!$A$4:$I$107, 6, FALSE)), VLOOKUP(C1925, Resultados_Reales!$A$4:$I$107, 5, FALSE)="", VLOOKUP(C1925, Resultados_Reales!$A$4:$I$107, 6, FALSE)=""), 0, IF(AND(VLOOKUP(C1925, Resultados_Reales!$A$4:$I$107, 5, FALSE)=G1925, VLOOKUP(C1925, Resultados_Reales!$A$4:$I$107, 6, FALSE)=H1925), Configuracion!$B$5, IF(SIGN(VLOOKUP(C1925, Resultados_Reales!$A$4:$I$107, 5, FALSE)-VLOOKUP(C1925, Resultados_Reales!$A$4:$I$107, 6, FALSE)) = SIGN(G1925-H1925), Configuracion!$B$4, 0)))</f>
        <v/>
      </c>
      <c r="L1925" s="11" t="n"/>
      <c r="M1925" s="11" t="n"/>
      <c r="N1925" s="11" t="n"/>
      <c r="O1925" s="11" t="n"/>
      <c r="P1925" s="11" t="n"/>
      <c r="Q1925" s="11" t="n"/>
    </row>
    <row r="1926">
      <c r="A1926" s="8">
        <f>B1926&amp;"_"&amp;C1926</f>
        <v/>
      </c>
      <c r="B1926" s="8" t="n"/>
      <c r="C1926" s="8" t="n"/>
      <c r="D1926" s="8" t="n"/>
      <c r="E1926" s="11" t="n"/>
      <c r="F1926" s="11" t="n"/>
      <c r="G1926" s="8" t="n"/>
      <c r="H1926" s="8" t="n"/>
      <c r="I1926" s="8" t="n"/>
      <c r="J1926" s="8" t="n"/>
      <c r="K1926" s="12">
        <f>IF(OR(ISERROR(VLOOKUP(C1926, Resultados_Reales!$A$4:$I$107, 5, FALSE)), ISERROR(VLOOKUP(C1926, Resultados_Reales!$A$4:$I$107, 6, FALSE)), VLOOKUP(C1926, Resultados_Reales!$A$4:$I$107, 5, FALSE)="", VLOOKUP(C1926, Resultados_Reales!$A$4:$I$107, 6, FALSE)=""), 0, IF(AND(VLOOKUP(C1926, Resultados_Reales!$A$4:$I$107, 5, FALSE)=G1926, VLOOKUP(C1926, Resultados_Reales!$A$4:$I$107, 6, FALSE)=H1926), Configuracion!$B$5, IF(SIGN(VLOOKUP(C1926, Resultados_Reales!$A$4:$I$107, 5, FALSE)-VLOOKUP(C1926, Resultados_Reales!$A$4:$I$107, 6, FALSE)) = SIGN(G1926-H1926), Configuracion!$B$4, 0)))</f>
        <v/>
      </c>
      <c r="L1926" s="11" t="n"/>
      <c r="M1926" s="11" t="n"/>
      <c r="N1926" s="11" t="n"/>
      <c r="O1926" s="11" t="n"/>
      <c r="P1926" s="11" t="n"/>
      <c r="Q1926" s="11" t="n"/>
    </row>
    <row r="1927">
      <c r="A1927" s="8">
        <f>B1927&amp;"_"&amp;C1927</f>
        <v/>
      </c>
      <c r="B1927" s="8" t="n"/>
      <c r="C1927" s="8" t="n"/>
      <c r="D1927" s="8" t="n"/>
      <c r="E1927" s="11" t="n"/>
      <c r="F1927" s="11" t="n"/>
      <c r="G1927" s="8" t="n"/>
      <c r="H1927" s="8" t="n"/>
      <c r="I1927" s="8" t="n"/>
      <c r="J1927" s="8" t="n"/>
      <c r="K1927" s="12">
        <f>IF(OR(ISERROR(VLOOKUP(C1927, Resultados_Reales!$A$4:$I$107, 5, FALSE)), ISERROR(VLOOKUP(C1927, Resultados_Reales!$A$4:$I$107, 6, FALSE)), VLOOKUP(C1927, Resultados_Reales!$A$4:$I$107, 5, FALSE)="", VLOOKUP(C1927, Resultados_Reales!$A$4:$I$107, 6, FALSE)=""), 0, IF(AND(VLOOKUP(C1927, Resultados_Reales!$A$4:$I$107, 5, FALSE)=G1927, VLOOKUP(C1927, Resultados_Reales!$A$4:$I$107, 6, FALSE)=H1927), Configuracion!$B$5, IF(SIGN(VLOOKUP(C1927, Resultados_Reales!$A$4:$I$107, 5, FALSE)-VLOOKUP(C1927, Resultados_Reales!$A$4:$I$107, 6, FALSE)) = SIGN(G1927-H1927), Configuracion!$B$4, 0)))</f>
        <v/>
      </c>
      <c r="L1927" s="11" t="n"/>
      <c r="M1927" s="11" t="n"/>
      <c r="N1927" s="11" t="n"/>
      <c r="O1927" s="11" t="n"/>
      <c r="P1927" s="11" t="n"/>
      <c r="Q1927" s="11" t="n"/>
    </row>
    <row r="1928">
      <c r="A1928" s="8">
        <f>B1928&amp;"_"&amp;C1928</f>
        <v/>
      </c>
      <c r="B1928" s="8" t="n"/>
      <c r="C1928" s="8" t="n"/>
      <c r="D1928" s="8" t="n"/>
      <c r="E1928" s="11" t="n"/>
      <c r="F1928" s="11" t="n"/>
      <c r="G1928" s="8" t="n"/>
      <c r="H1928" s="8" t="n"/>
      <c r="I1928" s="8" t="n"/>
      <c r="J1928" s="8" t="n"/>
      <c r="K1928" s="12">
        <f>IF(OR(ISERROR(VLOOKUP(C1928, Resultados_Reales!$A$4:$I$107, 5, FALSE)), ISERROR(VLOOKUP(C1928, Resultados_Reales!$A$4:$I$107, 6, FALSE)), VLOOKUP(C1928, Resultados_Reales!$A$4:$I$107, 5, FALSE)="", VLOOKUP(C1928, Resultados_Reales!$A$4:$I$107, 6, FALSE)=""), 0, IF(AND(VLOOKUP(C1928, Resultados_Reales!$A$4:$I$107, 5, FALSE)=G1928, VLOOKUP(C1928, Resultados_Reales!$A$4:$I$107, 6, FALSE)=H1928), Configuracion!$B$5, IF(SIGN(VLOOKUP(C1928, Resultados_Reales!$A$4:$I$107, 5, FALSE)-VLOOKUP(C1928, Resultados_Reales!$A$4:$I$107, 6, FALSE)) = SIGN(G1928-H1928), Configuracion!$B$4, 0)))</f>
        <v/>
      </c>
      <c r="L1928" s="11" t="n"/>
      <c r="M1928" s="11" t="n"/>
      <c r="N1928" s="11" t="n"/>
      <c r="O1928" s="11" t="n"/>
      <c r="P1928" s="11" t="n"/>
      <c r="Q1928" s="11" t="n"/>
    </row>
    <row r="1929">
      <c r="A1929" s="8">
        <f>B1929&amp;"_"&amp;C1929</f>
        <v/>
      </c>
      <c r="B1929" s="8" t="n"/>
      <c r="C1929" s="8" t="n"/>
      <c r="D1929" s="8" t="n"/>
      <c r="E1929" s="11" t="n"/>
      <c r="F1929" s="11" t="n"/>
      <c r="G1929" s="8" t="n"/>
      <c r="H1929" s="8" t="n"/>
      <c r="I1929" s="8" t="n"/>
      <c r="J1929" s="8" t="n"/>
      <c r="K1929" s="12">
        <f>IF(OR(ISERROR(VLOOKUP(C1929, Resultados_Reales!$A$4:$I$107, 5, FALSE)), ISERROR(VLOOKUP(C1929, Resultados_Reales!$A$4:$I$107, 6, FALSE)), VLOOKUP(C1929, Resultados_Reales!$A$4:$I$107, 5, FALSE)="", VLOOKUP(C1929, Resultados_Reales!$A$4:$I$107, 6, FALSE)=""), 0, IF(AND(VLOOKUP(C1929, Resultados_Reales!$A$4:$I$107, 5, FALSE)=G1929, VLOOKUP(C1929, Resultados_Reales!$A$4:$I$107, 6, FALSE)=H1929), Configuracion!$B$5, IF(SIGN(VLOOKUP(C1929, Resultados_Reales!$A$4:$I$107, 5, FALSE)-VLOOKUP(C1929, Resultados_Reales!$A$4:$I$107, 6, FALSE)) = SIGN(G1929-H1929), Configuracion!$B$4, 0)))</f>
        <v/>
      </c>
      <c r="L1929" s="11" t="n"/>
      <c r="M1929" s="11" t="n"/>
      <c r="N1929" s="11" t="n"/>
      <c r="O1929" s="11" t="n"/>
      <c r="P1929" s="11" t="n"/>
      <c r="Q1929" s="11" t="n"/>
    </row>
    <row r="1930">
      <c r="A1930" s="8">
        <f>B1930&amp;"_"&amp;C1930</f>
        <v/>
      </c>
      <c r="B1930" s="8" t="n"/>
      <c r="C1930" s="8" t="n"/>
      <c r="D1930" s="8" t="n"/>
      <c r="E1930" s="11" t="n"/>
      <c r="F1930" s="11" t="n"/>
      <c r="G1930" s="8" t="n"/>
      <c r="H1930" s="8" t="n"/>
      <c r="I1930" s="8" t="n"/>
      <c r="J1930" s="8" t="n"/>
      <c r="K1930" s="12">
        <f>IF(OR(ISERROR(VLOOKUP(C1930, Resultados_Reales!$A$4:$I$107, 5, FALSE)), ISERROR(VLOOKUP(C1930, Resultados_Reales!$A$4:$I$107, 6, FALSE)), VLOOKUP(C1930, Resultados_Reales!$A$4:$I$107, 5, FALSE)="", VLOOKUP(C1930, Resultados_Reales!$A$4:$I$107, 6, FALSE)=""), 0, IF(AND(VLOOKUP(C1930, Resultados_Reales!$A$4:$I$107, 5, FALSE)=G1930, VLOOKUP(C1930, Resultados_Reales!$A$4:$I$107, 6, FALSE)=H1930), Configuracion!$B$5, IF(SIGN(VLOOKUP(C1930, Resultados_Reales!$A$4:$I$107, 5, FALSE)-VLOOKUP(C1930, Resultados_Reales!$A$4:$I$107, 6, FALSE)) = SIGN(G1930-H1930), Configuracion!$B$4, 0)))</f>
        <v/>
      </c>
      <c r="L1930" s="11" t="n"/>
      <c r="M1930" s="11" t="n"/>
      <c r="N1930" s="11" t="n"/>
      <c r="O1930" s="11" t="n"/>
      <c r="P1930" s="11" t="n"/>
      <c r="Q1930" s="11" t="n"/>
    </row>
    <row r="1931">
      <c r="A1931" s="8">
        <f>B1931&amp;"_"&amp;C1931</f>
        <v/>
      </c>
      <c r="B1931" s="8" t="n"/>
      <c r="C1931" s="8" t="n"/>
      <c r="D1931" s="8" t="n"/>
      <c r="E1931" s="11" t="n"/>
      <c r="F1931" s="11" t="n"/>
      <c r="G1931" s="8" t="n"/>
      <c r="H1931" s="8" t="n"/>
      <c r="I1931" s="8" t="n"/>
      <c r="J1931" s="8" t="n"/>
      <c r="K1931" s="12">
        <f>IF(OR(ISERROR(VLOOKUP(C1931, Resultados_Reales!$A$4:$I$107, 5, FALSE)), ISERROR(VLOOKUP(C1931, Resultados_Reales!$A$4:$I$107, 6, FALSE)), VLOOKUP(C1931, Resultados_Reales!$A$4:$I$107, 5, FALSE)="", VLOOKUP(C1931, Resultados_Reales!$A$4:$I$107, 6, FALSE)=""), 0, IF(AND(VLOOKUP(C1931, Resultados_Reales!$A$4:$I$107, 5, FALSE)=G1931, VLOOKUP(C1931, Resultados_Reales!$A$4:$I$107, 6, FALSE)=H1931), Configuracion!$B$5, IF(SIGN(VLOOKUP(C1931, Resultados_Reales!$A$4:$I$107, 5, FALSE)-VLOOKUP(C1931, Resultados_Reales!$A$4:$I$107, 6, FALSE)) = SIGN(G1931-H1931), Configuracion!$B$4, 0)))</f>
        <v/>
      </c>
      <c r="L1931" s="11" t="n"/>
      <c r="M1931" s="11" t="n"/>
      <c r="N1931" s="11" t="n"/>
      <c r="O1931" s="11" t="n"/>
      <c r="P1931" s="11" t="n"/>
      <c r="Q1931" s="11" t="n"/>
    </row>
    <row r="1932">
      <c r="A1932" s="8">
        <f>B1932&amp;"_"&amp;C1932</f>
        <v/>
      </c>
      <c r="B1932" s="8" t="n"/>
      <c r="C1932" s="8" t="n"/>
      <c r="D1932" s="8" t="n"/>
      <c r="E1932" s="11" t="n"/>
      <c r="F1932" s="11" t="n"/>
      <c r="G1932" s="8" t="n"/>
      <c r="H1932" s="8" t="n"/>
      <c r="I1932" s="8" t="n"/>
      <c r="J1932" s="8" t="n"/>
      <c r="K1932" s="12">
        <f>IF(OR(ISERROR(VLOOKUP(C1932, Resultados_Reales!$A$4:$I$107, 5, FALSE)), ISERROR(VLOOKUP(C1932, Resultados_Reales!$A$4:$I$107, 6, FALSE)), VLOOKUP(C1932, Resultados_Reales!$A$4:$I$107, 5, FALSE)="", VLOOKUP(C1932, Resultados_Reales!$A$4:$I$107, 6, FALSE)=""), 0, IF(AND(VLOOKUP(C1932, Resultados_Reales!$A$4:$I$107, 5, FALSE)=G1932, VLOOKUP(C1932, Resultados_Reales!$A$4:$I$107, 6, FALSE)=H1932), Configuracion!$B$5, IF(SIGN(VLOOKUP(C1932, Resultados_Reales!$A$4:$I$107, 5, FALSE)-VLOOKUP(C1932, Resultados_Reales!$A$4:$I$107, 6, FALSE)) = SIGN(G1932-H1932), Configuracion!$B$4, 0)))</f>
        <v/>
      </c>
      <c r="L1932" s="11" t="n"/>
      <c r="M1932" s="11" t="n"/>
      <c r="N1932" s="11" t="n"/>
      <c r="O1932" s="11" t="n"/>
      <c r="P1932" s="11" t="n"/>
      <c r="Q1932" s="11" t="n"/>
    </row>
    <row r="1933">
      <c r="A1933" s="8">
        <f>B1933&amp;"_"&amp;C1933</f>
        <v/>
      </c>
      <c r="B1933" s="8" t="n"/>
      <c r="C1933" s="8" t="n"/>
      <c r="D1933" s="8" t="n"/>
      <c r="E1933" s="11" t="n"/>
      <c r="F1933" s="11" t="n"/>
      <c r="G1933" s="8" t="n"/>
      <c r="H1933" s="8" t="n"/>
      <c r="I1933" s="8" t="n"/>
      <c r="J1933" s="8" t="n"/>
      <c r="K1933" s="12">
        <f>IF(OR(ISERROR(VLOOKUP(C1933, Resultados_Reales!$A$4:$I$107, 5, FALSE)), ISERROR(VLOOKUP(C1933, Resultados_Reales!$A$4:$I$107, 6, FALSE)), VLOOKUP(C1933, Resultados_Reales!$A$4:$I$107, 5, FALSE)="", VLOOKUP(C1933, Resultados_Reales!$A$4:$I$107, 6, FALSE)=""), 0, IF(AND(VLOOKUP(C1933, Resultados_Reales!$A$4:$I$107, 5, FALSE)=G1933, VLOOKUP(C1933, Resultados_Reales!$A$4:$I$107, 6, FALSE)=H1933), Configuracion!$B$5, IF(SIGN(VLOOKUP(C1933, Resultados_Reales!$A$4:$I$107, 5, FALSE)-VLOOKUP(C1933, Resultados_Reales!$A$4:$I$107, 6, FALSE)) = SIGN(G1933-H1933), Configuracion!$B$4, 0)))</f>
        <v/>
      </c>
      <c r="L1933" s="11" t="n"/>
      <c r="M1933" s="11" t="n"/>
      <c r="N1933" s="11" t="n"/>
      <c r="O1933" s="11" t="n"/>
      <c r="P1933" s="11" t="n"/>
      <c r="Q1933" s="11" t="n"/>
    </row>
    <row r="1934">
      <c r="A1934" s="8">
        <f>B1934&amp;"_"&amp;C1934</f>
        <v/>
      </c>
      <c r="B1934" s="8" t="n"/>
      <c r="C1934" s="8" t="n"/>
      <c r="D1934" s="8" t="n"/>
      <c r="E1934" s="11" t="n"/>
      <c r="F1934" s="11" t="n"/>
      <c r="G1934" s="8" t="n"/>
      <c r="H1934" s="8" t="n"/>
      <c r="I1934" s="8" t="n"/>
      <c r="J1934" s="8" t="n"/>
      <c r="K1934" s="12">
        <f>IF(OR(ISERROR(VLOOKUP(C1934, Resultados_Reales!$A$4:$I$107, 5, FALSE)), ISERROR(VLOOKUP(C1934, Resultados_Reales!$A$4:$I$107, 6, FALSE)), VLOOKUP(C1934, Resultados_Reales!$A$4:$I$107, 5, FALSE)="", VLOOKUP(C1934, Resultados_Reales!$A$4:$I$107, 6, FALSE)=""), 0, IF(AND(VLOOKUP(C1934, Resultados_Reales!$A$4:$I$107, 5, FALSE)=G1934, VLOOKUP(C1934, Resultados_Reales!$A$4:$I$107, 6, FALSE)=H1934), Configuracion!$B$5, IF(SIGN(VLOOKUP(C1934, Resultados_Reales!$A$4:$I$107, 5, FALSE)-VLOOKUP(C1934, Resultados_Reales!$A$4:$I$107, 6, FALSE)) = SIGN(G1934-H1934), Configuracion!$B$4, 0)))</f>
        <v/>
      </c>
      <c r="L1934" s="11" t="n"/>
      <c r="M1934" s="11" t="n"/>
      <c r="N1934" s="11" t="n"/>
      <c r="O1934" s="11" t="n"/>
      <c r="P1934" s="11" t="n"/>
      <c r="Q1934" s="11" t="n"/>
    </row>
    <row r="1935">
      <c r="A1935" s="8">
        <f>B1935&amp;"_"&amp;C1935</f>
        <v/>
      </c>
      <c r="B1935" s="8" t="n"/>
      <c r="C1935" s="8" t="n"/>
      <c r="D1935" s="8" t="n"/>
      <c r="E1935" s="11" t="n"/>
      <c r="F1935" s="11" t="n"/>
      <c r="G1935" s="8" t="n"/>
      <c r="H1935" s="8" t="n"/>
      <c r="I1935" s="8" t="n"/>
      <c r="J1935" s="8" t="n"/>
      <c r="K1935" s="12">
        <f>IF(OR(ISERROR(VLOOKUP(C1935, Resultados_Reales!$A$4:$I$107, 5, FALSE)), ISERROR(VLOOKUP(C1935, Resultados_Reales!$A$4:$I$107, 6, FALSE)), VLOOKUP(C1935, Resultados_Reales!$A$4:$I$107, 5, FALSE)="", VLOOKUP(C1935, Resultados_Reales!$A$4:$I$107, 6, FALSE)=""), 0, IF(AND(VLOOKUP(C1935, Resultados_Reales!$A$4:$I$107, 5, FALSE)=G1935, VLOOKUP(C1935, Resultados_Reales!$A$4:$I$107, 6, FALSE)=H1935), Configuracion!$B$5, IF(SIGN(VLOOKUP(C1935, Resultados_Reales!$A$4:$I$107, 5, FALSE)-VLOOKUP(C1935, Resultados_Reales!$A$4:$I$107, 6, FALSE)) = SIGN(G1935-H1935), Configuracion!$B$4, 0)))</f>
        <v/>
      </c>
      <c r="L1935" s="11" t="n"/>
      <c r="M1935" s="11" t="n"/>
      <c r="N1935" s="11" t="n"/>
      <c r="O1935" s="11" t="n"/>
      <c r="P1935" s="11" t="n"/>
      <c r="Q1935" s="11" t="n"/>
    </row>
    <row r="1936">
      <c r="A1936" s="8">
        <f>B1936&amp;"_"&amp;C1936</f>
        <v/>
      </c>
      <c r="B1936" s="8" t="n"/>
      <c r="C1936" s="8" t="n"/>
      <c r="D1936" s="8" t="n"/>
      <c r="E1936" s="11" t="n"/>
      <c r="F1936" s="11" t="n"/>
      <c r="G1936" s="8" t="n"/>
      <c r="H1936" s="8" t="n"/>
      <c r="I1936" s="8" t="n"/>
      <c r="J1936" s="8" t="n"/>
      <c r="K1936" s="12">
        <f>IF(OR(ISERROR(VLOOKUP(C1936, Resultados_Reales!$A$4:$I$107, 5, FALSE)), ISERROR(VLOOKUP(C1936, Resultados_Reales!$A$4:$I$107, 6, FALSE)), VLOOKUP(C1936, Resultados_Reales!$A$4:$I$107, 5, FALSE)="", VLOOKUP(C1936, Resultados_Reales!$A$4:$I$107, 6, FALSE)=""), 0, IF(AND(VLOOKUP(C1936, Resultados_Reales!$A$4:$I$107, 5, FALSE)=G1936, VLOOKUP(C1936, Resultados_Reales!$A$4:$I$107, 6, FALSE)=H1936), Configuracion!$B$5, IF(SIGN(VLOOKUP(C1936, Resultados_Reales!$A$4:$I$107, 5, FALSE)-VLOOKUP(C1936, Resultados_Reales!$A$4:$I$107, 6, FALSE)) = SIGN(G1936-H1936), Configuracion!$B$4, 0)))</f>
        <v/>
      </c>
      <c r="L1936" s="11" t="n"/>
      <c r="M1936" s="11" t="n"/>
      <c r="N1936" s="11" t="n"/>
      <c r="O1936" s="11" t="n"/>
      <c r="P1936" s="11" t="n"/>
      <c r="Q1936" s="11" t="n"/>
    </row>
    <row r="1937">
      <c r="A1937" s="8">
        <f>B1937&amp;"_"&amp;C1937</f>
        <v/>
      </c>
      <c r="B1937" s="8" t="n"/>
      <c r="C1937" s="8" t="n"/>
      <c r="D1937" s="8" t="n"/>
      <c r="E1937" s="11" t="n"/>
      <c r="F1937" s="11" t="n"/>
      <c r="G1937" s="8" t="n"/>
      <c r="H1937" s="8" t="n"/>
      <c r="I1937" s="8" t="n"/>
      <c r="J1937" s="8" t="n"/>
      <c r="K1937" s="12">
        <f>IF(OR(ISERROR(VLOOKUP(C1937, Resultados_Reales!$A$4:$I$107, 5, FALSE)), ISERROR(VLOOKUP(C1937, Resultados_Reales!$A$4:$I$107, 6, FALSE)), VLOOKUP(C1937, Resultados_Reales!$A$4:$I$107, 5, FALSE)="", VLOOKUP(C1937, Resultados_Reales!$A$4:$I$107, 6, FALSE)=""), 0, IF(AND(VLOOKUP(C1937, Resultados_Reales!$A$4:$I$107, 5, FALSE)=G1937, VLOOKUP(C1937, Resultados_Reales!$A$4:$I$107, 6, FALSE)=H1937), Configuracion!$B$5, IF(SIGN(VLOOKUP(C1937, Resultados_Reales!$A$4:$I$107, 5, FALSE)-VLOOKUP(C1937, Resultados_Reales!$A$4:$I$107, 6, FALSE)) = SIGN(G1937-H1937), Configuracion!$B$4, 0)))</f>
        <v/>
      </c>
      <c r="L1937" s="11" t="n"/>
      <c r="M1937" s="11" t="n"/>
      <c r="N1937" s="11" t="n"/>
      <c r="O1937" s="11" t="n"/>
      <c r="P1937" s="11" t="n"/>
      <c r="Q1937" s="11" t="n"/>
    </row>
    <row r="1938">
      <c r="A1938" s="8">
        <f>B1938&amp;"_"&amp;C1938</f>
        <v/>
      </c>
      <c r="B1938" s="8" t="n"/>
      <c r="C1938" s="8" t="n"/>
      <c r="D1938" s="8" t="n"/>
      <c r="E1938" s="11" t="n"/>
      <c r="F1938" s="11" t="n"/>
      <c r="G1938" s="8" t="n"/>
      <c r="H1938" s="8" t="n"/>
      <c r="I1938" s="8" t="n"/>
      <c r="J1938" s="8" t="n"/>
      <c r="K1938" s="12">
        <f>IF(OR(ISERROR(VLOOKUP(C1938, Resultados_Reales!$A$4:$I$107, 5, FALSE)), ISERROR(VLOOKUP(C1938, Resultados_Reales!$A$4:$I$107, 6, FALSE)), VLOOKUP(C1938, Resultados_Reales!$A$4:$I$107, 5, FALSE)="", VLOOKUP(C1938, Resultados_Reales!$A$4:$I$107, 6, FALSE)=""), 0, IF(AND(VLOOKUP(C1938, Resultados_Reales!$A$4:$I$107, 5, FALSE)=G1938, VLOOKUP(C1938, Resultados_Reales!$A$4:$I$107, 6, FALSE)=H1938), Configuracion!$B$5, IF(SIGN(VLOOKUP(C1938, Resultados_Reales!$A$4:$I$107, 5, FALSE)-VLOOKUP(C1938, Resultados_Reales!$A$4:$I$107, 6, FALSE)) = SIGN(G1938-H1938), Configuracion!$B$4, 0)))</f>
        <v/>
      </c>
      <c r="L1938" s="11" t="n"/>
      <c r="M1938" s="11" t="n"/>
      <c r="N1938" s="11" t="n"/>
      <c r="O1938" s="11" t="n"/>
      <c r="P1938" s="11" t="n"/>
      <c r="Q1938" s="11" t="n"/>
    </row>
    <row r="1939">
      <c r="A1939" s="8">
        <f>B1939&amp;"_"&amp;C1939</f>
        <v/>
      </c>
      <c r="B1939" s="8" t="n"/>
      <c r="C1939" s="8" t="n"/>
      <c r="D1939" s="8" t="n"/>
      <c r="E1939" s="11" t="n"/>
      <c r="F1939" s="11" t="n"/>
      <c r="G1939" s="8" t="n"/>
      <c r="H1939" s="8" t="n"/>
      <c r="I1939" s="8" t="n"/>
      <c r="J1939" s="8" t="n"/>
      <c r="K1939" s="12">
        <f>IF(OR(ISERROR(VLOOKUP(C1939, Resultados_Reales!$A$4:$I$107, 5, FALSE)), ISERROR(VLOOKUP(C1939, Resultados_Reales!$A$4:$I$107, 6, FALSE)), VLOOKUP(C1939, Resultados_Reales!$A$4:$I$107, 5, FALSE)="", VLOOKUP(C1939, Resultados_Reales!$A$4:$I$107, 6, FALSE)=""), 0, IF(AND(VLOOKUP(C1939, Resultados_Reales!$A$4:$I$107, 5, FALSE)=G1939, VLOOKUP(C1939, Resultados_Reales!$A$4:$I$107, 6, FALSE)=H1939), Configuracion!$B$5, IF(SIGN(VLOOKUP(C1939, Resultados_Reales!$A$4:$I$107, 5, FALSE)-VLOOKUP(C1939, Resultados_Reales!$A$4:$I$107, 6, FALSE)) = SIGN(G1939-H1939), Configuracion!$B$4, 0)))</f>
        <v/>
      </c>
      <c r="L1939" s="11" t="n"/>
      <c r="M1939" s="11" t="n"/>
      <c r="N1939" s="11" t="n"/>
      <c r="O1939" s="11" t="n"/>
      <c r="P1939" s="11" t="n"/>
      <c r="Q1939" s="11" t="n"/>
    </row>
    <row r="1940">
      <c r="A1940" s="8">
        <f>B1940&amp;"_"&amp;C1940</f>
        <v/>
      </c>
      <c r="B1940" s="8" t="n"/>
      <c r="C1940" s="8" t="n"/>
      <c r="D1940" s="8" t="n"/>
      <c r="E1940" s="11" t="n"/>
      <c r="F1940" s="11" t="n"/>
      <c r="G1940" s="8" t="n"/>
      <c r="H1940" s="8" t="n"/>
      <c r="I1940" s="8" t="n"/>
      <c r="J1940" s="8" t="n"/>
      <c r="K1940" s="12">
        <f>IF(OR(ISERROR(VLOOKUP(C1940, Resultados_Reales!$A$4:$I$107, 5, FALSE)), ISERROR(VLOOKUP(C1940, Resultados_Reales!$A$4:$I$107, 6, FALSE)), VLOOKUP(C1940, Resultados_Reales!$A$4:$I$107, 5, FALSE)="", VLOOKUP(C1940, Resultados_Reales!$A$4:$I$107, 6, FALSE)=""), 0, IF(AND(VLOOKUP(C1940, Resultados_Reales!$A$4:$I$107, 5, FALSE)=G1940, VLOOKUP(C1940, Resultados_Reales!$A$4:$I$107, 6, FALSE)=H1940), Configuracion!$B$5, IF(SIGN(VLOOKUP(C1940, Resultados_Reales!$A$4:$I$107, 5, FALSE)-VLOOKUP(C1940, Resultados_Reales!$A$4:$I$107, 6, FALSE)) = SIGN(G1940-H1940), Configuracion!$B$4, 0)))</f>
        <v/>
      </c>
      <c r="L1940" s="11" t="n"/>
      <c r="M1940" s="11" t="n"/>
      <c r="N1940" s="11" t="n"/>
      <c r="O1940" s="11" t="n"/>
      <c r="P1940" s="11" t="n"/>
      <c r="Q1940" s="11" t="n"/>
    </row>
    <row r="1941">
      <c r="A1941" s="8">
        <f>B1941&amp;"_"&amp;C1941</f>
        <v/>
      </c>
      <c r="B1941" s="8" t="n"/>
      <c r="C1941" s="8" t="n"/>
      <c r="D1941" s="8" t="n"/>
      <c r="E1941" s="11" t="n"/>
      <c r="F1941" s="11" t="n"/>
      <c r="G1941" s="8" t="n"/>
      <c r="H1941" s="8" t="n"/>
      <c r="I1941" s="8" t="n"/>
      <c r="J1941" s="8" t="n"/>
      <c r="K1941" s="12">
        <f>IF(OR(ISERROR(VLOOKUP(C1941, Resultados_Reales!$A$4:$I$107, 5, FALSE)), ISERROR(VLOOKUP(C1941, Resultados_Reales!$A$4:$I$107, 6, FALSE)), VLOOKUP(C1941, Resultados_Reales!$A$4:$I$107, 5, FALSE)="", VLOOKUP(C1941, Resultados_Reales!$A$4:$I$107, 6, FALSE)=""), 0, IF(AND(VLOOKUP(C1941, Resultados_Reales!$A$4:$I$107, 5, FALSE)=G1941, VLOOKUP(C1941, Resultados_Reales!$A$4:$I$107, 6, FALSE)=H1941), Configuracion!$B$5, IF(SIGN(VLOOKUP(C1941, Resultados_Reales!$A$4:$I$107, 5, FALSE)-VLOOKUP(C1941, Resultados_Reales!$A$4:$I$107, 6, FALSE)) = SIGN(G1941-H1941), Configuracion!$B$4, 0)))</f>
        <v/>
      </c>
      <c r="L1941" s="11" t="n"/>
      <c r="M1941" s="11" t="n"/>
      <c r="N1941" s="11" t="n"/>
      <c r="O1941" s="11" t="n"/>
      <c r="P1941" s="11" t="n"/>
      <c r="Q1941" s="11" t="n"/>
    </row>
    <row r="1942">
      <c r="A1942" s="8">
        <f>B1942&amp;"_"&amp;C1942</f>
        <v/>
      </c>
      <c r="B1942" s="8" t="n"/>
      <c r="C1942" s="8" t="n"/>
      <c r="D1942" s="8" t="n"/>
      <c r="E1942" s="11" t="n"/>
      <c r="F1942" s="11" t="n"/>
      <c r="G1942" s="8" t="n"/>
      <c r="H1942" s="8" t="n"/>
      <c r="I1942" s="8" t="n"/>
      <c r="J1942" s="8" t="n"/>
      <c r="K1942" s="12">
        <f>IF(OR(ISERROR(VLOOKUP(C1942, Resultados_Reales!$A$4:$I$107, 5, FALSE)), ISERROR(VLOOKUP(C1942, Resultados_Reales!$A$4:$I$107, 6, FALSE)), VLOOKUP(C1942, Resultados_Reales!$A$4:$I$107, 5, FALSE)="", VLOOKUP(C1942, Resultados_Reales!$A$4:$I$107, 6, FALSE)=""), 0, IF(AND(VLOOKUP(C1942, Resultados_Reales!$A$4:$I$107, 5, FALSE)=G1942, VLOOKUP(C1942, Resultados_Reales!$A$4:$I$107, 6, FALSE)=H1942), Configuracion!$B$5, IF(SIGN(VLOOKUP(C1942, Resultados_Reales!$A$4:$I$107, 5, FALSE)-VLOOKUP(C1942, Resultados_Reales!$A$4:$I$107, 6, FALSE)) = SIGN(G1942-H1942), Configuracion!$B$4, 0)))</f>
        <v/>
      </c>
      <c r="L1942" s="11" t="n"/>
      <c r="M1942" s="11" t="n"/>
      <c r="N1942" s="11" t="n"/>
      <c r="O1942" s="11" t="n"/>
      <c r="P1942" s="11" t="n"/>
      <c r="Q1942" s="11" t="n"/>
    </row>
    <row r="1943">
      <c r="A1943" s="8">
        <f>B1943&amp;"_"&amp;C1943</f>
        <v/>
      </c>
      <c r="B1943" s="8" t="n"/>
      <c r="C1943" s="8" t="n"/>
      <c r="D1943" s="8" t="n"/>
      <c r="E1943" s="11" t="n"/>
      <c r="F1943" s="11" t="n"/>
      <c r="G1943" s="8" t="n"/>
      <c r="H1943" s="8" t="n"/>
      <c r="I1943" s="8" t="n"/>
      <c r="J1943" s="8" t="n"/>
      <c r="K1943" s="12">
        <f>IF(OR(ISERROR(VLOOKUP(C1943, Resultados_Reales!$A$4:$I$107, 5, FALSE)), ISERROR(VLOOKUP(C1943, Resultados_Reales!$A$4:$I$107, 6, FALSE)), VLOOKUP(C1943, Resultados_Reales!$A$4:$I$107, 5, FALSE)="", VLOOKUP(C1943, Resultados_Reales!$A$4:$I$107, 6, FALSE)=""), 0, IF(AND(VLOOKUP(C1943, Resultados_Reales!$A$4:$I$107, 5, FALSE)=G1943, VLOOKUP(C1943, Resultados_Reales!$A$4:$I$107, 6, FALSE)=H1943), Configuracion!$B$5, IF(SIGN(VLOOKUP(C1943, Resultados_Reales!$A$4:$I$107, 5, FALSE)-VLOOKUP(C1943, Resultados_Reales!$A$4:$I$107, 6, FALSE)) = SIGN(G1943-H1943), Configuracion!$B$4, 0)))</f>
        <v/>
      </c>
      <c r="L1943" s="11" t="n"/>
      <c r="M1943" s="11" t="n"/>
      <c r="N1943" s="11" t="n"/>
      <c r="O1943" s="11" t="n"/>
      <c r="P1943" s="11" t="n"/>
      <c r="Q1943" s="11" t="n"/>
    </row>
    <row r="1944">
      <c r="A1944" s="8">
        <f>B1944&amp;"_"&amp;C1944</f>
        <v/>
      </c>
      <c r="B1944" s="8" t="n"/>
      <c r="C1944" s="8" t="n"/>
      <c r="D1944" s="8" t="n"/>
      <c r="E1944" s="11" t="n"/>
      <c r="F1944" s="11" t="n"/>
      <c r="G1944" s="8" t="n"/>
      <c r="H1944" s="8" t="n"/>
      <c r="I1944" s="8" t="n"/>
      <c r="J1944" s="8" t="n"/>
      <c r="K1944" s="12">
        <f>IF(OR(ISERROR(VLOOKUP(C1944, Resultados_Reales!$A$4:$I$107, 5, FALSE)), ISERROR(VLOOKUP(C1944, Resultados_Reales!$A$4:$I$107, 6, FALSE)), VLOOKUP(C1944, Resultados_Reales!$A$4:$I$107, 5, FALSE)="", VLOOKUP(C1944, Resultados_Reales!$A$4:$I$107, 6, FALSE)=""), 0, IF(AND(VLOOKUP(C1944, Resultados_Reales!$A$4:$I$107, 5, FALSE)=G1944, VLOOKUP(C1944, Resultados_Reales!$A$4:$I$107, 6, FALSE)=H1944), Configuracion!$B$5, IF(SIGN(VLOOKUP(C1944, Resultados_Reales!$A$4:$I$107, 5, FALSE)-VLOOKUP(C1944, Resultados_Reales!$A$4:$I$107, 6, FALSE)) = SIGN(G1944-H1944), Configuracion!$B$4, 0)))</f>
        <v/>
      </c>
      <c r="L1944" s="11" t="n"/>
      <c r="M1944" s="11" t="n"/>
      <c r="N1944" s="11" t="n"/>
      <c r="O1944" s="11" t="n"/>
      <c r="P1944" s="11" t="n"/>
      <c r="Q1944" s="11" t="n"/>
    </row>
    <row r="1945">
      <c r="A1945" s="8">
        <f>B1945&amp;"_"&amp;C1945</f>
        <v/>
      </c>
      <c r="B1945" s="8" t="n"/>
      <c r="C1945" s="8" t="n"/>
      <c r="D1945" s="8" t="n"/>
      <c r="E1945" s="11" t="n"/>
      <c r="F1945" s="11" t="n"/>
      <c r="G1945" s="8" t="n"/>
      <c r="H1945" s="8" t="n"/>
      <c r="I1945" s="8" t="n"/>
      <c r="J1945" s="8" t="n"/>
      <c r="K1945" s="12">
        <f>IF(OR(ISERROR(VLOOKUP(C1945, Resultados_Reales!$A$4:$I$107, 5, FALSE)), ISERROR(VLOOKUP(C1945, Resultados_Reales!$A$4:$I$107, 6, FALSE)), VLOOKUP(C1945, Resultados_Reales!$A$4:$I$107, 5, FALSE)="", VLOOKUP(C1945, Resultados_Reales!$A$4:$I$107, 6, FALSE)=""), 0, IF(AND(VLOOKUP(C1945, Resultados_Reales!$A$4:$I$107, 5, FALSE)=G1945, VLOOKUP(C1945, Resultados_Reales!$A$4:$I$107, 6, FALSE)=H1945), Configuracion!$B$5, IF(SIGN(VLOOKUP(C1945, Resultados_Reales!$A$4:$I$107, 5, FALSE)-VLOOKUP(C1945, Resultados_Reales!$A$4:$I$107, 6, FALSE)) = SIGN(G1945-H1945), Configuracion!$B$4, 0)))</f>
        <v/>
      </c>
      <c r="L1945" s="11" t="n"/>
      <c r="M1945" s="11" t="n"/>
      <c r="N1945" s="11" t="n"/>
      <c r="O1945" s="11" t="n"/>
      <c r="P1945" s="11" t="n"/>
      <c r="Q1945" s="11" t="n"/>
    </row>
    <row r="1946">
      <c r="A1946" s="8">
        <f>B1946&amp;"_"&amp;C1946</f>
        <v/>
      </c>
      <c r="B1946" s="8" t="n"/>
      <c r="C1946" s="8" t="n"/>
      <c r="D1946" s="8" t="n"/>
      <c r="E1946" s="11" t="n"/>
      <c r="F1946" s="11" t="n"/>
      <c r="G1946" s="8" t="n"/>
      <c r="H1946" s="8" t="n"/>
      <c r="I1946" s="8" t="n"/>
      <c r="J1946" s="8" t="n"/>
      <c r="K1946" s="12">
        <f>IF(OR(ISERROR(VLOOKUP(C1946, Resultados_Reales!$A$4:$I$107, 5, FALSE)), ISERROR(VLOOKUP(C1946, Resultados_Reales!$A$4:$I$107, 6, FALSE)), VLOOKUP(C1946, Resultados_Reales!$A$4:$I$107, 5, FALSE)="", VLOOKUP(C1946, Resultados_Reales!$A$4:$I$107, 6, FALSE)=""), 0, IF(AND(VLOOKUP(C1946, Resultados_Reales!$A$4:$I$107, 5, FALSE)=G1946, VLOOKUP(C1946, Resultados_Reales!$A$4:$I$107, 6, FALSE)=H1946), Configuracion!$B$5, IF(SIGN(VLOOKUP(C1946, Resultados_Reales!$A$4:$I$107, 5, FALSE)-VLOOKUP(C1946, Resultados_Reales!$A$4:$I$107, 6, FALSE)) = SIGN(G1946-H1946), Configuracion!$B$4, 0)))</f>
        <v/>
      </c>
      <c r="L1946" s="11" t="n"/>
      <c r="M1946" s="11" t="n"/>
      <c r="N1946" s="11" t="n"/>
      <c r="O1946" s="11" t="n"/>
      <c r="P1946" s="11" t="n"/>
      <c r="Q1946" s="11" t="n"/>
    </row>
    <row r="1947">
      <c r="A1947" s="8">
        <f>B1947&amp;"_"&amp;C1947</f>
        <v/>
      </c>
      <c r="B1947" s="8" t="n"/>
      <c r="C1947" s="8" t="n"/>
      <c r="D1947" s="8" t="n"/>
      <c r="E1947" s="11" t="n"/>
      <c r="F1947" s="11" t="n"/>
      <c r="G1947" s="8" t="n"/>
      <c r="H1947" s="8" t="n"/>
      <c r="I1947" s="8" t="n"/>
      <c r="J1947" s="8" t="n"/>
      <c r="K1947" s="12">
        <f>IF(OR(ISERROR(VLOOKUP(C1947, Resultados_Reales!$A$4:$I$107, 5, FALSE)), ISERROR(VLOOKUP(C1947, Resultados_Reales!$A$4:$I$107, 6, FALSE)), VLOOKUP(C1947, Resultados_Reales!$A$4:$I$107, 5, FALSE)="", VLOOKUP(C1947, Resultados_Reales!$A$4:$I$107, 6, FALSE)=""), 0, IF(AND(VLOOKUP(C1947, Resultados_Reales!$A$4:$I$107, 5, FALSE)=G1947, VLOOKUP(C1947, Resultados_Reales!$A$4:$I$107, 6, FALSE)=H1947), Configuracion!$B$5, IF(SIGN(VLOOKUP(C1947, Resultados_Reales!$A$4:$I$107, 5, FALSE)-VLOOKUP(C1947, Resultados_Reales!$A$4:$I$107, 6, FALSE)) = SIGN(G1947-H1947), Configuracion!$B$4, 0)))</f>
        <v/>
      </c>
      <c r="L1947" s="11" t="n"/>
      <c r="M1947" s="11" t="n"/>
      <c r="N1947" s="11" t="n"/>
      <c r="O1947" s="11" t="n"/>
      <c r="P1947" s="11" t="n"/>
      <c r="Q1947" s="11" t="n"/>
    </row>
    <row r="1948">
      <c r="A1948" s="8">
        <f>B1948&amp;"_"&amp;C1948</f>
        <v/>
      </c>
      <c r="B1948" s="8" t="n"/>
      <c r="C1948" s="8" t="n"/>
      <c r="D1948" s="8" t="n"/>
      <c r="E1948" s="11" t="n"/>
      <c r="F1948" s="11" t="n"/>
      <c r="G1948" s="8" t="n"/>
      <c r="H1948" s="8" t="n"/>
      <c r="I1948" s="8" t="n"/>
      <c r="J1948" s="8" t="n"/>
      <c r="K1948" s="12">
        <f>IF(OR(ISERROR(VLOOKUP(C1948, Resultados_Reales!$A$4:$I$107, 5, FALSE)), ISERROR(VLOOKUP(C1948, Resultados_Reales!$A$4:$I$107, 6, FALSE)), VLOOKUP(C1948, Resultados_Reales!$A$4:$I$107, 5, FALSE)="", VLOOKUP(C1948, Resultados_Reales!$A$4:$I$107, 6, FALSE)=""), 0, IF(AND(VLOOKUP(C1948, Resultados_Reales!$A$4:$I$107, 5, FALSE)=G1948, VLOOKUP(C1948, Resultados_Reales!$A$4:$I$107, 6, FALSE)=H1948), Configuracion!$B$5, IF(SIGN(VLOOKUP(C1948, Resultados_Reales!$A$4:$I$107, 5, FALSE)-VLOOKUP(C1948, Resultados_Reales!$A$4:$I$107, 6, FALSE)) = SIGN(G1948-H1948), Configuracion!$B$4, 0)))</f>
        <v/>
      </c>
      <c r="L1948" s="11" t="n"/>
      <c r="M1948" s="11" t="n"/>
      <c r="N1948" s="11" t="n"/>
      <c r="O1948" s="11" t="n"/>
      <c r="P1948" s="11" t="n"/>
      <c r="Q1948" s="11" t="n"/>
    </row>
    <row r="1949">
      <c r="A1949" s="8">
        <f>B1949&amp;"_"&amp;C1949</f>
        <v/>
      </c>
      <c r="B1949" s="8" t="n"/>
      <c r="C1949" s="8" t="n"/>
      <c r="D1949" s="8" t="n"/>
      <c r="E1949" s="11" t="n"/>
      <c r="F1949" s="11" t="n"/>
      <c r="G1949" s="8" t="n"/>
      <c r="H1949" s="8" t="n"/>
      <c r="I1949" s="8" t="n"/>
      <c r="J1949" s="8" t="n"/>
      <c r="K1949" s="12">
        <f>IF(OR(ISERROR(VLOOKUP(C1949, Resultados_Reales!$A$4:$I$107, 5, FALSE)), ISERROR(VLOOKUP(C1949, Resultados_Reales!$A$4:$I$107, 6, FALSE)), VLOOKUP(C1949, Resultados_Reales!$A$4:$I$107, 5, FALSE)="", VLOOKUP(C1949, Resultados_Reales!$A$4:$I$107, 6, FALSE)=""), 0, IF(AND(VLOOKUP(C1949, Resultados_Reales!$A$4:$I$107, 5, FALSE)=G1949, VLOOKUP(C1949, Resultados_Reales!$A$4:$I$107, 6, FALSE)=H1949), Configuracion!$B$5, IF(SIGN(VLOOKUP(C1949, Resultados_Reales!$A$4:$I$107, 5, FALSE)-VLOOKUP(C1949, Resultados_Reales!$A$4:$I$107, 6, FALSE)) = SIGN(G1949-H1949), Configuracion!$B$4, 0)))</f>
        <v/>
      </c>
      <c r="L1949" s="11" t="n"/>
      <c r="M1949" s="11" t="n"/>
      <c r="N1949" s="11" t="n"/>
      <c r="O1949" s="11" t="n"/>
      <c r="P1949" s="11" t="n"/>
      <c r="Q1949" s="11" t="n"/>
    </row>
    <row r="1950">
      <c r="A1950" s="8">
        <f>B1950&amp;"_"&amp;C1950</f>
        <v/>
      </c>
      <c r="B1950" s="8" t="n"/>
      <c r="C1950" s="8" t="n"/>
      <c r="D1950" s="8" t="n"/>
      <c r="E1950" s="11" t="n"/>
      <c r="F1950" s="11" t="n"/>
      <c r="G1950" s="8" t="n"/>
      <c r="H1950" s="8" t="n"/>
      <c r="I1950" s="8" t="n"/>
      <c r="J1950" s="8" t="n"/>
      <c r="K1950" s="12">
        <f>IF(OR(ISERROR(VLOOKUP(C1950, Resultados_Reales!$A$4:$I$107, 5, FALSE)), ISERROR(VLOOKUP(C1950, Resultados_Reales!$A$4:$I$107, 6, FALSE)), VLOOKUP(C1950, Resultados_Reales!$A$4:$I$107, 5, FALSE)="", VLOOKUP(C1950, Resultados_Reales!$A$4:$I$107, 6, FALSE)=""), 0, IF(AND(VLOOKUP(C1950, Resultados_Reales!$A$4:$I$107, 5, FALSE)=G1950, VLOOKUP(C1950, Resultados_Reales!$A$4:$I$107, 6, FALSE)=H1950), Configuracion!$B$5, IF(SIGN(VLOOKUP(C1950, Resultados_Reales!$A$4:$I$107, 5, FALSE)-VLOOKUP(C1950, Resultados_Reales!$A$4:$I$107, 6, FALSE)) = SIGN(G1950-H1950), Configuracion!$B$4, 0)))</f>
        <v/>
      </c>
      <c r="L1950" s="11" t="n"/>
      <c r="M1950" s="11" t="n"/>
      <c r="N1950" s="11" t="n"/>
      <c r="O1950" s="11" t="n"/>
      <c r="P1950" s="11" t="n"/>
      <c r="Q1950" s="11" t="n"/>
    </row>
    <row r="1951">
      <c r="A1951" s="8">
        <f>B1951&amp;"_"&amp;C1951</f>
        <v/>
      </c>
      <c r="B1951" s="8" t="n"/>
      <c r="C1951" s="8" t="n"/>
      <c r="D1951" s="8" t="n"/>
      <c r="E1951" s="11" t="n"/>
      <c r="F1951" s="11" t="n"/>
      <c r="G1951" s="8" t="n"/>
      <c r="H1951" s="8" t="n"/>
      <c r="I1951" s="8" t="n"/>
      <c r="J1951" s="8" t="n"/>
      <c r="K1951" s="12">
        <f>IF(OR(ISERROR(VLOOKUP(C1951, Resultados_Reales!$A$4:$I$107, 5, FALSE)), ISERROR(VLOOKUP(C1951, Resultados_Reales!$A$4:$I$107, 6, FALSE)), VLOOKUP(C1951, Resultados_Reales!$A$4:$I$107, 5, FALSE)="", VLOOKUP(C1951, Resultados_Reales!$A$4:$I$107, 6, FALSE)=""), 0, IF(AND(VLOOKUP(C1951, Resultados_Reales!$A$4:$I$107, 5, FALSE)=G1951, VLOOKUP(C1951, Resultados_Reales!$A$4:$I$107, 6, FALSE)=H1951), Configuracion!$B$5, IF(SIGN(VLOOKUP(C1951, Resultados_Reales!$A$4:$I$107, 5, FALSE)-VLOOKUP(C1951, Resultados_Reales!$A$4:$I$107, 6, FALSE)) = SIGN(G1951-H1951), Configuracion!$B$4, 0)))</f>
        <v/>
      </c>
      <c r="L1951" s="11" t="n"/>
      <c r="M1951" s="11" t="n"/>
      <c r="N1951" s="11" t="n"/>
      <c r="O1951" s="11" t="n"/>
      <c r="P1951" s="11" t="n"/>
      <c r="Q1951" s="11" t="n"/>
    </row>
    <row r="1952">
      <c r="A1952" s="8">
        <f>B1952&amp;"_"&amp;C1952</f>
        <v/>
      </c>
      <c r="B1952" s="8" t="n"/>
      <c r="C1952" s="8" t="n"/>
      <c r="D1952" s="8" t="n"/>
      <c r="E1952" s="11" t="n"/>
      <c r="F1952" s="11" t="n"/>
      <c r="G1952" s="8" t="n"/>
      <c r="H1952" s="8" t="n"/>
      <c r="I1952" s="8" t="n"/>
      <c r="J1952" s="8" t="n"/>
      <c r="K1952" s="12">
        <f>IF(OR(ISERROR(VLOOKUP(C1952, Resultados_Reales!$A$4:$I$107, 5, FALSE)), ISERROR(VLOOKUP(C1952, Resultados_Reales!$A$4:$I$107, 6, FALSE)), VLOOKUP(C1952, Resultados_Reales!$A$4:$I$107, 5, FALSE)="", VLOOKUP(C1952, Resultados_Reales!$A$4:$I$107, 6, FALSE)=""), 0, IF(AND(VLOOKUP(C1952, Resultados_Reales!$A$4:$I$107, 5, FALSE)=G1952, VLOOKUP(C1952, Resultados_Reales!$A$4:$I$107, 6, FALSE)=H1952), Configuracion!$B$5, IF(SIGN(VLOOKUP(C1952, Resultados_Reales!$A$4:$I$107, 5, FALSE)-VLOOKUP(C1952, Resultados_Reales!$A$4:$I$107, 6, FALSE)) = SIGN(G1952-H1952), Configuracion!$B$4, 0)))</f>
        <v/>
      </c>
      <c r="L1952" s="11" t="n"/>
      <c r="M1952" s="11" t="n"/>
      <c r="N1952" s="11" t="n"/>
      <c r="O1952" s="11" t="n"/>
      <c r="P1952" s="11" t="n"/>
      <c r="Q1952" s="11" t="n"/>
    </row>
    <row r="1953">
      <c r="A1953" s="8">
        <f>B1953&amp;"_"&amp;C1953</f>
        <v/>
      </c>
      <c r="B1953" s="8" t="n"/>
      <c r="C1953" s="8" t="n"/>
      <c r="D1953" s="8" t="n"/>
      <c r="E1953" s="11" t="n"/>
      <c r="F1953" s="11" t="n"/>
      <c r="G1953" s="8" t="n"/>
      <c r="H1953" s="8" t="n"/>
      <c r="I1953" s="8" t="n"/>
      <c r="J1953" s="8" t="n"/>
      <c r="K1953" s="12">
        <f>IF(OR(ISERROR(VLOOKUP(C1953, Resultados_Reales!$A$4:$I$107, 5, FALSE)), ISERROR(VLOOKUP(C1953, Resultados_Reales!$A$4:$I$107, 6, FALSE)), VLOOKUP(C1953, Resultados_Reales!$A$4:$I$107, 5, FALSE)="", VLOOKUP(C1953, Resultados_Reales!$A$4:$I$107, 6, FALSE)=""), 0, IF(AND(VLOOKUP(C1953, Resultados_Reales!$A$4:$I$107, 5, FALSE)=G1953, VLOOKUP(C1953, Resultados_Reales!$A$4:$I$107, 6, FALSE)=H1953), Configuracion!$B$5, IF(SIGN(VLOOKUP(C1953, Resultados_Reales!$A$4:$I$107, 5, FALSE)-VLOOKUP(C1953, Resultados_Reales!$A$4:$I$107, 6, FALSE)) = SIGN(G1953-H1953), Configuracion!$B$4, 0)))</f>
        <v/>
      </c>
      <c r="L1953" s="11" t="n"/>
      <c r="M1953" s="11" t="n"/>
      <c r="N1953" s="11" t="n"/>
      <c r="O1953" s="11" t="n"/>
      <c r="P1953" s="11" t="n"/>
      <c r="Q1953" s="11" t="n"/>
    </row>
    <row r="1954">
      <c r="A1954" s="8">
        <f>B1954&amp;"_"&amp;C1954</f>
        <v/>
      </c>
      <c r="B1954" s="8" t="n"/>
      <c r="C1954" s="8" t="n"/>
      <c r="D1954" s="8" t="n"/>
      <c r="E1954" s="11" t="n"/>
      <c r="F1954" s="11" t="n"/>
      <c r="G1954" s="8" t="n"/>
      <c r="H1954" s="8" t="n"/>
      <c r="I1954" s="8" t="n"/>
      <c r="J1954" s="8" t="n"/>
      <c r="K1954" s="12">
        <f>IF(OR(ISERROR(VLOOKUP(C1954, Resultados_Reales!$A$4:$I$107, 5, FALSE)), ISERROR(VLOOKUP(C1954, Resultados_Reales!$A$4:$I$107, 6, FALSE)), VLOOKUP(C1954, Resultados_Reales!$A$4:$I$107, 5, FALSE)="", VLOOKUP(C1954, Resultados_Reales!$A$4:$I$107, 6, FALSE)=""), 0, IF(AND(VLOOKUP(C1954, Resultados_Reales!$A$4:$I$107, 5, FALSE)=G1954, VLOOKUP(C1954, Resultados_Reales!$A$4:$I$107, 6, FALSE)=H1954), Configuracion!$B$5, IF(SIGN(VLOOKUP(C1954, Resultados_Reales!$A$4:$I$107, 5, FALSE)-VLOOKUP(C1954, Resultados_Reales!$A$4:$I$107, 6, FALSE)) = SIGN(G1954-H1954), Configuracion!$B$4, 0)))</f>
        <v/>
      </c>
      <c r="L1954" s="11" t="n"/>
      <c r="M1954" s="11" t="n"/>
      <c r="N1954" s="11" t="n"/>
      <c r="O1954" s="11" t="n"/>
      <c r="P1954" s="11" t="n"/>
      <c r="Q1954" s="11" t="n"/>
    </row>
    <row r="1955">
      <c r="A1955" s="8">
        <f>B1955&amp;"_"&amp;C1955</f>
        <v/>
      </c>
      <c r="B1955" s="8" t="n"/>
      <c r="C1955" s="8" t="n"/>
      <c r="D1955" s="8" t="n"/>
      <c r="E1955" s="11" t="n"/>
      <c r="F1955" s="11" t="n"/>
      <c r="G1955" s="8" t="n"/>
      <c r="H1955" s="8" t="n"/>
      <c r="I1955" s="8" t="n"/>
      <c r="J1955" s="8" t="n"/>
      <c r="K1955" s="12">
        <f>IF(OR(ISERROR(VLOOKUP(C1955, Resultados_Reales!$A$4:$I$107, 5, FALSE)), ISERROR(VLOOKUP(C1955, Resultados_Reales!$A$4:$I$107, 6, FALSE)), VLOOKUP(C1955, Resultados_Reales!$A$4:$I$107, 5, FALSE)="", VLOOKUP(C1955, Resultados_Reales!$A$4:$I$107, 6, FALSE)=""), 0, IF(AND(VLOOKUP(C1955, Resultados_Reales!$A$4:$I$107, 5, FALSE)=G1955, VLOOKUP(C1955, Resultados_Reales!$A$4:$I$107, 6, FALSE)=H1955), Configuracion!$B$5, IF(SIGN(VLOOKUP(C1955, Resultados_Reales!$A$4:$I$107, 5, FALSE)-VLOOKUP(C1955, Resultados_Reales!$A$4:$I$107, 6, FALSE)) = SIGN(G1955-H1955), Configuracion!$B$4, 0)))</f>
        <v/>
      </c>
      <c r="L1955" s="11" t="n"/>
      <c r="M1955" s="11" t="n"/>
      <c r="N1955" s="11" t="n"/>
      <c r="O1955" s="11" t="n"/>
      <c r="P1955" s="11" t="n"/>
      <c r="Q1955" s="11" t="n"/>
    </row>
    <row r="1956">
      <c r="A1956" s="8">
        <f>B1956&amp;"_"&amp;C1956</f>
        <v/>
      </c>
      <c r="B1956" s="8" t="n"/>
      <c r="C1956" s="8" t="n"/>
      <c r="D1956" s="8" t="n"/>
      <c r="E1956" s="11" t="n"/>
      <c r="F1956" s="11" t="n"/>
      <c r="G1956" s="8" t="n"/>
      <c r="H1956" s="8" t="n"/>
      <c r="I1956" s="8" t="n"/>
      <c r="J1956" s="8" t="n"/>
      <c r="K1956" s="12">
        <f>IF(OR(ISERROR(VLOOKUP(C1956, Resultados_Reales!$A$4:$I$107, 5, FALSE)), ISERROR(VLOOKUP(C1956, Resultados_Reales!$A$4:$I$107, 6, FALSE)), VLOOKUP(C1956, Resultados_Reales!$A$4:$I$107, 5, FALSE)="", VLOOKUP(C1956, Resultados_Reales!$A$4:$I$107, 6, FALSE)=""), 0, IF(AND(VLOOKUP(C1956, Resultados_Reales!$A$4:$I$107, 5, FALSE)=G1956, VLOOKUP(C1956, Resultados_Reales!$A$4:$I$107, 6, FALSE)=H1956), Configuracion!$B$5, IF(SIGN(VLOOKUP(C1956, Resultados_Reales!$A$4:$I$107, 5, FALSE)-VLOOKUP(C1956, Resultados_Reales!$A$4:$I$107, 6, FALSE)) = SIGN(G1956-H1956), Configuracion!$B$4, 0)))</f>
        <v/>
      </c>
      <c r="L1956" s="11" t="n"/>
      <c r="M1956" s="11" t="n"/>
      <c r="N1956" s="11" t="n"/>
      <c r="O1956" s="11" t="n"/>
      <c r="P1956" s="11" t="n"/>
      <c r="Q1956" s="11" t="n"/>
    </row>
    <row r="1957">
      <c r="A1957" s="8">
        <f>B1957&amp;"_"&amp;C1957</f>
        <v/>
      </c>
      <c r="B1957" s="8" t="n"/>
      <c r="C1957" s="8" t="n"/>
      <c r="D1957" s="8" t="n"/>
      <c r="E1957" s="11" t="n"/>
      <c r="F1957" s="11" t="n"/>
      <c r="G1957" s="8" t="n"/>
      <c r="H1957" s="8" t="n"/>
      <c r="I1957" s="8" t="n"/>
      <c r="J1957" s="8" t="n"/>
      <c r="K1957" s="12">
        <f>IF(OR(ISERROR(VLOOKUP(C1957, Resultados_Reales!$A$4:$I$107, 5, FALSE)), ISERROR(VLOOKUP(C1957, Resultados_Reales!$A$4:$I$107, 6, FALSE)), VLOOKUP(C1957, Resultados_Reales!$A$4:$I$107, 5, FALSE)="", VLOOKUP(C1957, Resultados_Reales!$A$4:$I$107, 6, FALSE)=""), 0, IF(AND(VLOOKUP(C1957, Resultados_Reales!$A$4:$I$107, 5, FALSE)=G1957, VLOOKUP(C1957, Resultados_Reales!$A$4:$I$107, 6, FALSE)=H1957), Configuracion!$B$5, IF(SIGN(VLOOKUP(C1957, Resultados_Reales!$A$4:$I$107, 5, FALSE)-VLOOKUP(C1957, Resultados_Reales!$A$4:$I$107, 6, FALSE)) = SIGN(G1957-H1957), Configuracion!$B$4, 0)))</f>
        <v/>
      </c>
      <c r="L1957" s="11" t="n"/>
      <c r="M1957" s="11" t="n"/>
      <c r="N1957" s="11" t="n"/>
      <c r="O1957" s="11" t="n"/>
      <c r="P1957" s="11" t="n"/>
      <c r="Q1957" s="11" t="n"/>
    </row>
    <row r="1958">
      <c r="A1958" s="8">
        <f>B1958&amp;"_"&amp;C1958</f>
        <v/>
      </c>
      <c r="B1958" s="8" t="n"/>
      <c r="C1958" s="8" t="n"/>
      <c r="D1958" s="8" t="n"/>
      <c r="E1958" s="11" t="n"/>
      <c r="F1958" s="11" t="n"/>
      <c r="G1958" s="8" t="n"/>
      <c r="H1958" s="8" t="n"/>
      <c r="I1958" s="8" t="n"/>
      <c r="J1958" s="8" t="n"/>
      <c r="K1958" s="12">
        <f>IF(OR(ISERROR(VLOOKUP(C1958, Resultados_Reales!$A$4:$I$107, 5, FALSE)), ISERROR(VLOOKUP(C1958, Resultados_Reales!$A$4:$I$107, 6, FALSE)), VLOOKUP(C1958, Resultados_Reales!$A$4:$I$107, 5, FALSE)="", VLOOKUP(C1958, Resultados_Reales!$A$4:$I$107, 6, FALSE)=""), 0, IF(AND(VLOOKUP(C1958, Resultados_Reales!$A$4:$I$107, 5, FALSE)=G1958, VLOOKUP(C1958, Resultados_Reales!$A$4:$I$107, 6, FALSE)=H1958), Configuracion!$B$5, IF(SIGN(VLOOKUP(C1958, Resultados_Reales!$A$4:$I$107, 5, FALSE)-VLOOKUP(C1958, Resultados_Reales!$A$4:$I$107, 6, FALSE)) = SIGN(G1958-H1958), Configuracion!$B$4, 0)))</f>
        <v/>
      </c>
      <c r="L1958" s="11" t="n"/>
      <c r="M1958" s="11" t="n"/>
      <c r="N1958" s="11" t="n"/>
      <c r="O1958" s="11" t="n"/>
      <c r="P1958" s="11" t="n"/>
      <c r="Q1958" s="11" t="n"/>
    </row>
    <row r="1959">
      <c r="A1959" s="8">
        <f>B1959&amp;"_"&amp;C1959</f>
        <v/>
      </c>
      <c r="B1959" s="8" t="n"/>
      <c r="C1959" s="8" t="n"/>
      <c r="D1959" s="8" t="n"/>
      <c r="E1959" s="11" t="n"/>
      <c r="F1959" s="11" t="n"/>
      <c r="G1959" s="8" t="n"/>
      <c r="H1959" s="8" t="n"/>
      <c r="I1959" s="8" t="n"/>
      <c r="J1959" s="8" t="n"/>
      <c r="K1959" s="12">
        <f>IF(OR(ISERROR(VLOOKUP(C1959, Resultados_Reales!$A$4:$I$107, 5, FALSE)), ISERROR(VLOOKUP(C1959, Resultados_Reales!$A$4:$I$107, 6, FALSE)), VLOOKUP(C1959, Resultados_Reales!$A$4:$I$107, 5, FALSE)="", VLOOKUP(C1959, Resultados_Reales!$A$4:$I$107, 6, FALSE)=""), 0, IF(AND(VLOOKUP(C1959, Resultados_Reales!$A$4:$I$107, 5, FALSE)=G1959, VLOOKUP(C1959, Resultados_Reales!$A$4:$I$107, 6, FALSE)=H1959), Configuracion!$B$5, IF(SIGN(VLOOKUP(C1959, Resultados_Reales!$A$4:$I$107, 5, FALSE)-VLOOKUP(C1959, Resultados_Reales!$A$4:$I$107, 6, FALSE)) = SIGN(G1959-H1959), Configuracion!$B$4, 0)))</f>
        <v/>
      </c>
      <c r="L1959" s="11" t="n"/>
      <c r="M1959" s="11" t="n"/>
      <c r="N1959" s="11" t="n"/>
      <c r="O1959" s="11" t="n"/>
      <c r="P1959" s="11" t="n"/>
      <c r="Q1959" s="11" t="n"/>
    </row>
    <row r="1960">
      <c r="A1960" s="8">
        <f>B1960&amp;"_"&amp;C1960</f>
        <v/>
      </c>
      <c r="B1960" s="8" t="n"/>
      <c r="C1960" s="8" t="n"/>
      <c r="D1960" s="8" t="n"/>
      <c r="E1960" s="11" t="n"/>
      <c r="F1960" s="11" t="n"/>
      <c r="G1960" s="8" t="n"/>
      <c r="H1960" s="8" t="n"/>
      <c r="I1960" s="8" t="n"/>
      <c r="J1960" s="8" t="n"/>
      <c r="K1960" s="12">
        <f>IF(OR(ISERROR(VLOOKUP(C1960, Resultados_Reales!$A$4:$I$107, 5, FALSE)), ISERROR(VLOOKUP(C1960, Resultados_Reales!$A$4:$I$107, 6, FALSE)), VLOOKUP(C1960, Resultados_Reales!$A$4:$I$107, 5, FALSE)="", VLOOKUP(C1960, Resultados_Reales!$A$4:$I$107, 6, FALSE)=""), 0, IF(AND(VLOOKUP(C1960, Resultados_Reales!$A$4:$I$107, 5, FALSE)=G1960, VLOOKUP(C1960, Resultados_Reales!$A$4:$I$107, 6, FALSE)=H1960), Configuracion!$B$5, IF(SIGN(VLOOKUP(C1960, Resultados_Reales!$A$4:$I$107, 5, FALSE)-VLOOKUP(C1960, Resultados_Reales!$A$4:$I$107, 6, FALSE)) = SIGN(G1960-H1960), Configuracion!$B$4, 0)))</f>
        <v/>
      </c>
      <c r="L1960" s="11" t="n"/>
      <c r="M1960" s="11" t="n"/>
      <c r="N1960" s="11" t="n"/>
      <c r="O1960" s="11" t="n"/>
      <c r="P1960" s="11" t="n"/>
      <c r="Q1960" s="11" t="n"/>
    </row>
    <row r="1961">
      <c r="A1961" s="8">
        <f>B1961&amp;"_"&amp;C1961</f>
        <v/>
      </c>
      <c r="B1961" s="8" t="n"/>
      <c r="C1961" s="8" t="n"/>
      <c r="D1961" s="8" t="n"/>
      <c r="E1961" s="11" t="n"/>
      <c r="F1961" s="11" t="n"/>
      <c r="G1961" s="8" t="n"/>
      <c r="H1961" s="8" t="n"/>
      <c r="I1961" s="8" t="n"/>
      <c r="J1961" s="8" t="n"/>
      <c r="K1961" s="12">
        <f>IF(OR(ISERROR(VLOOKUP(C1961, Resultados_Reales!$A$4:$I$107, 5, FALSE)), ISERROR(VLOOKUP(C1961, Resultados_Reales!$A$4:$I$107, 6, FALSE)), VLOOKUP(C1961, Resultados_Reales!$A$4:$I$107, 5, FALSE)="", VLOOKUP(C1961, Resultados_Reales!$A$4:$I$107, 6, FALSE)=""), 0, IF(AND(VLOOKUP(C1961, Resultados_Reales!$A$4:$I$107, 5, FALSE)=G1961, VLOOKUP(C1961, Resultados_Reales!$A$4:$I$107, 6, FALSE)=H1961), Configuracion!$B$5, IF(SIGN(VLOOKUP(C1961, Resultados_Reales!$A$4:$I$107, 5, FALSE)-VLOOKUP(C1961, Resultados_Reales!$A$4:$I$107, 6, FALSE)) = SIGN(G1961-H1961), Configuracion!$B$4, 0)))</f>
        <v/>
      </c>
      <c r="L1961" s="11" t="n"/>
      <c r="M1961" s="11" t="n"/>
      <c r="N1961" s="11" t="n"/>
      <c r="O1961" s="11" t="n"/>
      <c r="P1961" s="11" t="n"/>
      <c r="Q1961" s="11" t="n"/>
    </row>
    <row r="1962">
      <c r="A1962" s="8">
        <f>B1962&amp;"_"&amp;C1962</f>
        <v/>
      </c>
      <c r="B1962" s="8" t="n"/>
      <c r="C1962" s="8" t="n"/>
      <c r="D1962" s="8" t="n"/>
      <c r="E1962" s="11" t="n"/>
      <c r="F1962" s="11" t="n"/>
      <c r="G1962" s="8" t="n"/>
      <c r="H1962" s="8" t="n"/>
      <c r="I1962" s="8" t="n"/>
      <c r="J1962" s="8" t="n"/>
      <c r="K1962" s="12">
        <f>IF(OR(ISERROR(VLOOKUP(C1962, Resultados_Reales!$A$4:$I$107, 5, FALSE)), ISERROR(VLOOKUP(C1962, Resultados_Reales!$A$4:$I$107, 6, FALSE)), VLOOKUP(C1962, Resultados_Reales!$A$4:$I$107, 5, FALSE)="", VLOOKUP(C1962, Resultados_Reales!$A$4:$I$107, 6, FALSE)=""), 0, IF(AND(VLOOKUP(C1962, Resultados_Reales!$A$4:$I$107, 5, FALSE)=G1962, VLOOKUP(C1962, Resultados_Reales!$A$4:$I$107, 6, FALSE)=H1962), Configuracion!$B$5, IF(SIGN(VLOOKUP(C1962, Resultados_Reales!$A$4:$I$107, 5, FALSE)-VLOOKUP(C1962, Resultados_Reales!$A$4:$I$107, 6, FALSE)) = SIGN(G1962-H1962), Configuracion!$B$4, 0)))</f>
        <v/>
      </c>
      <c r="L1962" s="11" t="n"/>
      <c r="M1962" s="11" t="n"/>
      <c r="N1962" s="11" t="n"/>
      <c r="O1962" s="11" t="n"/>
      <c r="P1962" s="11" t="n"/>
      <c r="Q1962" s="11" t="n"/>
    </row>
    <row r="1963">
      <c r="A1963" s="8">
        <f>B1963&amp;"_"&amp;C1963</f>
        <v/>
      </c>
      <c r="B1963" s="8" t="n"/>
      <c r="C1963" s="8" t="n"/>
      <c r="D1963" s="8" t="n"/>
      <c r="E1963" s="11" t="n"/>
      <c r="F1963" s="11" t="n"/>
      <c r="G1963" s="8" t="n"/>
      <c r="H1963" s="8" t="n"/>
      <c r="I1963" s="8" t="n"/>
      <c r="J1963" s="8" t="n"/>
      <c r="K1963" s="12">
        <f>IF(OR(ISERROR(VLOOKUP(C1963, Resultados_Reales!$A$4:$I$107, 5, FALSE)), ISERROR(VLOOKUP(C1963, Resultados_Reales!$A$4:$I$107, 6, FALSE)), VLOOKUP(C1963, Resultados_Reales!$A$4:$I$107, 5, FALSE)="", VLOOKUP(C1963, Resultados_Reales!$A$4:$I$107, 6, FALSE)=""), 0, IF(AND(VLOOKUP(C1963, Resultados_Reales!$A$4:$I$107, 5, FALSE)=G1963, VLOOKUP(C1963, Resultados_Reales!$A$4:$I$107, 6, FALSE)=H1963), Configuracion!$B$5, IF(SIGN(VLOOKUP(C1963, Resultados_Reales!$A$4:$I$107, 5, FALSE)-VLOOKUP(C1963, Resultados_Reales!$A$4:$I$107, 6, FALSE)) = SIGN(G1963-H1963), Configuracion!$B$4, 0)))</f>
        <v/>
      </c>
      <c r="L1963" s="11" t="n"/>
      <c r="M1963" s="11" t="n"/>
      <c r="N1963" s="11" t="n"/>
      <c r="O1963" s="11" t="n"/>
      <c r="P1963" s="11" t="n"/>
      <c r="Q1963" s="11" t="n"/>
    </row>
    <row r="1964">
      <c r="A1964" s="8">
        <f>B1964&amp;"_"&amp;C1964</f>
        <v/>
      </c>
      <c r="B1964" s="8" t="n"/>
      <c r="C1964" s="8" t="n"/>
      <c r="D1964" s="8" t="n"/>
      <c r="E1964" s="11" t="n"/>
      <c r="F1964" s="11" t="n"/>
      <c r="G1964" s="8" t="n"/>
      <c r="H1964" s="8" t="n"/>
      <c r="I1964" s="8" t="n"/>
      <c r="J1964" s="8" t="n"/>
      <c r="K1964" s="12">
        <f>IF(OR(ISERROR(VLOOKUP(C1964, Resultados_Reales!$A$4:$I$107, 5, FALSE)), ISERROR(VLOOKUP(C1964, Resultados_Reales!$A$4:$I$107, 6, FALSE)), VLOOKUP(C1964, Resultados_Reales!$A$4:$I$107, 5, FALSE)="", VLOOKUP(C1964, Resultados_Reales!$A$4:$I$107, 6, FALSE)=""), 0, IF(AND(VLOOKUP(C1964, Resultados_Reales!$A$4:$I$107, 5, FALSE)=G1964, VLOOKUP(C1964, Resultados_Reales!$A$4:$I$107, 6, FALSE)=H1964), Configuracion!$B$5, IF(SIGN(VLOOKUP(C1964, Resultados_Reales!$A$4:$I$107, 5, FALSE)-VLOOKUP(C1964, Resultados_Reales!$A$4:$I$107, 6, FALSE)) = SIGN(G1964-H1964), Configuracion!$B$4, 0)))</f>
        <v/>
      </c>
      <c r="L1964" s="11" t="n"/>
      <c r="M1964" s="11" t="n"/>
      <c r="N1964" s="11" t="n"/>
      <c r="O1964" s="11" t="n"/>
      <c r="P1964" s="11" t="n"/>
      <c r="Q1964" s="11" t="n"/>
    </row>
    <row r="1965">
      <c r="A1965" s="8">
        <f>B1965&amp;"_"&amp;C1965</f>
        <v/>
      </c>
      <c r="B1965" s="8" t="n"/>
      <c r="C1965" s="8" t="n"/>
      <c r="D1965" s="8" t="n"/>
      <c r="E1965" s="11" t="n"/>
      <c r="F1965" s="11" t="n"/>
      <c r="G1965" s="8" t="n"/>
      <c r="H1965" s="8" t="n"/>
      <c r="I1965" s="8" t="n"/>
      <c r="J1965" s="8" t="n"/>
      <c r="K1965" s="12">
        <f>IF(OR(ISERROR(VLOOKUP(C1965, Resultados_Reales!$A$4:$I$107, 5, FALSE)), ISERROR(VLOOKUP(C1965, Resultados_Reales!$A$4:$I$107, 6, FALSE)), VLOOKUP(C1965, Resultados_Reales!$A$4:$I$107, 5, FALSE)="", VLOOKUP(C1965, Resultados_Reales!$A$4:$I$107, 6, FALSE)=""), 0, IF(AND(VLOOKUP(C1965, Resultados_Reales!$A$4:$I$107, 5, FALSE)=G1965, VLOOKUP(C1965, Resultados_Reales!$A$4:$I$107, 6, FALSE)=H1965), Configuracion!$B$5, IF(SIGN(VLOOKUP(C1965, Resultados_Reales!$A$4:$I$107, 5, FALSE)-VLOOKUP(C1965, Resultados_Reales!$A$4:$I$107, 6, FALSE)) = SIGN(G1965-H1965), Configuracion!$B$4, 0)))</f>
        <v/>
      </c>
      <c r="L1965" s="11" t="n"/>
      <c r="M1965" s="11" t="n"/>
      <c r="N1965" s="11" t="n"/>
      <c r="O1965" s="11" t="n"/>
      <c r="P1965" s="11" t="n"/>
      <c r="Q1965" s="11" t="n"/>
    </row>
    <row r="1966">
      <c r="A1966" s="8">
        <f>B1966&amp;"_"&amp;C1966</f>
        <v/>
      </c>
      <c r="B1966" s="8" t="n"/>
      <c r="C1966" s="8" t="n"/>
      <c r="D1966" s="8" t="n"/>
      <c r="E1966" s="11" t="n"/>
      <c r="F1966" s="11" t="n"/>
      <c r="G1966" s="8" t="n"/>
      <c r="H1966" s="8" t="n"/>
      <c r="I1966" s="8" t="n"/>
      <c r="J1966" s="8" t="n"/>
      <c r="K1966" s="12">
        <f>IF(OR(ISERROR(VLOOKUP(C1966, Resultados_Reales!$A$4:$I$107, 5, FALSE)), ISERROR(VLOOKUP(C1966, Resultados_Reales!$A$4:$I$107, 6, FALSE)), VLOOKUP(C1966, Resultados_Reales!$A$4:$I$107, 5, FALSE)="", VLOOKUP(C1966, Resultados_Reales!$A$4:$I$107, 6, FALSE)=""), 0, IF(AND(VLOOKUP(C1966, Resultados_Reales!$A$4:$I$107, 5, FALSE)=G1966, VLOOKUP(C1966, Resultados_Reales!$A$4:$I$107, 6, FALSE)=H1966), Configuracion!$B$5, IF(SIGN(VLOOKUP(C1966, Resultados_Reales!$A$4:$I$107, 5, FALSE)-VLOOKUP(C1966, Resultados_Reales!$A$4:$I$107, 6, FALSE)) = SIGN(G1966-H1966), Configuracion!$B$4, 0)))</f>
        <v/>
      </c>
      <c r="L1966" s="11" t="n"/>
      <c r="M1966" s="11" t="n"/>
      <c r="N1966" s="11" t="n"/>
      <c r="O1966" s="11" t="n"/>
      <c r="P1966" s="11" t="n"/>
      <c r="Q1966" s="11" t="n"/>
    </row>
    <row r="1967">
      <c r="A1967" s="8">
        <f>B1967&amp;"_"&amp;C1967</f>
        <v/>
      </c>
      <c r="B1967" s="8" t="n"/>
      <c r="C1967" s="8" t="n"/>
      <c r="D1967" s="8" t="n"/>
      <c r="E1967" s="11" t="n"/>
      <c r="F1967" s="11" t="n"/>
      <c r="G1967" s="8" t="n"/>
      <c r="H1967" s="8" t="n"/>
      <c r="I1967" s="8" t="n"/>
      <c r="J1967" s="8" t="n"/>
      <c r="K1967" s="12">
        <f>IF(OR(ISERROR(VLOOKUP(C1967, Resultados_Reales!$A$4:$I$107, 5, FALSE)), ISERROR(VLOOKUP(C1967, Resultados_Reales!$A$4:$I$107, 6, FALSE)), VLOOKUP(C1967, Resultados_Reales!$A$4:$I$107, 5, FALSE)="", VLOOKUP(C1967, Resultados_Reales!$A$4:$I$107, 6, FALSE)=""), 0, IF(AND(VLOOKUP(C1967, Resultados_Reales!$A$4:$I$107, 5, FALSE)=G1967, VLOOKUP(C1967, Resultados_Reales!$A$4:$I$107, 6, FALSE)=H1967), Configuracion!$B$5, IF(SIGN(VLOOKUP(C1967, Resultados_Reales!$A$4:$I$107, 5, FALSE)-VLOOKUP(C1967, Resultados_Reales!$A$4:$I$107, 6, FALSE)) = SIGN(G1967-H1967), Configuracion!$B$4, 0)))</f>
        <v/>
      </c>
      <c r="L1967" s="11" t="n"/>
      <c r="M1967" s="11" t="n"/>
      <c r="N1967" s="11" t="n"/>
      <c r="O1967" s="11" t="n"/>
      <c r="P1967" s="11" t="n"/>
      <c r="Q1967" s="11" t="n"/>
    </row>
    <row r="1968">
      <c r="A1968" s="8">
        <f>B1968&amp;"_"&amp;C1968</f>
        <v/>
      </c>
      <c r="B1968" s="8" t="n"/>
      <c r="C1968" s="8" t="n"/>
      <c r="D1968" s="8" t="n"/>
      <c r="E1968" s="11" t="n"/>
      <c r="F1968" s="11" t="n"/>
      <c r="G1968" s="8" t="n"/>
      <c r="H1968" s="8" t="n"/>
      <c r="I1968" s="8" t="n"/>
      <c r="J1968" s="8" t="n"/>
      <c r="K1968" s="12">
        <f>IF(OR(ISERROR(VLOOKUP(C1968, Resultados_Reales!$A$4:$I$107, 5, FALSE)), ISERROR(VLOOKUP(C1968, Resultados_Reales!$A$4:$I$107, 6, FALSE)), VLOOKUP(C1968, Resultados_Reales!$A$4:$I$107, 5, FALSE)="", VLOOKUP(C1968, Resultados_Reales!$A$4:$I$107, 6, FALSE)=""), 0, IF(AND(VLOOKUP(C1968, Resultados_Reales!$A$4:$I$107, 5, FALSE)=G1968, VLOOKUP(C1968, Resultados_Reales!$A$4:$I$107, 6, FALSE)=H1968), Configuracion!$B$5, IF(SIGN(VLOOKUP(C1968, Resultados_Reales!$A$4:$I$107, 5, FALSE)-VLOOKUP(C1968, Resultados_Reales!$A$4:$I$107, 6, FALSE)) = SIGN(G1968-H1968), Configuracion!$B$4, 0)))</f>
        <v/>
      </c>
      <c r="L1968" s="11" t="n"/>
      <c r="M1968" s="11" t="n"/>
      <c r="N1968" s="11" t="n"/>
      <c r="O1968" s="11" t="n"/>
      <c r="P1968" s="11" t="n"/>
      <c r="Q1968" s="11" t="n"/>
    </row>
    <row r="1969">
      <c r="A1969" s="8">
        <f>B1969&amp;"_"&amp;C1969</f>
        <v/>
      </c>
      <c r="B1969" s="8" t="n"/>
      <c r="C1969" s="8" t="n"/>
      <c r="D1969" s="8" t="n"/>
      <c r="E1969" s="11" t="n"/>
      <c r="F1969" s="11" t="n"/>
      <c r="G1969" s="8" t="n"/>
      <c r="H1969" s="8" t="n"/>
      <c r="I1969" s="8" t="n"/>
      <c r="J1969" s="8" t="n"/>
      <c r="K1969" s="12">
        <f>IF(OR(ISERROR(VLOOKUP(C1969, Resultados_Reales!$A$4:$I$107, 5, FALSE)), ISERROR(VLOOKUP(C1969, Resultados_Reales!$A$4:$I$107, 6, FALSE)), VLOOKUP(C1969, Resultados_Reales!$A$4:$I$107, 5, FALSE)="", VLOOKUP(C1969, Resultados_Reales!$A$4:$I$107, 6, FALSE)=""), 0, IF(AND(VLOOKUP(C1969, Resultados_Reales!$A$4:$I$107, 5, FALSE)=G1969, VLOOKUP(C1969, Resultados_Reales!$A$4:$I$107, 6, FALSE)=H1969), Configuracion!$B$5, IF(SIGN(VLOOKUP(C1969, Resultados_Reales!$A$4:$I$107, 5, FALSE)-VLOOKUP(C1969, Resultados_Reales!$A$4:$I$107, 6, FALSE)) = SIGN(G1969-H1969), Configuracion!$B$4, 0)))</f>
        <v/>
      </c>
      <c r="L1969" s="11" t="n"/>
      <c r="M1969" s="11" t="n"/>
      <c r="N1969" s="11" t="n"/>
      <c r="O1969" s="11" t="n"/>
      <c r="P1969" s="11" t="n"/>
      <c r="Q1969" s="11" t="n"/>
    </row>
    <row r="1970">
      <c r="A1970" s="8">
        <f>B1970&amp;"_"&amp;C1970</f>
        <v/>
      </c>
      <c r="B1970" s="8" t="n"/>
      <c r="C1970" s="8" t="n"/>
      <c r="D1970" s="8" t="n"/>
      <c r="E1970" s="11" t="n"/>
      <c r="F1970" s="11" t="n"/>
      <c r="G1970" s="8" t="n"/>
      <c r="H1970" s="8" t="n"/>
      <c r="I1970" s="8" t="n"/>
      <c r="J1970" s="8" t="n"/>
      <c r="K1970" s="12">
        <f>IF(OR(ISERROR(VLOOKUP(C1970, Resultados_Reales!$A$4:$I$107, 5, FALSE)), ISERROR(VLOOKUP(C1970, Resultados_Reales!$A$4:$I$107, 6, FALSE)), VLOOKUP(C1970, Resultados_Reales!$A$4:$I$107, 5, FALSE)="", VLOOKUP(C1970, Resultados_Reales!$A$4:$I$107, 6, FALSE)=""), 0, IF(AND(VLOOKUP(C1970, Resultados_Reales!$A$4:$I$107, 5, FALSE)=G1970, VLOOKUP(C1970, Resultados_Reales!$A$4:$I$107, 6, FALSE)=H1970), Configuracion!$B$5, IF(SIGN(VLOOKUP(C1970, Resultados_Reales!$A$4:$I$107, 5, FALSE)-VLOOKUP(C1970, Resultados_Reales!$A$4:$I$107, 6, FALSE)) = SIGN(G1970-H1970), Configuracion!$B$4, 0)))</f>
        <v/>
      </c>
      <c r="L1970" s="11" t="n"/>
      <c r="M1970" s="11" t="n"/>
      <c r="N1970" s="11" t="n"/>
      <c r="O1970" s="11" t="n"/>
      <c r="P1970" s="11" t="n"/>
      <c r="Q1970" s="11" t="n"/>
    </row>
    <row r="1971">
      <c r="A1971" s="8">
        <f>B1971&amp;"_"&amp;C1971</f>
        <v/>
      </c>
      <c r="B1971" s="8" t="n"/>
      <c r="C1971" s="8" t="n"/>
      <c r="D1971" s="8" t="n"/>
      <c r="E1971" s="11" t="n"/>
      <c r="F1971" s="11" t="n"/>
      <c r="G1971" s="8" t="n"/>
      <c r="H1971" s="8" t="n"/>
      <c r="I1971" s="8" t="n"/>
      <c r="J1971" s="8" t="n"/>
      <c r="K1971" s="12">
        <f>IF(OR(ISERROR(VLOOKUP(C1971, Resultados_Reales!$A$4:$I$107, 5, FALSE)), ISERROR(VLOOKUP(C1971, Resultados_Reales!$A$4:$I$107, 6, FALSE)), VLOOKUP(C1971, Resultados_Reales!$A$4:$I$107, 5, FALSE)="", VLOOKUP(C1971, Resultados_Reales!$A$4:$I$107, 6, FALSE)=""), 0, IF(AND(VLOOKUP(C1971, Resultados_Reales!$A$4:$I$107, 5, FALSE)=G1971, VLOOKUP(C1971, Resultados_Reales!$A$4:$I$107, 6, FALSE)=H1971), Configuracion!$B$5, IF(SIGN(VLOOKUP(C1971, Resultados_Reales!$A$4:$I$107, 5, FALSE)-VLOOKUP(C1971, Resultados_Reales!$A$4:$I$107, 6, FALSE)) = SIGN(G1971-H1971), Configuracion!$B$4, 0)))</f>
        <v/>
      </c>
      <c r="L1971" s="11" t="n"/>
      <c r="M1971" s="11" t="n"/>
      <c r="N1971" s="11" t="n"/>
      <c r="O1971" s="11" t="n"/>
      <c r="P1971" s="11" t="n"/>
      <c r="Q1971" s="11" t="n"/>
    </row>
    <row r="1972">
      <c r="A1972" s="8">
        <f>B1972&amp;"_"&amp;C1972</f>
        <v/>
      </c>
      <c r="B1972" s="8" t="n"/>
      <c r="C1972" s="8" t="n"/>
      <c r="D1972" s="8" t="n"/>
      <c r="E1972" s="11" t="n"/>
      <c r="F1972" s="11" t="n"/>
      <c r="G1972" s="8" t="n"/>
      <c r="H1972" s="8" t="n"/>
      <c r="I1972" s="8" t="n"/>
      <c r="J1972" s="8" t="n"/>
      <c r="K1972" s="12">
        <f>IF(OR(ISERROR(VLOOKUP(C1972, Resultados_Reales!$A$4:$I$107, 5, FALSE)), ISERROR(VLOOKUP(C1972, Resultados_Reales!$A$4:$I$107, 6, FALSE)), VLOOKUP(C1972, Resultados_Reales!$A$4:$I$107, 5, FALSE)="", VLOOKUP(C1972, Resultados_Reales!$A$4:$I$107, 6, FALSE)=""), 0, IF(AND(VLOOKUP(C1972, Resultados_Reales!$A$4:$I$107, 5, FALSE)=G1972, VLOOKUP(C1972, Resultados_Reales!$A$4:$I$107, 6, FALSE)=H1972), Configuracion!$B$5, IF(SIGN(VLOOKUP(C1972, Resultados_Reales!$A$4:$I$107, 5, FALSE)-VLOOKUP(C1972, Resultados_Reales!$A$4:$I$107, 6, FALSE)) = SIGN(G1972-H1972), Configuracion!$B$4, 0)))</f>
        <v/>
      </c>
      <c r="L1972" s="11" t="n"/>
      <c r="M1972" s="11" t="n"/>
      <c r="N1972" s="11" t="n"/>
      <c r="O1972" s="11" t="n"/>
      <c r="P1972" s="11" t="n"/>
      <c r="Q1972" s="11" t="n"/>
    </row>
    <row r="1973">
      <c r="A1973" s="8">
        <f>B1973&amp;"_"&amp;C1973</f>
        <v/>
      </c>
      <c r="B1973" s="8" t="n"/>
      <c r="C1973" s="8" t="n"/>
      <c r="D1973" s="8" t="n"/>
      <c r="E1973" s="11" t="n"/>
      <c r="F1973" s="11" t="n"/>
      <c r="G1973" s="8" t="n"/>
      <c r="H1973" s="8" t="n"/>
      <c r="I1973" s="8" t="n"/>
      <c r="J1973" s="8" t="n"/>
      <c r="K1973" s="12">
        <f>IF(OR(ISERROR(VLOOKUP(C1973, Resultados_Reales!$A$4:$I$107, 5, FALSE)), ISERROR(VLOOKUP(C1973, Resultados_Reales!$A$4:$I$107, 6, FALSE)), VLOOKUP(C1973, Resultados_Reales!$A$4:$I$107, 5, FALSE)="", VLOOKUP(C1973, Resultados_Reales!$A$4:$I$107, 6, FALSE)=""), 0, IF(AND(VLOOKUP(C1973, Resultados_Reales!$A$4:$I$107, 5, FALSE)=G1973, VLOOKUP(C1973, Resultados_Reales!$A$4:$I$107, 6, FALSE)=H1973), Configuracion!$B$5, IF(SIGN(VLOOKUP(C1973, Resultados_Reales!$A$4:$I$107, 5, FALSE)-VLOOKUP(C1973, Resultados_Reales!$A$4:$I$107, 6, FALSE)) = SIGN(G1973-H1973), Configuracion!$B$4, 0)))</f>
        <v/>
      </c>
      <c r="L1973" s="11" t="n"/>
      <c r="M1973" s="11" t="n"/>
      <c r="N1973" s="11" t="n"/>
      <c r="O1973" s="11" t="n"/>
      <c r="P1973" s="11" t="n"/>
      <c r="Q1973" s="11" t="n"/>
    </row>
    <row r="1974">
      <c r="A1974" s="8">
        <f>B1974&amp;"_"&amp;C1974</f>
        <v/>
      </c>
      <c r="B1974" s="8" t="n"/>
      <c r="C1974" s="8" t="n"/>
      <c r="D1974" s="8" t="n"/>
      <c r="E1974" s="11" t="n"/>
      <c r="F1974" s="11" t="n"/>
      <c r="G1974" s="8" t="n"/>
      <c r="H1974" s="8" t="n"/>
      <c r="I1974" s="8" t="n"/>
      <c r="J1974" s="8" t="n"/>
      <c r="K1974" s="12">
        <f>IF(OR(ISERROR(VLOOKUP(C1974, Resultados_Reales!$A$4:$I$107, 5, FALSE)), ISERROR(VLOOKUP(C1974, Resultados_Reales!$A$4:$I$107, 6, FALSE)), VLOOKUP(C1974, Resultados_Reales!$A$4:$I$107, 5, FALSE)="", VLOOKUP(C1974, Resultados_Reales!$A$4:$I$107, 6, FALSE)=""), 0, IF(AND(VLOOKUP(C1974, Resultados_Reales!$A$4:$I$107, 5, FALSE)=G1974, VLOOKUP(C1974, Resultados_Reales!$A$4:$I$107, 6, FALSE)=H1974), Configuracion!$B$5, IF(SIGN(VLOOKUP(C1974, Resultados_Reales!$A$4:$I$107, 5, FALSE)-VLOOKUP(C1974, Resultados_Reales!$A$4:$I$107, 6, FALSE)) = SIGN(G1974-H1974), Configuracion!$B$4, 0)))</f>
        <v/>
      </c>
      <c r="L1974" s="11" t="n"/>
      <c r="M1974" s="11" t="n"/>
      <c r="N1974" s="11" t="n"/>
      <c r="O1974" s="11" t="n"/>
      <c r="P1974" s="11" t="n"/>
      <c r="Q1974" s="11" t="n"/>
    </row>
    <row r="1975">
      <c r="A1975" s="8">
        <f>B1975&amp;"_"&amp;C1975</f>
        <v/>
      </c>
      <c r="B1975" s="8" t="n"/>
      <c r="C1975" s="8" t="n"/>
      <c r="D1975" s="8" t="n"/>
      <c r="E1975" s="11" t="n"/>
      <c r="F1975" s="11" t="n"/>
      <c r="G1975" s="8" t="n"/>
      <c r="H1975" s="8" t="n"/>
      <c r="I1975" s="8" t="n"/>
      <c r="J1975" s="8" t="n"/>
      <c r="K1975" s="12">
        <f>IF(OR(ISERROR(VLOOKUP(C1975, Resultados_Reales!$A$4:$I$107, 5, FALSE)), ISERROR(VLOOKUP(C1975, Resultados_Reales!$A$4:$I$107, 6, FALSE)), VLOOKUP(C1975, Resultados_Reales!$A$4:$I$107, 5, FALSE)="", VLOOKUP(C1975, Resultados_Reales!$A$4:$I$107, 6, FALSE)=""), 0, IF(AND(VLOOKUP(C1975, Resultados_Reales!$A$4:$I$107, 5, FALSE)=G1975, VLOOKUP(C1975, Resultados_Reales!$A$4:$I$107, 6, FALSE)=H1975), Configuracion!$B$5, IF(SIGN(VLOOKUP(C1975, Resultados_Reales!$A$4:$I$107, 5, FALSE)-VLOOKUP(C1975, Resultados_Reales!$A$4:$I$107, 6, FALSE)) = SIGN(G1975-H1975), Configuracion!$B$4, 0)))</f>
        <v/>
      </c>
      <c r="L1975" s="11" t="n"/>
      <c r="M1975" s="11" t="n"/>
      <c r="N1975" s="11" t="n"/>
      <c r="O1975" s="11" t="n"/>
      <c r="P1975" s="11" t="n"/>
      <c r="Q1975" s="11" t="n"/>
    </row>
    <row r="1976">
      <c r="A1976" s="8">
        <f>B1976&amp;"_"&amp;C1976</f>
        <v/>
      </c>
      <c r="B1976" s="8" t="n"/>
      <c r="C1976" s="8" t="n"/>
      <c r="D1976" s="8" t="n"/>
      <c r="E1976" s="11" t="n"/>
      <c r="F1976" s="11" t="n"/>
      <c r="G1976" s="8" t="n"/>
      <c r="H1976" s="8" t="n"/>
      <c r="I1976" s="8" t="n"/>
      <c r="J1976" s="8" t="n"/>
      <c r="K1976" s="12">
        <f>IF(OR(ISERROR(VLOOKUP(C1976, Resultados_Reales!$A$4:$I$107, 5, FALSE)), ISERROR(VLOOKUP(C1976, Resultados_Reales!$A$4:$I$107, 6, FALSE)), VLOOKUP(C1976, Resultados_Reales!$A$4:$I$107, 5, FALSE)="", VLOOKUP(C1976, Resultados_Reales!$A$4:$I$107, 6, FALSE)=""), 0, IF(AND(VLOOKUP(C1976, Resultados_Reales!$A$4:$I$107, 5, FALSE)=G1976, VLOOKUP(C1976, Resultados_Reales!$A$4:$I$107, 6, FALSE)=H1976), Configuracion!$B$5, IF(SIGN(VLOOKUP(C1976, Resultados_Reales!$A$4:$I$107, 5, FALSE)-VLOOKUP(C1976, Resultados_Reales!$A$4:$I$107, 6, FALSE)) = SIGN(G1976-H1976), Configuracion!$B$4, 0)))</f>
        <v/>
      </c>
      <c r="L1976" s="11" t="n"/>
      <c r="M1976" s="11" t="n"/>
      <c r="N1976" s="11" t="n"/>
      <c r="O1976" s="11" t="n"/>
      <c r="P1976" s="11" t="n"/>
      <c r="Q1976" s="11" t="n"/>
    </row>
    <row r="1977">
      <c r="A1977" s="8">
        <f>B1977&amp;"_"&amp;C1977</f>
        <v/>
      </c>
      <c r="B1977" s="8" t="n"/>
      <c r="C1977" s="8" t="n"/>
      <c r="D1977" s="8" t="n"/>
      <c r="E1977" s="11" t="n"/>
      <c r="F1977" s="11" t="n"/>
      <c r="G1977" s="8" t="n"/>
      <c r="H1977" s="8" t="n"/>
      <c r="I1977" s="8" t="n"/>
      <c r="J1977" s="8" t="n"/>
      <c r="K1977" s="12">
        <f>IF(OR(ISERROR(VLOOKUP(C1977, Resultados_Reales!$A$4:$I$107, 5, FALSE)), ISERROR(VLOOKUP(C1977, Resultados_Reales!$A$4:$I$107, 6, FALSE)), VLOOKUP(C1977, Resultados_Reales!$A$4:$I$107, 5, FALSE)="", VLOOKUP(C1977, Resultados_Reales!$A$4:$I$107, 6, FALSE)=""), 0, IF(AND(VLOOKUP(C1977, Resultados_Reales!$A$4:$I$107, 5, FALSE)=G1977, VLOOKUP(C1977, Resultados_Reales!$A$4:$I$107, 6, FALSE)=H1977), Configuracion!$B$5, IF(SIGN(VLOOKUP(C1977, Resultados_Reales!$A$4:$I$107, 5, FALSE)-VLOOKUP(C1977, Resultados_Reales!$A$4:$I$107, 6, FALSE)) = SIGN(G1977-H1977), Configuracion!$B$4, 0)))</f>
        <v/>
      </c>
      <c r="L1977" s="11" t="n"/>
      <c r="M1977" s="11" t="n"/>
      <c r="N1977" s="11" t="n"/>
      <c r="O1977" s="11" t="n"/>
      <c r="P1977" s="11" t="n"/>
      <c r="Q1977" s="11" t="n"/>
    </row>
    <row r="1978">
      <c r="A1978" s="8">
        <f>B1978&amp;"_"&amp;C1978</f>
        <v/>
      </c>
      <c r="B1978" s="8" t="n"/>
      <c r="C1978" s="8" t="n"/>
      <c r="D1978" s="8" t="n"/>
      <c r="E1978" s="11" t="n"/>
      <c r="F1978" s="11" t="n"/>
      <c r="G1978" s="8" t="n"/>
      <c r="H1978" s="8" t="n"/>
      <c r="I1978" s="8" t="n"/>
      <c r="J1978" s="8" t="n"/>
      <c r="K1978" s="12">
        <f>IF(OR(ISERROR(VLOOKUP(C1978, Resultados_Reales!$A$4:$I$107, 5, FALSE)), ISERROR(VLOOKUP(C1978, Resultados_Reales!$A$4:$I$107, 6, FALSE)), VLOOKUP(C1978, Resultados_Reales!$A$4:$I$107, 5, FALSE)="", VLOOKUP(C1978, Resultados_Reales!$A$4:$I$107, 6, FALSE)=""), 0, IF(AND(VLOOKUP(C1978, Resultados_Reales!$A$4:$I$107, 5, FALSE)=G1978, VLOOKUP(C1978, Resultados_Reales!$A$4:$I$107, 6, FALSE)=H1978), Configuracion!$B$5, IF(SIGN(VLOOKUP(C1978, Resultados_Reales!$A$4:$I$107, 5, FALSE)-VLOOKUP(C1978, Resultados_Reales!$A$4:$I$107, 6, FALSE)) = SIGN(G1978-H1978), Configuracion!$B$4, 0)))</f>
        <v/>
      </c>
      <c r="L1978" s="11" t="n"/>
      <c r="M1978" s="11" t="n"/>
      <c r="N1978" s="11" t="n"/>
      <c r="O1978" s="11" t="n"/>
      <c r="P1978" s="11" t="n"/>
      <c r="Q1978" s="11" t="n"/>
    </row>
    <row r="1979">
      <c r="A1979" s="8">
        <f>B1979&amp;"_"&amp;C1979</f>
        <v/>
      </c>
      <c r="B1979" s="8" t="n"/>
      <c r="C1979" s="8" t="n"/>
      <c r="D1979" s="8" t="n"/>
      <c r="E1979" s="11" t="n"/>
      <c r="F1979" s="11" t="n"/>
      <c r="G1979" s="8" t="n"/>
      <c r="H1979" s="8" t="n"/>
      <c r="I1979" s="8" t="n"/>
      <c r="J1979" s="8" t="n"/>
      <c r="K1979" s="12">
        <f>IF(OR(ISERROR(VLOOKUP(C1979, Resultados_Reales!$A$4:$I$107, 5, FALSE)), ISERROR(VLOOKUP(C1979, Resultados_Reales!$A$4:$I$107, 6, FALSE)), VLOOKUP(C1979, Resultados_Reales!$A$4:$I$107, 5, FALSE)="", VLOOKUP(C1979, Resultados_Reales!$A$4:$I$107, 6, FALSE)=""), 0, IF(AND(VLOOKUP(C1979, Resultados_Reales!$A$4:$I$107, 5, FALSE)=G1979, VLOOKUP(C1979, Resultados_Reales!$A$4:$I$107, 6, FALSE)=H1979), Configuracion!$B$5, IF(SIGN(VLOOKUP(C1979, Resultados_Reales!$A$4:$I$107, 5, FALSE)-VLOOKUP(C1979, Resultados_Reales!$A$4:$I$107, 6, FALSE)) = SIGN(G1979-H1979), Configuracion!$B$4, 0)))</f>
        <v/>
      </c>
      <c r="L1979" s="11" t="n"/>
      <c r="M1979" s="11" t="n"/>
      <c r="N1979" s="11" t="n"/>
      <c r="O1979" s="11" t="n"/>
      <c r="P1979" s="11" t="n"/>
      <c r="Q1979" s="11" t="n"/>
    </row>
    <row r="1980">
      <c r="A1980" s="8">
        <f>B1980&amp;"_"&amp;C1980</f>
        <v/>
      </c>
      <c r="B1980" s="8" t="n"/>
      <c r="C1980" s="8" t="n"/>
      <c r="D1980" s="8" t="n"/>
      <c r="E1980" s="11" t="n"/>
      <c r="F1980" s="11" t="n"/>
      <c r="G1980" s="8" t="n"/>
      <c r="H1980" s="8" t="n"/>
      <c r="I1980" s="8" t="n"/>
      <c r="J1980" s="8" t="n"/>
      <c r="K1980" s="12">
        <f>IF(OR(ISERROR(VLOOKUP(C1980, Resultados_Reales!$A$4:$I$107, 5, FALSE)), ISERROR(VLOOKUP(C1980, Resultados_Reales!$A$4:$I$107, 6, FALSE)), VLOOKUP(C1980, Resultados_Reales!$A$4:$I$107, 5, FALSE)="", VLOOKUP(C1980, Resultados_Reales!$A$4:$I$107, 6, FALSE)=""), 0, IF(AND(VLOOKUP(C1980, Resultados_Reales!$A$4:$I$107, 5, FALSE)=G1980, VLOOKUP(C1980, Resultados_Reales!$A$4:$I$107, 6, FALSE)=H1980), Configuracion!$B$5, IF(SIGN(VLOOKUP(C1980, Resultados_Reales!$A$4:$I$107, 5, FALSE)-VLOOKUP(C1980, Resultados_Reales!$A$4:$I$107, 6, FALSE)) = SIGN(G1980-H1980), Configuracion!$B$4, 0)))</f>
        <v/>
      </c>
      <c r="L1980" s="11" t="n"/>
      <c r="M1980" s="11" t="n"/>
      <c r="N1980" s="11" t="n"/>
      <c r="O1980" s="11" t="n"/>
      <c r="P1980" s="11" t="n"/>
      <c r="Q1980" s="11" t="n"/>
    </row>
    <row r="1981">
      <c r="A1981" s="8">
        <f>B1981&amp;"_"&amp;C1981</f>
        <v/>
      </c>
      <c r="B1981" s="8" t="n"/>
      <c r="C1981" s="8" t="n"/>
      <c r="D1981" s="8" t="n"/>
      <c r="E1981" s="11" t="n"/>
      <c r="F1981" s="11" t="n"/>
      <c r="G1981" s="8" t="n"/>
      <c r="H1981" s="8" t="n"/>
      <c r="I1981" s="8" t="n"/>
      <c r="J1981" s="8" t="n"/>
      <c r="K1981" s="12">
        <f>IF(OR(ISERROR(VLOOKUP(C1981, Resultados_Reales!$A$4:$I$107, 5, FALSE)), ISERROR(VLOOKUP(C1981, Resultados_Reales!$A$4:$I$107, 6, FALSE)), VLOOKUP(C1981, Resultados_Reales!$A$4:$I$107, 5, FALSE)="", VLOOKUP(C1981, Resultados_Reales!$A$4:$I$107, 6, FALSE)=""), 0, IF(AND(VLOOKUP(C1981, Resultados_Reales!$A$4:$I$107, 5, FALSE)=G1981, VLOOKUP(C1981, Resultados_Reales!$A$4:$I$107, 6, FALSE)=H1981), Configuracion!$B$5, IF(SIGN(VLOOKUP(C1981, Resultados_Reales!$A$4:$I$107, 5, FALSE)-VLOOKUP(C1981, Resultados_Reales!$A$4:$I$107, 6, FALSE)) = SIGN(G1981-H1981), Configuracion!$B$4, 0)))</f>
        <v/>
      </c>
      <c r="L1981" s="11" t="n"/>
      <c r="M1981" s="11" t="n"/>
      <c r="N1981" s="11" t="n"/>
      <c r="O1981" s="11" t="n"/>
      <c r="P1981" s="11" t="n"/>
      <c r="Q1981" s="11" t="n"/>
    </row>
    <row r="1982">
      <c r="A1982" s="8">
        <f>B1982&amp;"_"&amp;C1982</f>
        <v/>
      </c>
      <c r="B1982" s="8" t="n"/>
      <c r="C1982" s="8" t="n"/>
      <c r="D1982" s="8" t="n"/>
      <c r="E1982" s="11" t="n"/>
      <c r="F1982" s="11" t="n"/>
      <c r="G1982" s="8" t="n"/>
      <c r="H1982" s="8" t="n"/>
      <c r="I1982" s="8" t="n"/>
      <c r="J1982" s="8" t="n"/>
      <c r="K1982" s="12">
        <f>IF(OR(ISERROR(VLOOKUP(C1982, Resultados_Reales!$A$4:$I$107, 5, FALSE)), ISERROR(VLOOKUP(C1982, Resultados_Reales!$A$4:$I$107, 6, FALSE)), VLOOKUP(C1982, Resultados_Reales!$A$4:$I$107, 5, FALSE)="", VLOOKUP(C1982, Resultados_Reales!$A$4:$I$107, 6, FALSE)=""), 0, IF(AND(VLOOKUP(C1982, Resultados_Reales!$A$4:$I$107, 5, FALSE)=G1982, VLOOKUP(C1982, Resultados_Reales!$A$4:$I$107, 6, FALSE)=H1982), Configuracion!$B$5, IF(SIGN(VLOOKUP(C1982, Resultados_Reales!$A$4:$I$107, 5, FALSE)-VLOOKUP(C1982, Resultados_Reales!$A$4:$I$107, 6, FALSE)) = SIGN(G1982-H1982), Configuracion!$B$4, 0)))</f>
        <v/>
      </c>
      <c r="L1982" s="11" t="n"/>
      <c r="M1982" s="11" t="n"/>
      <c r="N1982" s="11" t="n"/>
      <c r="O1982" s="11" t="n"/>
      <c r="P1982" s="11" t="n"/>
      <c r="Q1982" s="11" t="n"/>
    </row>
    <row r="1983">
      <c r="A1983" s="8">
        <f>B1983&amp;"_"&amp;C1983</f>
        <v/>
      </c>
      <c r="B1983" s="8" t="n"/>
      <c r="C1983" s="8" t="n"/>
      <c r="D1983" s="8" t="n"/>
      <c r="E1983" s="11" t="n"/>
      <c r="F1983" s="11" t="n"/>
      <c r="G1983" s="8" t="n"/>
      <c r="H1983" s="8" t="n"/>
      <c r="I1983" s="8" t="n"/>
      <c r="J1983" s="8" t="n"/>
      <c r="K1983" s="12">
        <f>IF(OR(ISERROR(VLOOKUP(C1983, Resultados_Reales!$A$4:$I$107, 5, FALSE)), ISERROR(VLOOKUP(C1983, Resultados_Reales!$A$4:$I$107, 6, FALSE)), VLOOKUP(C1983, Resultados_Reales!$A$4:$I$107, 5, FALSE)="", VLOOKUP(C1983, Resultados_Reales!$A$4:$I$107, 6, FALSE)=""), 0, IF(AND(VLOOKUP(C1983, Resultados_Reales!$A$4:$I$107, 5, FALSE)=G1983, VLOOKUP(C1983, Resultados_Reales!$A$4:$I$107, 6, FALSE)=H1983), Configuracion!$B$5, IF(SIGN(VLOOKUP(C1983, Resultados_Reales!$A$4:$I$107, 5, FALSE)-VLOOKUP(C1983, Resultados_Reales!$A$4:$I$107, 6, FALSE)) = SIGN(G1983-H1983), Configuracion!$B$4, 0)))</f>
        <v/>
      </c>
      <c r="L1983" s="11" t="n"/>
      <c r="M1983" s="11" t="n"/>
      <c r="N1983" s="11" t="n"/>
      <c r="O1983" s="11" t="n"/>
      <c r="P1983" s="11" t="n"/>
      <c r="Q1983" s="11" t="n"/>
    </row>
    <row r="1984">
      <c r="A1984" s="8">
        <f>B1984&amp;"_"&amp;C1984</f>
        <v/>
      </c>
      <c r="B1984" s="8" t="n"/>
      <c r="C1984" s="8" t="n"/>
      <c r="D1984" s="8" t="n"/>
      <c r="E1984" s="11" t="n"/>
      <c r="F1984" s="11" t="n"/>
      <c r="G1984" s="8" t="n"/>
      <c r="H1984" s="8" t="n"/>
      <c r="I1984" s="8" t="n"/>
      <c r="J1984" s="8" t="n"/>
      <c r="K1984" s="12">
        <f>IF(OR(ISERROR(VLOOKUP(C1984, Resultados_Reales!$A$4:$I$107, 5, FALSE)), ISERROR(VLOOKUP(C1984, Resultados_Reales!$A$4:$I$107, 6, FALSE)), VLOOKUP(C1984, Resultados_Reales!$A$4:$I$107, 5, FALSE)="", VLOOKUP(C1984, Resultados_Reales!$A$4:$I$107, 6, FALSE)=""), 0, IF(AND(VLOOKUP(C1984, Resultados_Reales!$A$4:$I$107, 5, FALSE)=G1984, VLOOKUP(C1984, Resultados_Reales!$A$4:$I$107, 6, FALSE)=H1984), Configuracion!$B$5, IF(SIGN(VLOOKUP(C1984, Resultados_Reales!$A$4:$I$107, 5, FALSE)-VLOOKUP(C1984, Resultados_Reales!$A$4:$I$107, 6, FALSE)) = SIGN(G1984-H1984), Configuracion!$B$4, 0)))</f>
        <v/>
      </c>
      <c r="L1984" s="11" t="n"/>
      <c r="M1984" s="11" t="n"/>
      <c r="N1984" s="11" t="n"/>
      <c r="O1984" s="11" t="n"/>
      <c r="P1984" s="11" t="n"/>
      <c r="Q1984" s="11" t="n"/>
    </row>
    <row r="1985">
      <c r="A1985" s="8">
        <f>B1985&amp;"_"&amp;C1985</f>
        <v/>
      </c>
      <c r="B1985" s="8" t="n"/>
      <c r="C1985" s="8" t="n"/>
      <c r="D1985" s="8" t="n"/>
      <c r="E1985" s="11" t="n"/>
      <c r="F1985" s="11" t="n"/>
      <c r="G1985" s="8" t="n"/>
      <c r="H1985" s="8" t="n"/>
      <c r="I1985" s="8" t="n"/>
      <c r="J1985" s="8" t="n"/>
      <c r="K1985" s="12">
        <f>IF(OR(ISERROR(VLOOKUP(C1985, Resultados_Reales!$A$4:$I$107, 5, FALSE)), ISERROR(VLOOKUP(C1985, Resultados_Reales!$A$4:$I$107, 6, FALSE)), VLOOKUP(C1985, Resultados_Reales!$A$4:$I$107, 5, FALSE)="", VLOOKUP(C1985, Resultados_Reales!$A$4:$I$107, 6, FALSE)=""), 0, IF(AND(VLOOKUP(C1985, Resultados_Reales!$A$4:$I$107, 5, FALSE)=G1985, VLOOKUP(C1985, Resultados_Reales!$A$4:$I$107, 6, FALSE)=H1985), Configuracion!$B$5, IF(SIGN(VLOOKUP(C1985, Resultados_Reales!$A$4:$I$107, 5, FALSE)-VLOOKUP(C1985, Resultados_Reales!$A$4:$I$107, 6, FALSE)) = SIGN(G1985-H1985), Configuracion!$B$4, 0)))</f>
        <v/>
      </c>
      <c r="L1985" s="11" t="n"/>
      <c r="M1985" s="11" t="n"/>
      <c r="N1985" s="11" t="n"/>
      <c r="O1985" s="11" t="n"/>
      <c r="P1985" s="11" t="n"/>
      <c r="Q1985" s="11" t="n"/>
    </row>
    <row r="1986">
      <c r="A1986" s="8">
        <f>B1986&amp;"_"&amp;C1986</f>
        <v/>
      </c>
      <c r="B1986" s="8" t="n"/>
      <c r="C1986" s="8" t="n"/>
      <c r="D1986" s="8" t="n"/>
      <c r="E1986" s="11" t="n"/>
      <c r="F1986" s="11" t="n"/>
      <c r="G1986" s="8" t="n"/>
      <c r="H1986" s="8" t="n"/>
      <c r="I1986" s="8" t="n"/>
      <c r="J1986" s="8" t="n"/>
      <c r="K1986" s="12">
        <f>IF(OR(ISERROR(VLOOKUP(C1986, Resultados_Reales!$A$4:$I$107, 5, FALSE)), ISERROR(VLOOKUP(C1986, Resultados_Reales!$A$4:$I$107, 6, FALSE)), VLOOKUP(C1986, Resultados_Reales!$A$4:$I$107, 5, FALSE)="", VLOOKUP(C1986, Resultados_Reales!$A$4:$I$107, 6, FALSE)=""), 0, IF(AND(VLOOKUP(C1986, Resultados_Reales!$A$4:$I$107, 5, FALSE)=G1986, VLOOKUP(C1986, Resultados_Reales!$A$4:$I$107, 6, FALSE)=H1986), Configuracion!$B$5, IF(SIGN(VLOOKUP(C1986, Resultados_Reales!$A$4:$I$107, 5, FALSE)-VLOOKUP(C1986, Resultados_Reales!$A$4:$I$107, 6, FALSE)) = SIGN(G1986-H1986), Configuracion!$B$4, 0)))</f>
        <v/>
      </c>
      <c r="L1986" s="11" t="n"/>
      <c r="M1986" s="11" t="n"/>
      <c r="N1986" s="11" t="n"/>
      <c r="O1986" s="11" t="n"/>
      <c r="P1986" s="11" t="n"/>
      <c r="Q1986" s="11" t="n"/>
    </row>
    <row r="1987">
      <c r="A1987" s="8">
        <f>B1987&amp;"_"&amp;C1987</f>
        <v/>
      </c>
      <c r="B1987" s="8" t="n"/>
      <c r="C1987" s="8" t="n"/>
      <c r="D1987" s="8" t="n"/>
      <c r="E1987" s="11" t="n"/>
      <c r="F1987" s="11" t="n"/>
      <c r="G1987" s="8" t="n"/>
      <c r="H1987" s="8" t="n"/>
      <c r="I1987" s="8" t="n"/>
      <c r="J1987" s="8" t="n"/>
      <c r="K1987" s="12">
        <f>IF(OR(ISERROR(VLOOKUP(C1987, Resultados_Reales!$A$4:$I$107, 5, FALSE)), ISERROR(VLOOKUP(C1987, Resultados_Reales!$A$4:$I$107, 6, FALSE)), VLOOKUP(C1987, Resultados_Reales!$A$4:$I$107, 5, FALSE)="", VLOOKUP(C1987, Resultados_Reales!$A$4:$I$107, 6, FALSE)=""), 0, IF(AND(VLOOKUP(C1987, Resultados_Reales!$A$4:$I$107, 5, FALSE)=G1987, VLOOKUP(C1987, Resultados_Reales!$A$4:$I$107, 6, FALSE)=H1987), Configuracion!$B$5, IF(SIGN(VLOOKUP(C1987, Resultados_Reales!$A$4:$I$107, 5, FALSE)-VLOOKUP(C1987, Resultados_Reales!$A$4:$I$107, 6, FALSE)) = SIGN(G1987-H1987), Configuracion!$B$4, 0)))</f>
        <v/>
      </c>
      <c r="L1987" s="11" t="n"/>
      <c r="M1987" s="11" t="n"/>
      <c r="N1987" s="11" t="n"/>
      <c r="O1987" s="11" t="n"/>
      <c r="P1987" s="11" t="n"/>
      <c r="Q1987" s="11" t="n"/>
    </row>
    <row r="1988">
      <c r="A1988" s="8">
        <f>B1988&amp;"_"&amp;C1988</f>
        <v/>
      </c>
      <c r="B1988" s="8" t="n"/>
      <c r="C1988" s="8" t="n"/>
      <c r="D1988" s="8" t="n"/>
      <c r="E1988" s="11" t="n"/>
      <c r="F1988" s="11" t="n"/>
      <c r="G1988" s="8" t="n"/>
      <c r="H1988" s="8" t="n"/>
      <c r="I1988" s="8" t="n"/>
      <c r="J1988" s="8" t="n"/>
      <c r="K1988" s="12">
        <f>IF(OR(ISERROR(VLOOKUP(C1988, Resultados_Reales!$A$4:$I$107, 5, FALSE)), ISERROR(VLOOKUP(C1988, Resultados_Reales!$A$4:$I$107, 6, FALSE)), VLOOKUP(C1988, Resultados_Reales!$A$4:$I$107, 5, FALSE)="", VLOOKUP(C1988, Resultados_Reales!$A$4:$I$107, 6, FALSE)=""), 0, IF(AND(VLOOKUP(C1988, Resultados_Reales!$A$4:$I$107, 5, FALSE)=G1988, VLOOKUP(C1988, Resultados_Reales!$A$4:$I$107, 6, FALSE)=H1988), Configuracion!$B$5, IF(SIGN(VLOOKUP(C1988, Resultados_Reales!$A$4:$I$107, 5, FALSE)-VLOOKUP(C1988, Resultados_Reales!$A$4:$I$107, 6, FALSE)) = SIGN(G1988-H1988), Configuracion!$B$4, 0)))</f>
        <v/>
      </c>
      <c r="L1988" s="11" t="n"/>
      <c r="M1988" s="11" t="n"/>
      <c r="N1988" s="11" t="n"/>
      <c r="O1988" s="11" t="n"/>
      <c r="P1988" s="11" t="n"/>
      <c r="Q1988" s="11" t="n"/>
    </row>
    <row r="1989">
      <c r="A1989" s="8">
        <f>B1989&amp;"_"&amp;C1989</f>
        <v/>
      </c>
      <c r="B1989" s="8" t="n"/>
      <c r="C1989" s="8" t="n"/>
      <c r="D1989" s="8" t="n"/>
      <c r="E1989" s="11" t="n"/>
      <c r="F1989" s="11" t="n"/>
      <c r="G1989" s="8" t="n"/>
      <c r="H1989" s="8" t="n"/>
      <c r="I1989" s="8" t="n"/>
      <c r="J1989" s="8" t="n"/>
      <c r="K1989" s="12">
        <f>IF(OR(ISERROR(VLOOKUP(C1989, Resultados_Reales!$A$4:$I$107, 5, FALSE)), ISERROR(VLOOKUP(C1989, Resultados_Reales!$A$4:$I$107, 6, FALSE)), VLOOKUP(C1989, Resultados_Reales!$A$4:$I$107, 5, FALSE)="", VLOOKUP(C1989, Resultados_Reales!$A$4:$I$107, 6, FALSE)=""), 0, IF(AND(VLOOKUP(C1989, Resultados_Reales!$A$4:$I$107, 5, FALSE)=G1989, VLOOKUP(C1989, Resultados_Reales!$A$4:$I$107, 6, FALSE)=H1989), Configuracion!$B$5, IF(SIGN(VLOOKUP(C1989, Resultados_Reales!$A$4:$I$107, 5, FALSE)-VLOOKUP(C1989, Resultados_Reales!$A$4:$I$107, 6, FALSE)) = SIGN(G1989-H1989), Configuracion!$B$4, 0)))</f>
        <v/>
      </c>
      <c r="L1989" s="11" t="n"/>
      <c r="M1989" s="11" t="n"/>
      <c r="N1989" s="11" t="n"/>
      <c r="O1989" s="11" t="n"/>
      <c r="P1989" s="11" t="n"/>
      <c r="Q1989" s="11" t="n"/>
    </row>
    <row r="1990">
      <c r="A1990" s="8">
        <f>B1990&amp;"_"&amp;C1990</f>
        <v/>
      </c>
      <c r="B1990" s="8" t="n"/>
      <c r="C1990" s="8" t="n"/>
      <c r="D1990" s="8" t="n"/>
      <c r="E1990" s="11" t="n"/>
      <c r="F1990" s="11" t="n"/>
      <c r="G1990" s="8" t="n"/>
      <c r="H1990" s="8" t="n"/>
      <c r="I1990" s="8" t="n"/>
      <c r="J1990" s="8" t="n"/>
      <c r="K1990" s="12">
        <f>IF(OR(ISERROR(VLOOKUP(C1990, Resultados_Reales!$A$4:$I$107, 5, FALSE)), ISERROR(VLOOKUP(C1990, Resultados_Reales!$A$4:$I$107, 6, FALSE)), VLOOKUP(C1990, Resultados_Reales!$A$4:$I$107, 5, FALSE)="", VLOOKUP(C1990, Resultados_Reales!$A$4:$I$107, 6, FALSE)=""), 0, IF(AND(VLOOKUP(C1990, Resultados_Reales!$A$4:$I$107, 5, FALSE)=G1990, VLOOKUP(C1990, Resultados_Reales!$A$4:$I$107, 6, FALSE)=H1990), Configuracion!$B$5, IF(SIGN(VLOOKUP(C1990, Resultados_Reales!$A$4:$I$107, 5, FALSE)-VLOOKUP(C1990, Resultados_Reales!$A$4:$I$107, 6, FALSE)) = SIGN(G1990-H1990), Configuracion!$B$4, 0)))</f>
        <v/>
      </c>
      <c r="L1990" s="11" t="n"/>
      <c r="M1990" s="11" t="n"/>
      <c r="N1990" s="11" t="n"/>
      <c r="O1990" s="11" t="n"/>
      <c r="P1990" s="11" t="n"/>
      <c r="Q1990" s="11" t="n"/>
    </row>
    <row r="1991">
      <c r="A1991" s="8">
        <f>B1991&amp;"_"&amp;C1991</f>
        <v/>
      </c>
      <c r="B1991" s="8" t="n"/>
      <c r="C1991" s="8" t="n"/>
      <c r="D1991" s="8" t="n"/>
      <c r="E1991" s="11" t="n"/>
      <c r="F1991" s="11" t="n"/>
      <c r="G1991" s="8" t="n"/>
      <c r="H1991" s="8" t="n"/>
      <c r="I1991" s="8" t="n"/>
      <c r="J1991" s="8" t="n"/>
      <c r="K1991" s="12">
        <f>IF(OR(ISERROR(VLOOKUP(C1991, Resultados_Reales!$A$4:$I$107, 5, FALSE)), ISERROR(VLOOKUP(C1991, Resultados_Reales!$A$4:$I$107, 6, FALSE)), VLOOKUP(C1991, Resultados_Reales!$A$4:$I$107, 5, FALSE)="", VLOOKUP(C1991, Resultados_Reales!$A$4:$I$107, 6, FALSE)=""), 0, IF(AND(VLOOKUP(C1991, Resultados_Reales!$A$4:$I$107, 5, FALSE)=G1991, VLOOKUP(C1991, Resultados_Reales!$A$4:$I$107, 6, FALSE)=H1991), Configuracion!$B$5, IF(SIGN(VLOOKUP(C1991, Resultados_Reales!$A$4:$I$107, 5, FALSE)-VLOOKUP(C1991, Resultados_Reales!$A$4:$I$107, 6, FALSE)) = SIGN(G1991-H1991), Configuracion!$B$4, 0)))</f>
        <v/>
      </c>
      <c r="L1991" s="11" t="n"/>
      <c r="M1991" s="11" t="n"/>
      <c r="N1991" s="11" t="n"/>
      <c r="O1991" s="11" t="n"/>
      <c r="P1991" s="11" t="n"/>
      <c r="Q1991" s="11" t="n"/>
    </row>
    <row r="1992">
      <c r="A1992" s="8">
        <f>B1992&amp;"_"&amp;C1992</f>
        <v/>
      </c>
      <c r="B1992" s="8" t="n"/>
      <c r="C1992" s="8" t="n"/>
      <c r="D1992" s="8" t="n"/>
      <c r="E1992" s="11" t="n"/>
      <c r="F1992" s="11" t="n"/>
      <c r="G1992" s="8" t="n"/>
      <c r="H1992" s="8" t="n"/>
      <c r="I1992" s="8" t="n"/>
      <c r="J1992" s="8" t="n"/>
      <c r="K1992" s="12">
        <f>IF(OR(ISERROR(VLOOKUP(C1992, Resultados_Reales!$A$4:$I$107, 5, FALSE)), ISERROR(VLOOKUP(C1992, Resultados_Reales!$A$4:$I$107, 6, FALSE)), VLOOKUP(C1992, Resultados_Reales!$A$4:$I$107, 5, FALSE)="", VLOOKUP(C1992, Resultados_Reales!$A$4:$I$107, 6, FALSE)=""), 0, IF(AND(VLOOKUP(C1992, Resultados_Reales!$A$4:$I$107, 5, FALSE)=G1992, VLOOKUP(C1992, Resultados_Reales!$A$4:$I$107, 6, FALSE)=H1992), Configuracion!$B$5, IF(SIGN(VLOOKUP(C1992, Resultados_Reales!$A$4:$I$107, 5, FALSE)-VLOOKUP(C1992, Resultados_Reales!$A$4:$I$107, 6, FALSE)) = SIGN(G1992-H1992), Configuracion!$B$4, 0)))</f>
        <v/>
      </c>
      <c r="L1992" s="11" t="n"/>
      <c r="M1992" s="11" t="n"/>
      <c r="N1992" s="11" t="n"/>
      <c r="O1992" s="11" t="n"/>
      <c r="P1992" s="11" t="n"/>
      <c r="Q1992" s="11" t="n"/>
    </row>
    <row r="1993">
      <c r="A1993" s="8">
        <f>B1993&amp;"_"&amp;C1993</f>
        <v/>
      </c>
      <c r="B1993" s="8" t="n"/>
      <c r="C1993" s="8" t="n"/>
      <c r="D1993" s="8" t="n"/>
      <c r="E1993" s="11" t="n"/>
      <c r="F1993" s="11" t="n"/>
      <c r="G1993" s="8" t="n"/>
      <c r="H1993" s="8" t="n"/>
      <c r="I1993" s="8" t="n"/>
      <c r="J1993" s="8" t="n"/>
      <c r="K1993" s="12">
        <f>IF(OR(ISERROR(VLOOKUP(C1993, Resultados_Reales!$A$4:$I$107, 5, FALSE)), ISERROR(VLOOKUP(C1993, Resultados_Reales!$A$4:$I$107, 6, FALSE)), VLOOKUP(C1993, Resultados_Reales!$A$4:$I$107, 5, FALSE)="", VLOOKUP(C1993, Resultados_Reales!$A$4:$I$107, 6, FALSE)=""), 0, IF(AND(VLOOKUP(C1993, Resultados_Reales!$A$4:$I$107, 5, FALSE)=G1993, VLOOKUP(C1993, Resultados_Reales!$A$4:$I$107, 6, FALSE)=H1993), Configuracion!$B$5, IF(SIGN(VLOOKUP(C1993, Resultados_Reales!$A$4:$I$107, 5, FALSE)-VLOOKUP(C1993, Resultados_Reales!$A$4:$I$107, 6, FALSE)) = SIGN(G1993-H1993), Configuracion!$B$4, 0)))</f>
        <v/>
      </c>
      <c r="L1993" s="11" t="n"/>
      <c r="M1993" s="11" t="n"/>
      <c r="N1993" s="11" t="n"/>
      <c r="O1993" s="11" t="n"/>
      <c r="P1993" s="11" t="n"/>
      <c r="Q1993" s="11" t="n"/>
    </row>
    <row r="1994">
      <c r="A1994" s="8">
        <f>B1994&amp;"_"&amp;C1994</f>
        <v/>
      </c>
      <c r="B1994" s="8" t="n"/>
      <c r="C1994" s="8" t="n"/>
      <c r="D1994" s="8" t="n"/>
      <c r="E1994" s="11" t="n"/>
      <c r="F1994" s="11" t="n"/>
      <c r="G1994" s="8" t="n"/>
      <c r="H1994" s="8" t="n"/>
      <c r="I1994" s="8" t="n"/>
      <c r="J1994" s="8" t="n"/>
      <c r="K1994" s="12">
        <f>IF(OR(ISERROR(VLOOKUP(C1994, Resultados_Reales!$A$4:$I$107, 5, FALSE)), ISERROR(VLOOKUP(C1994, Resultados_Reales!$A$4:$I$107, 6, FALSE)), VLOOKUP(C1994, Resultados_Reales!$A$4:$I$107, 5, FALSE)="", VLOOKUP(C1994, Resultados_Reales!$A$4:$I$107, 6, FALSE)=""), 0, IF(AND(VLOOKUP(C1994, Resultados_Reales!$A$4:$I$107, 5, FALSE)=G1994, VLOOKUP(C1994, Resultados_Reales!$A$4:$I$107, 6, FALSE)=H1994), Configuracion!$B$5, IF(SIGN(VLOOKUP(C1994, Resultados_Reales!$A$4:$I$107, 5, FALSE)-VLOOKUP(C1994, Resultados_Reales!$A$4:$I$107, 6, FALSE)) = SIGN(G1994-H1994), Configuracion!$B$4, 0)))</f>
        <v/>
      </c>
      <c r="L1994" s="11" t="n"/>
      <c r="M1994" s="11" t="n"/>
      <c r="N1994" s="11" t="n"/>
      <c r="O1994" s="11" t="n"/>
      <c r="P1994" s="11" t="n"/>
      <c r="Q1994" s="11" t="n"/>
    </row>
    <row r="1995">
      <c r="A1995" s="8">
        <f>B1995&amp;"_"&amp;C1995</f>
        <v/>
      </c>
      <c r="B1995" s="8" t="n"/>
      <c r="C1995" s="8" t="n"/>
      <c r="D1995" s="8" t="n"/>
      <c r="E1995" s="11" t="n"/>
      <c r="F1995" s="11" t="n"/>
      <c r="G1995" s="8" t="n"/>
      <c r="H1995" s="8" t="n"/>
      <c r="I1995" s="8" t="n"/>
      <c r="J1995" s="8" t="n"/>
      <c r="K1995" s="12">
        <f>IF(OR(ISERROR(VLOOKUP(C1995, Resultados_Reales!$A$4:$I$107, 5, FALSE)), ISERROR(VLOOKUP(C1995, Resultados_Reales!$A$4:$I$107, 6, FALSE)), VLOOKUP(C1995, Resultados_Reales!$A$4:$I$107, 5, FALSE)="", VLOOKUP(C1995, Resultados_Reales!$A$4:$I$107, 6, FALSE)=""), 0, IF(AND(VLOOKUP(C1995, Resultados_Reales!$A$4:$I$107, 5, FALSE)=G1995, VLOOKUP(C1995, Resultados_Reales!$A$4:$I$107, 6, FALSE)=H1995), Configuracion!$B$5, IF(SIGN(VLOOKUP(C1995, Resultados_Reales!$A$4:$I$107, 5, FALSE)-VLOOKUP(C1995, Resultados_Reales!$A$4:$I$107, 6, FALSE)) = SIGN(G1995-H1995), Configuracion!$B$4, 0)))</f>
        <v/>
      </c>
      <c r="L1995" s="11" t="n"/>
      <c r="M1995" s="11" t="n"/>
      <c r="N1995" s="11" t="n"/>
      <c r="O1995" s="11" t="n"/>
      <c r="P1995" s="11" t="n"/>
      <c r="Q1995" s="11" t="n"/>
    </row>
    <row r="1996">
      <c r="A1996" s="8">
        <f>B1996&amp;"_"&amp;C1996</f>
        <v/>
      </c>
      <c r="B1996" s="8" t="n"/>
      <c r="C1996" s="8" t="n"/>
      <c r="D1996" s="8" t="n"/>
      <c r="E1996" s="11" t="n"/>
      <c r="F1996" s="11" t="n"/>
      <c r="G1996" s="8" t="n"/>
      <c r="H1996" s="8" t="n"/>
      <c r="I1996" s="8" t="n"/>
      <c r="J1996" s="8" t="n"/>
      <c r="K1996" s="12">
        <f>IF(OR(ISERROR(VLOOKUP(C1996, Resultados_Reales!$A$4:$I$107, 5, FALSE)), ISERROR(VLOOKUP(C1996, Resultados_Reales!$A$4:$I$107, 6, FALSE)), VLOOKUP(C1996, Resultados_Reales!$A$4:$I$107, 5, FALSE)="", VLOOKUP(C1996, Resultados_Reales!$A$4:$I$107, 6, FALSE)=""), 0, IF(AND(VLOOKUP(C1996, Resultados_Reales!$A$4:$I$107, 5, FALSE)=G1996, VLOOKUP(C1996, Resultados_Reales!$A$4:$I$107, 6, FALSE)=H1996), Configuracion!$B$5, IF(SIGN(VLOOKUP(C1996, Resultados_Reales!$A$4:$I$107, 5, FALSE)-VLOOKUP(C1996, Resultados_Reales!$A$4:$I$107, 6, FALSE)) = SIGN(G1996-H1996), Configuracion!$B$4, 0)))</f>
        <v/>
      </c>
      <c r="L1996" s="11" t="n"/>
      <c r="M1996" s="11" t="n"/>
      <c r="N1996" s="11" t="n"/>
      <c r="O1996" s="11" t="n"/>
      <c r="P1996" s="11" t="n"/>
      <c r="Q1996" s="11" t="n"/>
    </row>
    <row r="1997">
      <c r="A1997" s="8">
        <f>B1997&amp;"_"&amp;C1997</f>
        <v/>
      </c>
      <c r="B1997" s="8" t="n"/>
      <c r="C1997" s="8" t="n"/>
      <c r="D1997" s="8" t="n"/>
      <c r="E1997" s="11" t="n"/>
      <c r="F1997" s="11" t="n"/>
      <c r="G1997" s="8" t="n"/>
      <c r="H1997" s="8" t="n"/>
      <c r="I1997" s="8" t="n"/>
      <c r="J1997" s="8" t="n"/>
      <c r="K1997" s="12">
        <f>IF(OR(ISERROR(VLOOKUP(C1997, Resultados_Reales!$A$4:$I$107, 5, FALSE)), ISERROR(VLOOKUP(C1997, Resultados_Reales!$A$4:$I$107, 6, FALSE)), VLOOKUP(C1997, Resultados_Reales!$A$4:$I$107, 5, FALSE)="", VLOOKUP(C1997, Resultados_Reales!$A$4:$I$107, 6, FALSE)=""), 0, IF(AND(VLOOKUP(C1997, Resultados_Reales!$A$4:$I$107, 5, FALSE)=G1997, VLOOKUP(C1997, Resultados_Reales!$A$4:$I$107, 6, FALSE)=H1997), Configuracion!$B$5, IF(SIGN(VLOOKUP(C1997, Resultados_Reales!$A$4:$I$107, 5, FALSE)-VLOOKUP(C1997, Resultados_Reales!$A$4:$I$107, 6, FALSE)) = SIGN(G1997-H1997), Configuracion!$B$4, 0)))</f>
        <v/>
      </c>
      <c r="L1997" s="11" t="n"/>
      <c r="M1997" s="11" t="n"/>
      <c r="N1997" s="11" t="n"/>
      <c r="O1997" s="11" t="n"/>
      <c r="P1997" s="11" t="n"/>
      <c r="Q1997" s="11" t="n"/>
    </row>
    <row r="1998">
      <c r="A1998" s="8">
        <f>B1998&amp;"_"&amp;C1998</f>
        <v/>
      </c>
      <c r="B1998" s="8" t="n"/>
      <c r="C1998" s="8" t="n"/>
      <c r="D1998" s="8" t="n"/>
      <c r="E1998" s="11" t="n"/>
      <c r="F1998" s="11" t="n"/>
      <c r="G1998" s="8" t="n"/>
      <c r="H1998" s="8" t="n"/>
      <c r="I1998" s="8" t="n"/>
      <c r="J1998" s="8" t="n"/>
      <c r="K1998" s="12">
        <f>IF(OR(ISERROR(VLOOKUP(C1998, Resultados_Reales!$A$4:$I$107, 5, FALSE)), ISERROR(VLOOKUP(C1998, Resultados_Reales!$A$4:$I$107, 6, FALSE)), VLOOKUP(C1998, Resultados_Reales!$A$4:$I$107, 5, FALSE)="", VLOOKUP(C1998, Resultados_Reales!$A$4:$I$107, 6, FALSE)=""), 0, IF(AND(VLOOKUP(C1998, Resultados_Reales!$A$4:$I$107, 5, FALSE)=G1998, VLOOKUP(C1998, Resultados_Reales!$A$4:$I$107, 6, FALSE)=H1998), Configuracion!$B$5, IF(SIGN(VLOOKUP(C1998, Resultados_Reales!$A$4:$I$107, 5, FALSE)-VLOOKUP(C1998, Resultados_Reales!$A$4:$I$107, 6, FALSE)) = SIGN(G1998-H1998), Configuracion!$B$4, 0)))</f>
        <v/>
      </c>
      <c r="L1998" s="11" t="n"/>
      <c r="M1998" s="11" t="n"/>
      <c r="N1998" s="11" t="n"/>
      <c r="O1998" s="11" t="n"/>
      <c r="P1998" s="11" t="n"/>
      <c r="Q1998" s="11" t="n"/>
    </row>
    <row r="1999">
      <c r="A1999" s="8">
        <f>B1999&amp;"_"&amp;C1999</f>
        <v/>
      </c>
      <c r="B1999" s="8" t="n"/>
      <c r="C1999" s="8" t="n"/>
      <c r="D1999" s="8" t="n"/>
      <c r="E1999" s="11" t="n"/>
      <c r="F1999" s="11" t="n"/>
      <c r="G1999" s="8" t="n"/>
      <c r="H1999" s="8" t="n"/>
      <c r="I1999" s="8" t="n"/>
      <c r="J1999" s="8" t="n"/>
      <c r="K1999" s="12">
        <f>IF(OR(ISERROR(VLOOKUP(C1999, Resultados_Reales!$A$4:$I$107, 5, FALSE)), ISERROR(VLOOKUP(C1999, Resultados_Reales!$A$4:$I$107, 6, FALSE)), VLOOKUP(C1999, Resultados_Reales!$A$4:$I$107, 5, FALSE)="", VLOOKUP(C1999, Resultados_Reales!$A$4:$I$107, 6, FALSE)=""), 0, IF(AND(VLOOKUP(C1999, Resultados_Reales!$A$4:$I$107, 5, FALSE)=G1999, VLOOKUP(C1999, Resultados_Reales!$A$4:$I$107, 6, FALSE)=H1999), Configuracion!$B$5, IF(SIGN(VLOOKUP(C1999, Resultados_Reales!$A$4:$I$107, 5, FALSE)-VLOOKUP(C1999, Resultados_Reales!$A$4:$I$107, 6, FALSE)) = SIGN(G1999-H1999), Configuracion!$B$4, 0)))</f>
        <v/>
      </c>
      <c r="L1999" s="11" t="n"/>
      <c r="M1999" s="11" t="n"/>
      <c r="N1999" s="11" t="n"/>
      <c r="O1999" s="11" t="n"/>
      <c r="P1999" s="11" t="n"/>
      <c r="Q1999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8A169"/>
    <outlinePr summaryBelow="1" summaryRight="1"/>
    <pageSetUpPr/>
  </sheetPr>
  <dimension ref="A1:J3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</cols>
  <sheetData>
    <row r="1" ht="30" customHeight="1">
      <c r="A1" s="1" t="inlineStr">
        <is>
          <t>CLASIFICACIÓN GENERAL DE PARTICIPANTES</t>
        </is>
      </c>
    </row>
    <row r="2" ht="20" customHeight="1">
      <c r="A2" s="13" t="inlineStr">
        <is>
          <t>Nota: Puedes ordenar esta tabla seleccionándola y ordenando por la columna 'PUNTOS TOTALES' de mayor a menor.</t>
        </is>
      </c>
    </row>
    <row r="3">
      <c r="A3" s="2" t="inlineStr">
        <is>
          <t>Pos</t>
        </is>
      </c>
      <c r="B3" s="2" t="inlineStr">
        <is>
          <t>Participante</t>
        </is>
      </c>
      <c r="C3" s="2" t="inlineStr">
        <is>
          <t>Puntos Partidos</t>
        </is>
      </c>
      <c r="D3" s="2" t="inlineStr">
        <is>
          <t>Puntos Balón Oro</t>
        </is>
      </c>
      <c r="E3" s="2" t="inlineStr">
        <is>
          <t>Puntos Balón Plata</t>
        </is>
      </c>
      <c r="F3" s="2" t="inlineStr">
        <is>
          <t>Puntos Balón Bronce</t>
        </is>
      </c>
      <c r="G3" s="2" t="inlineStr">
        <is>
          <t>Puntos Bota Oro</t>
        </is>
      </c>
      <c r="H3" s="2" t="inlineStr">
        <is>
          <t>Puntos Bota Plata</t>
        </is>
      </c>
      <c r="I3" s="2" t="inlineStr">
        <is>
          <t>Puntos Bota Bronce</t>
        </is>
      </c>
      <c r="J3" s="2" t="inlineStr">
        <is>
          <t>PUNTOS TOTALES</t>
        </is>
      </c>
    </row>
    <row r="4" ht="22" customHeight="1">
      <c r="A4" s="10">
        <f>IF(B4="","",RANK(J4, $J$4:$J$33))</f>
        <v/>
      </c>
      <c r="B4" s="14" t="n"/>
      <c r="C4" s="8">
        <f>IF(B4="","",SUMIFS(Predicciones_Master!$K$4:$K$2000, Predicciones_Master!$B$4:$B$2000, B4))</f>
        <v/>
      </c>
      <c r="D4" s="8">
        <f>IF(B4="","",IFERROR(IF(AND(Configuracion!$B$17&lt;&gt;"", VLOOKUP(B4, Predicciones_Master!$B$4:$Q$2000, 11, FALSE)=Configuracion!$B$17), Configuracion!$B$6, 0), 0))</f>
        <v/>
      </c>
      <c r="E4" s="8">
        <f>IF(B4="","",IFERROR(IF(AND(Configuracion!$B$18&lt;&gt;"", VLOOKUP(B4, Predicciones_Master!$B$4:$Q$2000, 12, FALSE)=Configuracion!$B$18), Configuracion!$B$7, 0), 0))</f>
        <v/>
      </c>
      <c r="F4" s="8">
        <f>IF(B4="","",IFERROR(IF(AND(Configuracion!$B$19&lt;&gt;"", VLOOKUP(B4, Predicciones_Master!$B$4:$Q$2000, 13, FALSE)=Configuracion!$B$19), Configuracion!$B$8, 0), 0))</f>
        <v/>
      </c>
      <c r="G4" s="8">
        <f>IF(B4="","",IFERROR(IF(AND(Configuracion!$B$20&lt;&gt;"", VLOOKUP(B4, Predicciones_Master!$B$4:$Q$2000, 14, FALSE)=Configuracion!$B$20), Configuracion!$B$9, 0), 0))</f>
        <v/>
      </c>
      <c r="H4" s="8">
        <f>IF(B4="","",IFERROR(IF(AND(Configuracion!$B$21&lt;&gt;"", VLOOKUP(B4, Predicciones_Master!$B$4:$Q$2000, 15, FALSE)=Configuracion!$B$21), Configuracion!$B$10, 0), 0))</f>
        <v/>
      </c>
      <c r="I4" s="8">
        <f>IF(B4="","",IFERROR(IF(AND(Configuracion!$B$22&lt;&gt;"", VLOOKUP(B4, Predicciones_Master!$B$4:$Q$2000, 16, FALSE)=Configuracion!$B$22), Configuracion!$B$11, 0), 0))</f>
        <v/>
      </c>
      <c r="J4" s="15">
        <f>IF(B4="","",SUM(C4:I4))</f>
        <v/>
      </c>
    </row>
    <row r="5" ht="22" customHeight="1">
      <c r="A5" s="10">
        <f>IF(B5="","",RANK(J5, $J$4:$J$33))</f>
        <v/>
      </c>
      <c r="B5" s="14" t="n"/>
      <c r="C5" s="8">
        <f>IF(B5="","",SUMIFS(Predicciones_Master!$K$4:$K$2000, Predicciones_Master!$B$4:$B$2000, B5))</f>
        <v/>
      </c>
      <c r="D5" s="8">
        <f>IF(B5="","",IFERROR(IF(AND(Configuracion!$B$17&lt;&gt;"", VLOOKUP(B5, Predicciones_Master!$B$4:$Q$2000, 11, FALSE)=Configuracion!$B$17), Configuracion!$B$6, 0), 0))</f>
        <v/>
      </c>
      <c r="E5" s="8">
        <f>IF(B5="","",IFERROR(IF(AND(Configuracion!$B$18&lt;&gt;"", VLOOKUP(B5, Predicciones_Master!$B$4:$Q$2000, 12, FALSE)=Configuracion!$B$18), Configuracion!$B$7, 0), 0))</f>
        <v/>
      </c>
      <c r="F5" s="8">
        <f>IF(B5="","",IFERROR(IF(AND(Configuracion!$B$19&lt;&gt;"", VLOOKUP(B5, Predicciones_Master!$B$4:$Q$2000, 13, FALSE)=Configuracion!$B$19), Configuracion!$B$8, 0), 0))</f>
        <v/>
      </c>
      <c r="G5" s="8">
        <f>IF(B5="","",IFERROR(IF(AND(Configuracion!$B$20&lt;&gt;"", VLOOKUP(B5, Predicciones_Master!$B$4:$Q$2000, 14, FALSE)=Configuracion!$B$20), Configuracion!$B$9, 0), 0))</f>
        <v/>
      </c>
      <c r="H5" s="8">
        <f>IF(B5="","",IFERROR(IF(AND(Configuracion!$B$21&lt;&gt;"", VLOOKUP(B5, Predicciones_Master!$B$4:$Q$2000, 15, FALSE)=Configuracion!$B$21), Configuracion!$B$10, 0), 0))</f>
        <v/>
      </c>
      <c r="I5" s="8">
        <f>IF(B5="","",IFERROR(IF(AND(Configuracion!$B$22&lt;&gt;"", VLOOKUP(B5, Predicciones_Master!$B$4:$Q$2000, 16, FALSE)=Configuracion!$B$22), Configuracion!$B$11, 0), 0))</f>
        <v/>
      </c>
      <c r="J5" s="15">
        <f>IF(B5="","",SUM(C5:I5))</f>
        <v/>
      </c>
    </row>
    <row r="6" ht="22" customHeight="1">
      <c r="A6" s="10">
        <f>IF(B6="","",RANK(J6, $J$4:$J$33))</f>
        <v/>
      </c>
      <c r="B6" s="14" t="n"/>
      <c r="C6" s="8">
        <f>IF(B6="","",SUMIFS(Predicciones_Master!$K$4:$K$2000, Predicciones_Master!$B$4:$B$2000, B6))</f>
        <v/>
      </c>
      <c r="D6" s="8">
        <f>IF(B6="","",IFERROR(IF(AND(Configuracion!$B$17&lt;&gt;"", VLOOKUP(B6, Predicciones_Master!$B$4:$Q$2000, 11, FALSE)=Configuracion!$B$17), Configuracion!$B$6, 0), 0))</f>
        <v/>
      </c>
      <c r="E6" s="8">
        <f>IF(B6="","",IFERROR(IF(AND(Configuracion!$B$18&lt;&gt;"", VLOOKUP(B6, Predicciones_Master!$B$4:$Q$2000, 12, FALSE)=Configuracion!$B$18), Configuracion!$B$7, 0), 0))</f>
        <v/>
      </c>
      <c r="F6" s="8">
        <f>IF(B6="","",IFERROR(IF(AND(Configuracion!$B$19&lt;&gt;"", VLOOKUP(B6, Predicciones_Master!$B$4:$Q$2000, 13, FALSE)=Configuracion!$B$19), Configuracion!$B$8, 0), 0))</f>
        <v/>
      </c>
      <c r="G6" s="8">
        <f>IF(B6="","",IFERROR(IF(AND(Configuracion!$B$20&lt;&gt;"", VLOOKUP(B6, Predicciones_Master!$B$4:$Q$2000, 14, FALSE)=Configuracion!$B$20), Configuracion!$B$9, 0), 0))</f>
        <v/>
      </c>
      <c r="H6" s="8">
        <f>IF(B6="","",IFERROR(IF(AND(Configuracion!$B$21&lt;&gt;"", VLOOKUP(B6, Predicciones_Master!$B$4:$Q$2000, 15, FALSE)=Configuracion!$B$21), Configuracion!$B$10, 0), 0))</f>
        <v/>
      </c>
      <c r="I6" s="8">
        <f>IF(B6="","",IFERROR(IF(AND(Configuracion!$B$22&lt;&gt;"", VLOOKUP(B6, Predicciones_Master!$B$4:$Q$2000, 16, FALSE)=Configuracion!$B$22), Configuracion!$B$11, 0), 0))</f>
        <v/>
      </c>
      <c r="J6" s="15">
        <f>IF(B6="","",SUM(C6:I6))</f>
        <v/>
      </c>
    </row>
    <row r="7" ht="22" customHeight="1">
      <c r="A7" s="10">
        <f>IF(B7="","",RANK(J7, $J$4:$J$33))</f>
        <v/>
      </c>
      <c r="B7" s="14" t="n"/>
      <c r="C7" s="8">
        <f>IF(B7="","",SUMIFS(Predicciones_Master!$K$4:$K$2000, Predicciones_Master!$B$4:$B$2000, B7))</f>
        <v/>
      </c>
      <c r="D7" s="8">
        <f>IF(B7="","",IFERROR(IF(AND(Configuracion!$B$17&lt;&gt;"", VLOOKUP(B7, Predicciones_Master!$B$4:$Q$2000, 11, FALSE)=Configuracion!$B$17), Configuracion!$B$6, 0), 0))</f>
        <v/>
      </c>
      <c r="E7" s="8">
        <f>IF(B7="","",IFERROR(IF(AND(Configuracion!$B$18&lt;&gt;"", VLOOKUP(B7, Predicciones_Master!$B$4:$Q$2000, 12, FALSE)=Configuracion!$B$18), Configuracion!$B$7, 0), 0))</f>
        <v/>
      </c>
      <c r="F7" s="8">
        <f>IF(B7="","",IFERROR(IF(AND(Configuracion!$B$19&lt;&gt;"", VLOOKUP(B7, Predicciones_Master!$B$4:$Q$2000, 13, FALSE)=Configuracion!$B$19), Configuracion!$B$8, 0), 0))</f>
        <v/>
      </c>
      <c r="G7" s="8">
        <f>IF(B7="","",IFERROR(IF(AND(Configuracion!$B$20&lt;&gt;"", VLOOKUP(B7, Predicciones_Master!$B$4:$Q$2000, 14, FALSE)=Configuracion!$B$20), Configuracion!$B$9, 0), 0))</f>
        <v/>
      </c>
      <c r="H7" s="8">
        <f>IF(B7="","",IFERROR(IF(AND(Configuracion!$B$21&lt;&gt;"", VLOOKUP(B7, Predicciones_Master!$B$4:$Q$2000, 15, FALSE)=Configuracion!$B$21), Configuracion!$B$10, 0), 0))</f>
        <v/>
      </c>
      <c r="I7" s="8">
        <f>IF(B7="","",IFERROR(IF(AND(Configuracion!$B$22&lt;&gt;"", VLOOKUP(B7, Predicciones_Master!$B$4:$Q$2000, 16, FALSE)=Configuracion!$B$22), Configuracion!$B$11, 0), 0))</f>
        <v/>
      </c>
      <c r="J7" s="15">
        <f>IF(B7="","",SUM(C7:I7))</f>
        <v/>
      </c>
    </row>
    <row r="8" ht="22" customHeight="1">
      <c r="A8" s="10">
        <f>IF(B8="","",RANK(J8, $J$4:$J$33))</f>
        <v/>
      </c>
      <c r="B8" s="14" t="n"/>
      <c r="C8" s="8">
        <f>IF(B8="","",SUMIFS(Predicciones_Master!$K$4:$K$2000, Predicciones_Master!$B$4:$B$2000, B8))</f>
        <v/>
      </c>
      <c r="D8" s="8">
        <f>IF(B8="","",IFERROR(IF(AND(Configuracion!$B$17&lt;&gt;"", VLOOKUP(B8, Predicciones_Master!$B$4:$Q$2000, 11, FALSE)=Configuracion!$B$17), Configuracion!$B$6, 0), 0))</f>
        <v/>
      </c>
      <c r="E8" s="8">
        <f>IF(B8="","",IFERROR(IF(AND(Configuracion!$B$18&lt;&gt;"", VLOOKUP(B8, Predicciones_Master!$B$4:$Q$2000, 12, FALSE)=Configuracion!$B$18), Configuracion!$B$7, 0), 0))</f>
        <v/>
      </c>
      <c r="F8" s="8">
        <f>IF(B8="","",IFERROR(IF(AND(Configuracion!$B$19&lt;&gt;"", VLOOKUP(B8, Predicciones_Master!$B$4:$Q$2000, 13, FALSE)=Configuracion!$B$19), Configuracion!$B$8, 0), 0))</f>
        <v/>
      </c>
      <c r="G8" s="8">
        <f>IF(B8="","",IFERROR(IF(AND(Configuracion!$B$20&lt;&gt;"", VLOOKUP(B8, Predicciones_Master!$B$4:$Q$2000, 14, FALSE)=Configuracion!$B$20), Configuracion!$B$9, 0), 0))</f>
        <v/>
      </c>
      <c r="H8" s="8">
        <f>IF(B8="","",IFERROR(IF(AND(Configuracion!$B$21&lt;&gt;"", VLOOKUP(B8, Predicciones_Master!$B$4:$Q$2000, 15, FALSE)=Configuracion!$B$21), Configuracion!$B$10, 0), 0))</f>
        <v/>
      </c>
      <c r="I8" s="8">
        <f>IF(B8="","",IFERROR(IF(AND(Configuracion!$B$22&lt;&gt;"", VLOOKUP(B8, Predicciones_Master!$B$4:$Q$2000, 16, FALSE)=Configuracion!$B$22), Configuracion!$B$11, 0), 0))</f>
        <v/>
      </c>
      <c r="J8" s="15">
        <f>IF(B8="","",SUM(C8:I8))</f>
        <v/>
      </c>
    </row>
    <row r="9" ht="22" customHeight="1">
      <c r="A9" s="10">
        <f>IF(B9="","",RANK(J9, $J$4:$J$33))</f>
        <v/>
      </c>
      <c r="B9" s="14" t="n"/>
      <c r="C9" s="8">
        <f>IF(B9="","",SUMIFS(Predicciones_Master!$K$4:$K$2000, Predicciones_Master!$B$4:$B$2000, B9))</f>
        <v/>
      </c>
      <c r="D9" s="8">
        <f>IF(B9="","",IFERROR(IF(AND(Configuracion!$B$17&lt;&gt;"", VLOOKUP(B9, Predicciones_Master!$B$4:$Q$2000, 11, FALSE)=Configuracion!$B$17), Configuracion!$B$6, 0), 0))</f>
        <v/>
      </c>
      <c r="E9" s="8">
        <f>IF(B9="","",IFERROR(IF(AND(Configuracion!$B$18&lt;&gt;"", VLOOKUP(B9, Predicciones_Master!$B$4:$Q$2000, 12, FALSE)=Configuracion!$B$18), Configuracion!$B$7, 0), 0))</f>
        <v/>
      </c>
      <c r="F9" s="8">
        <f>IF(B9="","",IFERROR(IF(AND(Configuracion!$B$19&lt;&gt;"", VLOOKUP(B9, Predicciones_Master!$B$4:$Q$2000, 13, FALSE)=Configuracion!$B$19), Configuracion!$B$8, 0), 0))</f>
        <v/>
      </c>
      <c r="G9" s="8">
        <f>IF(B9="","",IFERROR(IF(AND(Configuracion!$B$20&lt;&gt;"", VLOOKUP(B9, Predicciones_Master!$B$4:$Q$2000, 14, FALSE)=Configuracion!$B$20), Configuracion!$B$9, 0), 0))</f>
        <v/>
      </c>
      <c r="H9" s="8">
        <f>IF(B9="","",IFERROR(IF(AND(Configuracion!$B$21&lt;&gt;"", VLOOKUP(B9, Predicciones_Master!$B$4:$Q$2000, 15, FALSE)=Configuracion!$B$21), Configuracion!$B$10, 0), 0))</f>
        <v/>
      </c>
      <c r="I9" s="8">
        <f>IF(B9="","",IFERROR(IF(AND(Configuracion!$B$22&lt;&gt;"", VLOOKUP(B9, Predicciones_Master!$B$4:$Q$2000, 16, FALSE)=Configuracion!$B$22), Configuracion!$B$11, 0), 0))</f>
        <v/>
      </c>
      <c r="J9" s="15">
        <f>IF(B9="","",SUM(C9:I9))</f>
        <v/>
      </c>
    </row>
    <row r="10" ht="22" customHeight="1">
      <c r="A10" s="10">
        <f>IF(B10="","",RANK(J10, $J$4:$J$33))</f>
        <v/>
      </c>
      <c r="B10" s="14" t="n"/>
      <c r="C10" s="8">
        <f>IF(B10="","",SUMIFS(Predicciones_Master!$K$4:$K$2000, Predicciones_Master!$B$4:$B$2000, B10))</f>
        <v/>
      </c>
      <c r="D10" s="8">
        <f>IF(B10="","",IFERROR(IF(AND(Configuracion!$B$17&lt;&gt;"", VLOOKUP(B10, Predicciones_Master!$B$4:$Q$2000, 11, FALSE)=Configuracion!$B$17), Configuracion!$B$6, 0), 0))</f>
        <v/>
      </c>
      <c r="E10" s="8">
        <f>IF(B10="","",IFERROR(IF(AND(Configuracion!$B$18&lt;&gt;"", VLOOKUP(B10, Predicciones_Master!$B$4:$Q$2000, 12, FALSE)=Configuracion!$B$18), Configuracion!$B$7, 0), 0))</f>
        <v/>
      </c>
      <c r="F10" s="8">
        <f>IF(B10="","",IFERROR(IF(AND(Configuracion!$B$19&lt;&gt;"", VLOOKUP(B10, Predicciones_Master!$B$4:$Q$2000, 13, FALSE)=Configuracion!$B$19), Configuracion!$B$8, 0), 0))</f>
        <v/>
      </c>
      <c r="G10" s="8">
        <f>IF(B10="","",IFERROR(IF(AND(Configuracion!$B$20&lt;&gt;"", VLOOKUP(B10, Predicciones_Master!$B$4:$Q$2000, 14, FALSE)=Configuracion!$B$20), Configuracion!$B$9, 0), 0))</f>
        <v/>
      </c>
      <c r="H10" s="8">
        <f>IF(B10="","",IFERROR(IF(AND(Configuracion!$B$21&lt;&gt;"", VLOOKUP(B10, Predicciones_Master!$B$4:$Q$2000, 15, FALSE)=Configuracion!$B$21), Configuracion!$B$10, 0), 0))</f>
        <v/>
      </c>
      <c r="I10" s="8">
        <f>IF(B10="","",IFERROR(IF(AND(Configuracion!$B$22&lt;&gt;"", VLOOKUP(B10, Predicciones_Master!$B$4:$Q$2000, 16, FALSE)=Configuracion!$B$22), Configuracion!$B$11, 0), 0))</f>
        <v/>
      </c>
      <c r="J10" s="15">
        <f>IF(B10="","",SUM(C10:I10))</f>
        <v/>
      </c>
    </row>
    <row r="11" ht="22" customHeight="1">
      <c r="A11" s="10">
        <f>IF(B11="","",RANK(J11, $J$4:$J$33))</f>
        <v/>
      </c>
      <c r="B11" s="14" t="n"/>
      <c r="C11" s="8">
        <f>IF(B11="","",SUMIFS(Predicciones_Master!$K$4:$K$2000, Predicciones_Master!$B$4:$B$2000, B11))</f>
        <v/>
      </c>
      <c r="D11" s="8">
        <f>IF(B11="","",IFERROR(IF(AND(Configuracion!$B$17&lt;&gt;"", VLOOKUP(B11, Predicciones_Master!$B$4:$Q$2000, 11, FALSE)=Configuracion!$B$17), Configuracion!$B$6, 0), 0))</f>
        <v/>
      </c>
      <c r="E11" s="8">
        <f>IF(B11="","",IFERROR(IF(AND(Configuracion!$B$18&lt;&gt;"", VLOOKUP(B11, Predicciones_Master!$B$4:$Q$2000, 12, FALSE)=Configuracion!$B$18), Configuracion!$B$7, 0), 0))</f>
        <v/>
      </c>
      <c r="F11" s="8">
        <f>IF(B11="","",IFERROR(IF(AND(Configuracion!$B$19&lt;&gt;"", VLOOKUP(B11, Predicciones_Master!$B$4:$Q$2000, 13, FALSE)=Configuracion!$B$19), Configuracion!$B$8, 0), 0))</f>
        <v/>
      </c>
      <c r="G11" s="8">
        <f>IF(B11="","",IFERROR(IF(AND(Configuracion!$B$20&lt;&gt;"", VLOOKUP(B11, Predicciones_Master!$B$4:$Q$2000, 14, FALSE)=Configuracion!$B$20), Configuracion!$B$9, 0), 0))</f>
        <v/>
      </c>
      <c r="H11" s="8">
        <f>IF(B11="","",IFERROR(IF(AND(Configuracion!$B$21&lt;&gt;"", VLOOKUP(B11, Predicciones_Master!$B$4:$Q$2000, 15, FALSE)=Configuracion!$B$21), Configuracion!$B$10, 0), 0))</f>
        <v/>
      </c>
      <c r="I11" s="8">
        <f>IF(B11="","",IFERROR(IF(AND(Configuracion!$B$22&lt;&gt;"", VLOOKUP(B11, Predicciones_Master!$B$4:$Q$2000, 16, FALSE)=Configuracion!$B$22), Configuracion!$B$11, 0), 0))</f>
        <v/>
      </c>
      <c r="J11" s="15">
        <f>IF(B11="","",SUM(C11:I11))</f>
        <v/>
      </c>
    </row>
    <row r="12" ht="22" customHeight="1">
      <c r="A12" s="10">
        <f>IF(B12="","",RANK(J12, $J$4:$J$33))</f>
        <v/>
      </c>
      <c r="B12" s="14" t="n"/>
      <c r="C12" s="8">
        <f>IF(B12="","",SUMIFS(Predicciones_Master!$K$4:$K$2000, Predicciones_Master!$B$4:$B$2000, B12))</f>
        <v/>
      </c>
      <c r="D12" s="8">
        <f>IF(B12="","",IFERROR(IF(AND(Configuracion!$B$17&lt;&gt;"", VLOOKUP(B12, Predicciones_Master!$B$4:$Q$2000, 11, FALSE)=Configuracion!$B$17), Configuracion!$B$6, 0), 0))</f>
        <v/>
      </c>
      <c r="E12" s="8">
        <f>IF(B12="","",IFERROR(IF(AND(Configuracion!$B$18&lt;&gt;"", VLOOKUP(B12, Predicciones_Master!$B$4:$Q$2000, 12, FALSE)=Configuracion!$B$18), Configuracion!$B$7, 0), 0))</f>
        <v/>
      </c>
      <c r="F12" s="8">
        <f>IF(B12="","",IFERROR(IF(AND(Configuracion!$B$19&lt;&gt;"", VLOOKUP(B12, Predicciones_Master!$B$4:$Q$2000, 13, FALSE)=Configuracion!$B$19), Configuracion!$B$8, 0), 0))</f>
        <v/>
      </c>
      <c r="G12" s="8">
        <f>IF(B12="","",IFERROR(IF(AND(Configuracion!$B$20&lt;&gt;"", VLOOKUP(B12, Predicciones_Master!$B$4:$Q$2000, 14, FALSE)=Configuracion!$B$20), Configuracion!$B$9, 0), 0))</f>
        <v/>
      </c>
      <c r="H12" s="8">
        <f>IF(B12="","",IFERROR(IF(AND(Configuracion!$B$21&lt;&gt;"", VLOOKUP(B12, Predicciones_Master!$B$4:$Q$2000, 15, FALSE)=Configuracion!$B$21), Configuracion!$B$10, 0), 0))</f>
        <v/>
      </c>
      <c r="I12" s="8">
        <f>IF(B12="","",IFERROR(IF(AND(Configuracion!$B$22&lt;&gt;"", VLOOKUP(B12, Predicciones_Master!$B$4:$Q$2000, 16, FALSE)=Configuracion!$B$22), Configuracion!$B$11, 0), 0))</f>
        <v/>
      </c>
      <c r="J12" s="15">
        <f>IF(B12="","",SUM(C12:I12))</f>
        <v/>
      </c>
    </row>
    <row r="13" ht="22" customHeight="1">
      <c r="A13" s="10">
        <f>IF(B13="","",RANK(J13, $J$4:$J$33))</f>
        <v/>
      </c>
      <c r="B13" s="14" t="n"/>
      <c r="C13" s="8">
        <f>IF(B13="","",SUMIFS(Predicciones_Master!$K$4:$K$2000, Predicciones_Master!$B$4:$B$2000, B13))</f>
        <v/>
      </c>
      <c r="D13" s="8">
        <f>IF(B13="","",IFERROR(IF(AND(Configuracion!$B$17&lt;&gt;"", VLOOKUP(B13, Predicciones_Master!$B$4:$Q$2000, 11, FALSE)=Configuracion!$B$17), Configuracion!$B$6, 0), 0))</f>
        <v/>
      </c>
      <c r="E13" s="8">
        <f>IF(B13="","",IFERROR(IF(AND(Configuracion!$B$18&lt;&gt;"", VLOOKUP(B13, Predicciones_Master!$B$4:$Q$2000, 12, FALSE)=Configuracion!$B$18), Configuracion!$B$7, 0), 0))</f>
        <v/>
      </c>
      <c r="F13" s="8">
        <f>IF(B13="","",IFERROR(IF(AND(Configuracion!$B$19&lt;&gt;"", VLOOKUP(B13, Predicciones_Master!$B$4:$Q$2000, 13, FALSE)=Configuracion!$B$19), Configuracion!$B$8, 0), 0))</f>
        <v/>
      </c>
      <c r="G13" s="8">
        <f>IF(B13="","",IFERROR(IF(AND(Configuracion!$B$20&lt;&gt;"", VLOOKUP(B13, Predicciones_Master!$B$4:$Q$2000, 14, FALSE)=Configuracion!$B$20), Configuracion!$B$9, 0), 0))</f>
        <v/>
      </c>
      <c r="H13" s="8">
        <f>IF(B13="","",IFERROR(IF(AND(Configuracion!$B$21&lt;&gt;"", VLOOKUP(B13, Predicciones_Master!$B$4:$Q$2000, 15, FALSE)=Configuracion!$B$21), Configuracion!$B$10, 0), 0))</f>
        <v/>
      </c>
      <c r="I13" s="8">
        <f>IF(B13="","",IFERROR(IF(AND(Configuracion!$B$22&lt;&gt;"", VLOOKUP(B13, Predicciones_Master!$B$4:$Q$2000, 16, FALSE)=Configuracion!$B$22), Configuracion!$B$11, 0), 0))</f>
        <v/>
      </c>
      <c r="J13" s="15">
        <f>IF(B13="","",SUM(C13:I13))</f>
        <v/>
      </c>
    </row>
    <row r="14" ht="22" customHeight="1">
      <c r="A14" s="10">
        <f>IF(B14="","",RANK(J14, $J$4:$J$33))</f>
        <v/>
      </c>
      <c r="B14" s="14" t="n"/>
      <c r="C14" s="8">
        <f>IF(B14="","",SUMIFS(Predicciones_Master!$K$4:$K$2000, Predicciones_Master!$B$4:$B$2000, B14))</f>
        <v/>
      </c>
      <c r="D14" s="8">
        <f>IF(B14="","",IFERROR(IF(AND(Configuracion!$B$17&lt;&gt;"", VLOOKUP(B14, Predicciones_Master!$B$4:$Q$2000, 11, FALSE)=Configuracion!$B$17), Configuracion!$B$6, 0), 0))</f>
        <v/>
      </c>
      <c r="E14" s="8">
        <f>IF(B14="","",IFERROR(IF(AND(Configuracion!$B$18&lt;&gt;"", VLOOKUP(B14, Predicciones_Master!$B$4:$Q$2000, 12, FALSE)=Configuracion!$B$18), Configuracion!$B$7, 0), 0))</f>
        <v/>
      </c>
      <c r="F14" s="8">
        <f>IF(B14="","",IFERROR(IF(AND(Configuracion!$B$19&lt;&gt;"", VLOOKUP(B14, Predicciones_Master!$B$4:$Q$2000, 13, FALSE)=Configuracion!$B$19), Configuracion!$B$8, 0), 0))</f>
        <v/>
      </c>
      <c r="G14" s="8">
        <f>IF(B14="","",IFERROR(IF(AND(Configuracion!$B$20&lt;&gt;"", VLOOKUP(B14, Predicciones_Master!$B$4:$Q$2000, 14, FALSE)=Configuracion!$B$20), Configuracion!$B$9, 0), 0))</f>
        <v/>
      </c>
      <c r="H14" s="8">
        <f>IF(B14="","",IFERROR(IF(AND(Configuracion!$B$21&lt;&gt;"", VLOOKUP(B14, Predicciones_Master!$B$4:$Q$2000, 15, FALSE)=Configuracion!$B$21), Configuracion!$B$10, 0), 0))</f>
        <v/>
      </c>
      <c r="I14" s="8">
        <f>IF(B14="","",IFERROR(IF(AND(Configuracion!$B$22&lt;&gt;"", VLOOKUP(B14, Predicciones_Master!$B$4:$Q$2000, 16, FALSE)=Configuracion!$B$22), Configuracion!$B$11, 0), 0))</f>
        <v/>
      </c>
      <c r="J14" s="15">
        <f>IF(B14="","",SUM(C14:I14))</f>
        <v/>
      </c>
    </row>
    <row r="15" ht="22" customHeight="1">
      <c r="A15" s="10">
        <f>IF(B15="","",RANK(J15, $J$4:$J$33))</f>
        <v/>
      </c>
      <c r="B15" s="14" t="n"/>
      <c r="C15" s="8">
        <f>IF(B15="","",SUMIFS(Predicciones_Master!$K$4:$K$2000, Predicciones_Master!$B$4:$B$2000, B15))</f>
        <v/>
      </c>
      <c r="D15" s="8">
        <f>IF(B15="","",IFERROR(IF(AND(Configuracion!$B$17&lt;&gt;"", VLOOKUP(B15, Predicciones_Master!$B$4:$Q$2000, 11, FALSE)=Configuracion!$B$17), Configuracion!$B$6, 0), 0))</f>
        <v/>
      </c>
      <c r="E15" s="8">
        <f>IF(B15="","",IFERROR(IF(AND(Configuracion!$B$18&lt;&gt;"", VLOOKUP(B15, Predicciones_Master!$B$4:$Q$2000, 12, FALSE)=Configuracion!$B$18), Configuracion!$B$7, 0), 0))</f>
        <v/>
      </c>
      <c r="F15" s="8">
        <f>IF(B15="","",IFERROR(IF(AND(Configuracion!$B$19&lt;&gt;"", VLOOKUP(B15, Predicciones_Master!$B$4:$Q$2000, 13, FALSE)=Configuracion!$B$19), Configuracion!$B$8, 0), 0))</f>
        <v/>
      </c>
      <c r="G15" s="8">
        <f>IF(B15="","",IFERROR(IF(AND(Configuracion!$B$20&lt;&gt;"", VLOOKUP(B15, Predicciones_Master!$B$4:$Q$2000, 14, FALSE)=Configuracion!$B$20), Configuracion!$B$9, 0), 0))</f>
        <v/>
      </c>
      <c r="H15" s="8">
        <f>IF(B15="","",IFERROR(IF(AND(Configuracion!$B$21&lt;&gt;"", VLOOKUP(B15, Predicciones_Master!$B$4:$Q$2000, 15, FALSE)=Configuracion!$B$21), Configuracion!$B$10, 0), 0))</f>
        <v/>
      </c>
      <c r="I15" s="8">
        <f>IF(B15="","",IFERROR(IF(AND(Configuracion!$B$22&lt;&gt;"", VLOOKUP(B15, Predicciones_Master!$B$4:$Q$2000, 16, FALSE)=Configuracion!$B$22), Configuracion!$B$11, 0), 0))</f>
        <v/>
      </c>
      <c r="J15" s="15">
        <f>IF(B15="","",SUM(C15:I15))</f>
        <v/>
      </c>
    </row>
    <row r="16" ht="22" customHeight="1">
      <c r="A16" s="10">
        <f>IF(B16="","",RANK(J16, $J$4:$J$33))</f>
        <v/>
      </c>
      <c r="B16" s="14" t="n"/>
      <c r="C16" s="8">
        <f>IF(B16="","",SUMIFS(Predicciones_Master!$K$4:$K$2000, Predicciones_Master!$B$4:$B$2000, B16))</f>
        <v/>
      </c>
      <c r="D16" s="8">
        <f>IF(B16="","",IFERROR(IF(AND(Configuracion!$B$17&lt;&gt;"", VLOOKUP(B16, Predicciones_Master!$B$4:$Q$2000, 11, FALSE)=Configuracion!$B$17), Configuracion!$B$6, 0), 0))</f>
        <v/>
      </c>
      <c r="E16" s="8">
        <f>IF(B16="","",IFERROR(IF(AND(Configuracion!$B$18&lt;&gt;"", VLOOKUP(B16, Predicciones_Master!$B$4:$Q$2000, 12, FALSE)=Configuracion!$B$18), Configuracion!$B$7, 0), 0))</f>
        <v/>
      </c>
      <c r="F16" s="8">
        <f>IF(B16="","",IFERROR(IF(AND(Configuracion!$B$19&lt;&gt;"", VLOOKUP(B16, Predicciones_Master!$B$4:$Q$2000, 13, FALSE)=Configuracion!$B$19), Configuracion!$B$8, 0), 0))</f>
        <v/>
      </c>
      <c r="G16" s="8">
        <f>IF(B16="","",IFERROR(IF(AND(Configuracion!$B$20&lt;&gt;"", VLOOKUP(B16, Predicciones_Master!$B$4:$Q$2000, 14, FALSE)=Configuracion!$B$20), Configuracion!$B$9, 0), 0))</f>
        <v/>
      </c>
      <c r="H16" s="8">
        <f>IF(B16="","",IFERROR(IF(AND(Configuracion!$B$21&lt;&gt;"", VLOOKUP(B16, Predicciones_Master!$B$4:$Q$2000, 15, FALSE)=Configuracion!$B$21), Configuracion!$B$10, 0), 0))</f>
        <v/>
      </c>
      <c r="I16" s="8">
        <f>IF(B16="","",IFERROR(IF(AND(Configuracion!$B$22&lt;&gt;"", VLOOKUP(B16, Predicciones_Master!$B$4:$Q$2000, 16, FALSE)=Configuracion!$B$22), Configuracion!$B$11, 0), 0))</f>
        <v/>
      </c>
      <c r="J16" s="15">
        <f>IF(B16="","",SUM(C16:I16))</f>
        <v/>
      </c>
    </row>
    <row r="17" ht="22" customHeight="1">
      <c r="A17" s="10">
        <f>IF(B17="","",RANK(J17, $J$4:$J$33))</f>
        <v/>
      </c>
      <c r="B17" s="14" t="n"/>
      <c r="C17" s="8">
        <f>IF(B17="","",SUMIFS(Predicciones_Master!$K$4:$K$2000, Predicciones_Master!$B$4:$B$2000, B17))</f>
        <v/>
      </c>
      <c r="D17" s="8">
        <f>IF(B17="","",IFERROR(IF(AND(Configuracion!$B$17&lt;&gt;"", VLOOKUP(B17, Predicciones_Master!$B$4:$Q$2000, 11, FALSE)=Configuracion!$B$17), Configuracion!$B$6, 0), 0))</f>
        <v/>
      </c>
      <c r="E17" s="8">
        <f>IF(B17="","",IFERROR(IF(AND(Configuracion!$B$18&lt;&gt;"", VLOOKUP(B17, Predicciones_Master!$B$4:$Q$2000, 12, FALSE)=Configuracion!$B$18), Configuracion!$B$7, 0), 0))</f>
        <v/>
      </c>
      <c r="F17" s="8">
        <f>IF(B17="","",IFERROR(IF(AND(Configuracion!$B$19&lt;&gt;"", VLOOKUP(B17, Predicciones_Master!$B$4:$Q$2000, 13, FALSE)=Configuracion!$B$19), Configuracion!$B$8, 0), 0))</f>
        <v/>
      </c>
      <c r="G17" s="8">
        <f>IF(B17="","",IFERROR(IF(AND(Configuracion!$B$20&lt;&gt;"", VLOOKUP(B17, Predicciones_Master!$B$4:$Q$2000, 14, FALSE)=Configuracion!$B$20), Configuracion!$B$9, 0), 0))</f>
        <v/>
      </c>
      <c r="H17" s="8">
        <f>IF(B17="","",IFERROR(IF(AND(Configuracion!$B$21&lt;&gt;"", VLOOKUP(B17, Predicciones_Master!$B$4:$Q$2000, 15, FALSE)=Configuracion!$B$21), Configuracion!$B$10, 0), 0))</f>
        <v/>
      </c>
      <c r="I17" s="8">
        <f>IF(B17="","",IFERROR(IF(AND(Configuracion!$B$22&lt;&gt;"", VLOOKUP(B17, Predicciones_Master!$B$4:$Q$2000, 16, FALSE)=Configuracion!$B$22), Configuracion!$B$11, 0), 0))</f>
        <v/>
      </c>
      <c r="J17" s="15">
        <f>IF(B17="","",SUM(C17:I17))</f>
        <v/>
      </c>
    </row>
    <row r="18" ht="22" customHeight="1">
      <c r="A18" s="10">
        <f>IF(B18="","",RANK(J18, $J$4:$J$33))</f>
        <v/>
      </c>
      <c r="B18" s="14" t="n"/>
      <c r="C18" s="8">
        <f>IF(B18="","",SUMIFS(Predicciones_Master!$K$4:$K$2000, Predicciones_Master!$B$4:$B$2000, B18))</f>
        <v/>
      </c>
      <c r="D18" s="8">
        <f>IF(B18="","",IFERROR(IF(AND(Configuracion!$B$17&lt;&gt;"", VLOOKUP(B18, Predicciones_Master!$B$4:$Q$2000, 11, FALSE)=Configuracion!$B$17), Configuracion!$B$6, 0), 0))</f>
        <v/>
      </c>
      <c r="E18" s="8">
        <f>IF(B18="","",IFERROR(IF(AND(Configuracion!$B$18&lt;&gt;"", VLOOKUP(B18, Predicciones_Master!$B$4:$Q$2000, 12, FALSE)=Configuracion!$B$18), Configuracion!$B$7, 0), 0))</f>
        <v/>
      </c>
      <c r="F18" s="8">
        <f>IF(B18="","",IFERROR(IF(AND(Configuracion!$B$19&lt;&gt;"", VLOOKUP(B18, Predicciones_Master!$B$4:$Q$2000, 13, FALSE)=Configuracion!$B$19), Configuracion!$B$8, 0), 0))</f>
        <v/>
      </c>
      <c r="G18" s="8">
        <f>IF(B18="","",IFERROR(IF(AND(Configuracion!$B$20&lt;&gt;"", VLOOKUP(B18, Predicciones_Master!$B$4:$Q$2000, 14, FALSE)=Configuracion!$B$20), Configuracion!$B$9, 0), 0))</f>
        <v/>
      </c>
      <c r="H18" s="8">
        <f>IF(B18="","",IFERROR(IF(AND(Configuracion!$B$21&lt;&gt;"", VLOOKUP(B18, Predicciones_Master!$B$4:$Q$2000, 15, FALSE)=Configuracion!$B$21), Configuracion!$B$10, 0), 0))</f>
        <v/>
      </c>
      <c r="I18" s="8">
        <f>IF(B18="","",IFERROR(IF(AND(Configuracion!$B$22&lt;&gt;"", VLOOKUP(B18, Predicciones_Master!$B$4:$Q$2000, 16, FALSE)=Configuracion!$B$22), Configuracion!$B$11, 0), 0))</f>
        <v/>
      </c>
      <c r="J18" s="15">
        <f>IF(B18="","",SUM(C18:I18))</f>
        <v/>
      </c>
    </row>
    <row r="19" ht="22" customHeight="1">
      <c r="A19" s="10">
        <f>IF(B19="","",RANK(J19, $J$4:$J$33))</f>
        <v/>
      </c>
      <c r="B19" s="14" t="n"/>
      <c r="C19" s="8">
        <f>IF(B19="","",SUMIFS(Predicciones_Master!$K$4:$K$2000, Predicciones_Master!$B$4:$B$2000, B19))</f>
        <v/>
      </c>
      <c r="D19" s="8">
        <f>IF(B19="","",IFERROR(IF(AND(Configuracion!$B$17&lt;&gt;"", VLOOKUP(B19, Predicciones_Master!$B$4:$Q$2000, 11, FALSE)=Configuracion!$B$17), Configuracion!$B$6, 0), 0))</f>
        <v/>
      </c>
      <c r="E19" s="8">
        <f>IF(B19="","",IFERROR(IF(AND(Configuracion!$B$18&lt;&gt;"", VLOOKUP(B19, Predicciones_Master!$B$4:$Q$2000, 12, FALSE)=Configuracion!$B$18), Configuracion!$B$7, 0), 0))</f>
        <v/>
      </c>
      <c r="F19" s="8">
        <f>IF(B19="","",IFERROR(IF(AND(Configuracion!$B$19&lt;&gt;"", VLOOKUP(B19, Predicciones_Master!$B$4:$Q$2000, 13, FALSE)=Configuracion!$B$19), Configuracion!$B$8, 0), 0))</f>
        <v/>
      </c>
      <c r="G19" s="8">
        <f>IF(B19="","",IFERROR(IF(AND(Configuracion!$B$20&lt;&gt;"", VLOOKUP(B19, Predicciones_Master!$B$4:$Q$2000, 14, FALSE)=Configuracion!$B$20), Configuracion!$B$9, 0), 0))</f>
        <v/>
      </c>
      <c r="H19" s="8">
        <f>IF(B19="","",IFERROR(IF(AND(Configuracion!$B$21&lt;&gt;"", VLOOKUP(B19, Predicciones_Master!$B$4:$Q$2000, 15, FALSE)=Configuracion!$B$21), Configuracion!$B$10, 0), 0))</f>
        <v/>
      </c>
      <c r="I19" s="8">
        <f>IF(B19="","",IFERROR(IF(AND(Configuracion!$B$22&lt;&gt;"", VLOOKUP(B19, Predicciones_Master!$B$4:$Q$2000, 16, FALSE)=Configuracion!$B$22), Configuracion!$B$11, 0), 0))</f>
        <v/>
      </c>
      <c r="J19" s="15">
        <f>IF(B19="","",SUM(C19:I19))</f>
        <v/>
      </c>
    </row>
    <row r="20" ht="22" customHeight="1">
      <c r="A20" s="10">
        <f>IF(B20="","",RANK(J20, $J$4:$J$33))</f>
        <v/>
      </c>
      <c r="B20" s="14" t="n"/>
      <c r="C20" s="8">
        <f>IF(B20="","",SUMIFS(Predicciones_Master!$K$4:$K$2000, Predicciones_Master!$B$4:$B$2000, B20))</f>
        <v/>
      </c>
      <c r="D20" s="8">
        <f>IF(B20="","",IFERROR(IF(AND(Configuracion!$B$17&lt;&gt;"", VLOOKUP(B20, Predicciones_Master!$B$4:$Q$2000, 11, FALSE)=Configuracion!$B$17), Configuracion!$B$6, 0), 0))</f>
        <v/>
      </c>
      <c r="E20" s="8">
        <f>IF(B20="","",IFERROR(IF(AND(Configuracion!$B$18&lt;&gt;"", VLOOKUP(B20, Predicciones_Master!$B$4:$Q$2000, 12, FALSE)=Configuracion!$B$18), Configuracion!$B$7, 0), 0))</f>
        <v/>
      </c>
      <c r="F20" s="8">
        <f>IF(B20="","",IFERROR(IF(AND(Configuracion!$B$19&lt;&gt;"", VLOOKUP(B20, Predicciones_Master!$B$4:$Q$2000, 13, FALSE)=Configuracion!$B$19), Configuracion!$B$8, 0), 0))</f>
        <v/>
      </c>
      <c r="G20" s="8">
        <f>IF(B20="","",IFERROR(IF(AND(Configuracion!$B$20&lt;&gt;"", VLOOKUP(B20, Predicciones_Master!$B$4:$Q$2000, 14, FALSE)=Configuracion!$B$20), Configuracion!$B$9, 0), 0))</f>
        <v/>
      </c>
      <c r="H20" s="8">
        <f>IF(B20="","",IFERROR(IF(AND(Configuracion!$B$21&lt;&gt;"", VLOOKUP(B20, Predicciones_Master!$B$4:$Q$2000, 15, FALSE)=Configuracion!$B$21), Configuracion!$B$10, 0), 0))</f>
        <v/>
      </c>
      <c r="I20" s="8">
        <f>IF(B20="","",IFERROR(IF(AND(Configuracion!$B$22&lt;&gt;"", VLOOKUP(B20, Predicciones_Master!$B$4:$Q$2000, 16, FALSE)=Configuracion!$B$22), Configuracion!$B$11, 0), 0))</f>
        <v/>
      </c>
      <c r="J20" s="15">
        <f>IF(B20="","",SUM(C20:I20))</f>
        <v/>
      </c>
    </row>
    <row r="21" ht="22" customHeight="1">
      <c r="A21" s="10">
        <f>IF(B21="","",RANK(J21, $J$4:$J$33))</f>
        <v/>
      </c>
      <c r="B21" s="14" t="n"/>
      <c r="C21" s="8">
        <f>IF(B21="","",SUMIFS(Predicciones_Master!$K$4:$K$2000, Predicciones_Master!$B$4:$B$2000, B21))</f>
        <v/>
      </c>
      <c r="D21" s="8">
        <f>IF(B21="","",IFERROR(IF(AND(Configuracion!$B$17&lt;&gt;"", VLOOKUP(B21, Predicciones_Master!$B$4:$Q$2000, 11, FALSE)=Configuracion!$B$17), Configuracion!$B$6, 0), 0))</f>
        <v/>
      </c>
      <c r="E21" s="8">
        <f>IF(B21="","",IFERROR(IF(AND(Configuracion!$B$18&lt;&gt;"", VLOOKUP(B21, Predicciones_Master!$B$4:$Q$2000, 12, FALSE)=Configuracion!$B$18), Configuracion!$B$7, 0), 0))</f>
        <v/>
      </c>
      <c r="F21" s="8">
        <f>IF(B21="","",IFERROR(IF(AND(Configuracion!$B$19&lt;&gt;"", VLOOKUP(B21, Predicciones_Master!$B$4:$Q$2000, 13, FALSE)=Configuracion!$B$19), Configuracion!$B$8, 0), 0))</f>
        <v/>
      </c>
      <c r="G21" s="8">
        <f>IF(B21="","",IFERROR(IF(AND(Configuracion!$B$20&lt;&gt;"", VLOOKUP(B21, Predicciones_Master!$B$4:$Q$2000, 14, FALSE)=Configuracion!$B$20), Configuracion!$B$9, 0), 0))</f>
        <v/>
      </c>
      <c r="H21" s="8">
        <f>IF(B21="","",IFERROR(IF(AND(Configuracion!$B$21&lt;&gt;"", VLOOKUP(B21, Predicciones_Master!$B$4:$Q$2000, 15, FALSE)=Configuracion!$B$21), Configuracion!$B$10, 0), 0))</f>
        <v/>
      </c>
      <c r="I21" s="8">
        <f>IF(B21="","",IFERROR(IF(AND(Configuracion!$B$22&lt;&gt;"", VLOOKUP(B21, Predicciones_Master!$B$4:$Q$2000, 16, FALSE)=Configuracion!$B$22), Configuracion!$B$11, 0), 0))</f>
        <v/>
      </c>
      <c r="J21" s="15">
        <f>IF(B21="","",SUM(C21:I21))</f>
        <v/>
      </c>
    </row>
    <row r="22" ht="22" customHeight="1">
      <c r="A22" s="10">
        <f>IF(B22="","",RANK(J22, $J$4:$J$33))</f>
        <v/>
      </c>
      <c r="B22" s="14" t="n"/>
      <c r="C22" s="8">
        <f>IF(B22="","",SUMIFS(Predicciones_Master!$K$4:$K$2000, Predicciones_Master!$B$4:$B$2000, B22))</f>
        <v/>
      </c>
      <c r="D22" s="8">
        <f>IF(B22="","",IFERROR(IF(AND(Configuracion!$B$17&lt;&gt;"", VLOOKUP(B22, Predicciones_Master!$B$4:$Q$2000, 11, FALSE)=Configuracion!$B$17), Configuracion!$B$6, 0), 0))</f>
        <v/>
      </c>
      <c r="E22" s="8">
        <f>IF(B22="","",IFERROR(IF(AND(Configuracion!$B$18&lt;&gt;"", VLOOKUP(B22, Predicciones_Master!$B$4:$Q$2000, 12, FALSE)=Configuracion!$B$18), Configuracion!$B$7, 0), 0))</f>
        <v/>
      </c>
      <c r="F22" s="8">
        <f>IF(B22="","",IFERROR(IF(AND(Configuracion!$B$19&lt;&gt;"", VLOOKUP(B22, Predicciones_Master!$B$4:$Q$2000, 13, FALSE)=Configuracion!$B$19), Configuracion!$B$8, 0), 0))</f>
        <v/>
      </c>
      <c r="G22" s="8">
        <f>IF(B22="","",IFERROR(IF(AND(Configuracion!$B$20&lt;&gt;"", VLOOKUP(B22, Predicciones_Master!$B$4:$Q$2000, 14, FALSE)=Configuracion!$B$20), Configuracion!$B$9, 0), 0))</f>
        <v/>
      </c>
      <c r="H22" s="8">
        <f>IF(B22="","",IFERROR(IF(AND(Configuracion!$B$21&lt;&gt;"", VLOOKUP(B22, Predicciones_Master!$B$4:$Q$2000, 15, FALSE)=Configuracion!$B$21), Configuracion!$B$10, 0), 0))</f>
        <v/>
      </c>
      <c r="I22" s="8">
        <f>IF(B22="","",IFERROR(IF(AND(Configuracion!$B$22&lt;&gt;"", VLOOKUP(B22, Predicciones_Master!$B$4:$Q$2000, 16, FALSE)=Configuracion!$B$22), Configuracion!$B$11, 0), 0))</f>
        <v/>
      </c>
      <c r="J22" s="15">
        <f>IF(B22="","",SUM(C22:I22))</f>
        <v/>
      </c>
    </row>
    <row r="23" ht="22" customHeight="1">
      <c r="A23" s="10">
        <f>IF(B23="","",RANK(J23, $J$4:$J$33))</f>
        <v/>
      </c>
      <c r="B23" s="14" t="n"/>
      <c r="C23" s="8">
        <f>IF(B23="","",SUMIFS(Predicciones_Master!$K$4:$K$2000, Predicciones_Master!$B$4:$B$2000, B23))</f>
        <v/>
      </c>
      <c r="D23" s="8">
        <f>IF(B23="","",IFERROR(IF(AND(Configuracion!$B$17&lt;&gt;"", VLOOKUP(B23, Predicciones_Master!$B$4:$Q$2000, 11, FALSE)=Configuracion!$B$17), Configuracion!$B$6, 0), 0))</f>
        <v/>
      </c>
      <c r="E23" s="8">
        <f>IF(B23="","",IFERROR(IF(AND(Configuracion!$B$18&lt;&gt;"", VLOOKUP(B23, Predicciones_Master!$B$4:$Q$2000, 12, FALSE)=Configuracion!$B$18), Configuracion!$B$7, 0), 0))</f>
        <v/>
      </c>
      <c r="F23" s="8">
        <f>IF(B23="","",IFERROR(IF(AND(Configuracion!$B$19&lt;&gt;"", VLOOKUP(B23, Predicciones_Master!$B$4:$Q$2000, 13, FALSE)=Configuracion!$B$19), Configuracion!$B$8, 0), 0))</f>
        <v/>
      </c>
      <c r="G23" s="8">
        <f>IF(B23="","",IFERROR(IF(AND(Configuracion!$B$20&lt;&gt;"", VLOOKUP(B23, Predicciones_Master!$B$4:$Q$2000, 14, FALSE)=Configuracion!$B$20), Configuracion!$B$9, 0), 0))</f>
        <v/>
      </c>
      <c r="H23" s="8">
        <f>IF(B23="","",IFERROR(IF(AND(Configuracion!$B$21&lt;&gt;"", VLOOKUP(B23, Predicciones_Master!$B$4:$Q$2000, 15, FALSE)=Configuracion!$B$21), Configuracion!$B$10, 0), 0))</f>
        <v/>
      </c>
      <c r="I23" s="8">
        <f>IF(B23="","",IFERROR(IF(AND(Configuracion!$B$22&lt;&gt;"", VLOOKUP(B23, Predicciones_Master!$B$4:$Q$2000, 16, FALSE)=Configuracion!$B$22), Configuracion!$B$11, 0), 0))</f>
        <v/>
      </c>
      <c r="J23" s="15">
        <f>IF(B23="","",SUM(C23:I23))</f>
        <v/>
      </c>
    </row>
    <row r="24" ht="22" customHeight="1">
      <c r="A24" s="10">
        <f>IF(B24="","",RANK(J24, $J$4:$J$33))</f>
        <v/>
      </c>
      <c r="B24" s="14" t="n"/>
      <c r="C24" s="8">
        <f>IF(B24="","",SUMIFS(Predicciones_Master!$K$4:$K$2000, Predicciones_Master!$B$4:$B$2000, B24))</f>
        <v/>
      </c>
      <c r="D24" s="8">
        <f>IF(B24="","",IFERROR(IF(AND(Configuracion!$B$17&lt;&gt;"", VLOOKUP(B24, Predicciones_Master!$B$4:$Q$2000, 11, FALSE)=Configuracion!$B$17), Configuracion!$B$6, 0), 0))</f>
        <v/>
      </c>
      <c r="E24" s="8">
        <f>IF(B24="","",IFERROR(IF(AND(Configuracion!$B$18&lt;&gt;"", VLOOKUP(B24, Predicciones_Master!$B$4:$Q$2000, 12, FALSE)=Configuracion!$B$18), Configuracion!$B$7, 0), 0))</f>
        <v/>
      </c>
      <c r="F24" s="8">
        <f>IF(B24="","",IFERROR(IF(AND(Configuracion!$B$19&lt;&gt;"", VLOOKUP(B24, Predicciones_Master!$B$4:$Q$2000, 13, FALSE)=Configuracion!$B$19), Configuracion!$B$8, 0), 0))</f>
        <v/>
      </c>
      <c r="G24" s="8">
        <f>IF(B24="","",IFERROR(IF(AND(Configuracion!$B$20&lt;&gt;"", VLOOKUP(B24, Predicciones_Master!$B$4:$Q$2000, 14, FALSE)=Configuracion!$B$20), Configuracion!$B$9, 0), 0))</f>
        <v/>
      </c>
      <c r="H24" s="8">
        <f>IF(B24="","",IFERROR(IF(AND(Configuracion!$B$21&lt;&gt;"", VLOOKUP(B24, Predicciones_Master!$B$4:$Q$2000, 15, FALSE)=Configuracion!$B$21), Configuracion!$B$10, 0), 0))</f>
        <v/>
      </c>
      <c r="I24" s="8">
        <f>IF(B24="","",IFERROR(IF(AND(Configuracion!$B$22&lt;&gt;"", VLOOKUP(B24, Predicciones_Master!$B$4:$Q$2000, 16, FALSE)=Configuracion!$B$22), Configuracion!$B$11, 0), 0))</f>
        <v/>
      </c>
      <c r="J24" s="15">
        <f>IF(B24="","",SUM(C24:I24))</f>
        <v/>
      </c>
    </row>
    <row r="25" ht="22" customHeight="1">
      <c r="A25" s="10">
        <f>IF(B25="","",RANK(J25, $J$4:$J$33))</f>
        <v/>
      </c>
      <c r="B25" s="14" t="n"/>
      <c r="C25" s="8">
        <f>IF(B25="","",SUMIFS(Predicciones_Master!$K$4:$K$2000, Predicciones_Master!$B$4:$B$2000, B25))</f>
        <v/>
      </c>
      <c r="D25" s="8">
        <f>IF(B25="","",IFERROR(IF(AND(Configuracion!$B$17&lt;&gt;"", VLOOKUP(B25, Predicciones_Master!$B$4:$Q$2000, 11, FALSE)=Configuracion!$B$17), Configuracion!$B$6, 0), 0))</f>
        <v/>
      </c>
      <c r="E25" s="8">
        <f>IF(B25="","",IFERROR(IF(AND(Configuracion!$B$18&lt;&gt;"", VLOOKUP(B25, Predicciones_Master!$B$4:$Q$2000, 12, FALSE)=Configuracion!$B$18), Configuracion!$B$7, 0), 0))</f>
        <v/>
      </c>
      <c r="F25" s="8">
        <f>IF(B25="","",IFERROR(IF(AND(Configuracion!$B$19&lt;&gt;"", VLOOKUP(B25, Predicciones_Master!$B$4:$Q$2000, 13, FALSE)=Configuracion!$B$19), Configuracion!$B$8, 0), 0))</f>
        <v/>
      </c>
      <c r="G25" s="8">
        <f>IF(B25="","",IFERROR(IF(AND(Configuracion!$B$20&lt;&gt;"", VLOOKUP(B25, Predicciones_Master!$B$4:$Q$2000, 14, FALSE)=Configuracion!$B$20), Configuracion!$B$9, 0), 0))</f>
        <v/>
      </c>
      <c r="H25" s="8">
        <f>IF(B25="","",IFERROR(IF(AND(Configuracion!$B$21&lt;&gt;"", VLOOKUP(B25, Predicciones_Master!$B$4:$Q$2000, 15, FALSE)=Configuracion!$B$21), Configuracion!$B$10, 0), 0))</f>
        <v/>
      </c>
      <c r="I25" s="8">
        <f>IF(B25="","",IFERROR(IF(AND(Configuracion!$B$22&lt;&gt;"", VLOOKUP(B25, Predicciones_Master!$B$4:$Q$2000, 16, FALSE)=Configuracion!$B$22), Configuracion!$B$11, 0), 0))</f>
        <v/>
      </c>
      <c r="J25" s="15">
        <f>IF(B25="","",SUM(C25:I25))</f>
        <v/>
      </c>
    </row>
    <row r="26" ht="22" customHeight="1">
      <c r="A26" s="10">
        <f>IF(B26="","",RANK(J26, $J$4:$J$33))</f>
        <v/>
      </c>
      <c r="B26" s="14" t="n"/>
      <c r="C26" s="8">
        <f>IF(B26="","",SUMIFS(Predicciones_Master!$K$4:$K$2000, Predicciones_Master!$B$4:$B$2000, B26))</f>
        <v/>
      </c>
      <c r="D26" s="8">
        <f>IF(B26="","",IFERROR(IF(AND(Configuracion!$B$17&lt;&gt;"", VLOOKUP(B26, Predicciones_Master!$B$4:$Q$2000, 11, FALSE)=Configuracion!$B$17), Configuracion!$B$6, 0), 0))</f>
        <v/>
      </c>
      <c r="E26" s="8">
        <f>IF(B26="","",IFERROR(IF(AND(Configuracion!$B$18&lt;&gt;"", VLOOKUP(B26, Predicciones_Master!$B$4:$Q$2000, 12, FALSE)=Configuracion!$B$18), Configuracion!$B$7, 0), 0))</f>
        <v/>
      </c>
      <c r="F26" s="8">
        <f>IF(B26="","",IFERROR(IF(AND(Configuracion!$B$19&lt;&gt;"", VLOOKUP(B26, Predicciones_Master!$B$4:$Q$2000, 13, FALSE)=Configuracion!$B$19), Configuracion!$B$8, 0), 0))</f>
        <v/>
      </c>
      <c r="G26" s="8">
        <f>IF(B26="","",IFERROR(IF(AND(Configuracion!$B$20&lt;&gt;"", VLOOKUP(B26, Predicciones_Master!$B$4:$Q$2000, 14, FALSE)=Configuracion!$B$20), Configuracion!$B$9, 0), 0))</f>
        <v/>
      </c>
      <c r="H26" s="8">
        <f>IF(B26="","",IFERROR(IF(AND(Configuracion!$B$21&lt;&gt;"", VLOOKUP(B26, Predicciones_Master!$B$4:$Q$2000, 15, FALSE)=Configuracion!$B$21), Configuracion!$B$10, 0), 0))</f>
        <v/>
      </c>
      <c r="I26" s="8">
        <f>IF(B26="","",IFERROR(IF(AND(Configuracion!$B$22&lt;&gt;"", VLOOKUP(B26, Predicciones_Master!$B$4:$Q$2000, 16, FALSE)=Configuracion!$B$22), Configuracion!$B$11, 0), 0))</f>
        <v/>
      </c>
      <c r="J26" s="15">
        <f>IF(B26="","",SUM(C26:I26))</f>
        <v/>
      </c>
    </row>
    <row r="27" ht="22" customHeight="1">
      <c r="A27" s="10">
        <f>IF(B27="","",RANK(J27, $J$4:$J$33))</f>
        <v/>
      </c>
      <c r="B27" s="14" t="n"/>
      <c r="C27" s="8">
        <f>IF(B27="","",SUMIFS(Predicciones_Master!$K$4:$K$2000, Predicciones_Master!$B$4:$B$2000, B27))</f>
        <v/>
      </c>
      <c r="D27" s="8">
        <f>IF(B27="","",IFERROR(IF(AND(Configuracion!$B$17&lt;&gt;"", VLOOKUP(B27, Predicciones_Master!$B$4:$Q$2000, 11, FALSE)=Configuracion!$B$17), Configuracion!$B$6, 0), 0))</f>
        <v/>
      </c>
      <c r="E27" s="8">
        <f>IF(B27="","",IFERROR(IF(AND(Configuracion!$B$18&lt;&gt;"", VLOOKUP(B27, Predicciones_Master!$B$4:$Q$2000, 12, FALSE)=Configuracion!$B$18), Configuracion!$B$7, 0), 0))</f>
        <v/>
      </c>
      <c r="F27" s="8">
        <f>IF(B27="","",IFERROR(IF(AND(Configuracion!$B$19&lt;&gt;"", VLOOKUP(B27, Predicciones_Master!$B$4:$Q$2000, 13, FALSE)=Configuracion!$B$19), Configuracion!$B$8, 0), 0))</f>
        <v/>
      </c>
      <c r="G27" s="8">
        <f>IF(B27="","",IFERROR(IF(AND(Configuracion!$B$20&lt;&gt;"", VLOOKUP(B27, Predicciones_Master!$B$4:$Q$2000, 14, FALSE)=Configuracion!$B$20), Configuracion!$B$9, 0), 0))</f>
        <v/>
      </c>
      <c r="H27" s="8">
        <f>IF(B27="","",IFERROR(IF(AND(Configuracion!$B$21&lt;&gt;"", VLOOKUP(B27, Predicciones_Master!$B$4:$Q$2000, 15, FALSE)=Configuracion!$B$21), Configuracion!$B$10, 0), 0))</f>
        <v/>
      </c>
      <c r="I27" s="8">
        <f>IF(B27="","",IFERROR(IF(AND(Configuracion!$B$22&lt;&gt;"", VLOOKUP(B27, Predicciones_Master!$B$4:$Q$2000, 16, FALSE)=Configuracion!$B$22), Configuracion!$B$11, 0), 0))</f>
        <v/>
      </c>
      <c r="J27" s="15">
        <f>IF(B27="","",SUM(C27:I27))</f>
        <v/>
      </c>
    </row>
    <row r="28" ht="22" customHeight="1">
      <c r="A28" s="10">
        <f>IF(B28="","",RANK(J28, $J$4:$J$33))</f>
        <v/>
      </c>
      <c r="B28" s="14" t="n"/>
      <c r="C28" s="8">
        <f>IF(B28="","",SUMIFS(Predicciones_Master!$K$4:$K$2000, Predicciones_Master!$B$4:$B$2000, B28))</f>
        <v/>
      </c>
      <c r="D28" s="8">
        <f>IF(B28="","",IFERROR(IF(AND(Configuracion!$B$17&lt;&gt;"", VLOOKUP(B28, Predicciones_Master!$B$4:$Q$2000, 11, FALSE)=Configuracion!$B$17), Configuracion!$B$6, 0), 0))</f>
        <v/>
      </c>
      <c r="E28" s="8">
        <f>IF(B28="","",IFERROR(IF(AND(Configuracion!$B$18&lt;&gt;"", VLOOKUP(B28, Predicciones_Master!$B$4:$Q$2000, 12, FALSE)=Configuracion!$B$18), Configuracion!$B$7, 0), 0))</f>
        <v/>
      </c>
      <c r="F28" s="8">
        <f>IF(B28="","",IFERROR(IF(AND(Configuracion!$B$19&lt;&gt;"", VLOOKUP(B28, Predicciones_Master!$B$4:$Q$2000, 13, FALSE)=Configuracion!$B$19), Configuracion!$B$8, 0), 0))</f>
        <v/>
      </c>
      <c r="G28" s="8">
        <f>IF(B28="","",IFERROR(IF(AND(Configuracion!$B$20&lt;&gt;"", VLOOKUP(B28, Predicciones_Master!$B$4:$Q$2000, 14, FALSE)=Configuracion!$B$20), Configuracion!$B$9, 0), 0))</f>
        <v/>
      </c>
      <c r="H28" s="8">
        <f>IF(B28="","",IFERROR(IF(AND(Configuracion!$B$21&lt;&gt;"", VLOOKUP(B28, Predicciones_Master!$B$4:$Q$2000, 15, FALSE)=Configuracion!$B$21), Configuracion!$B$10, 0), 0))</f>
        <v/>
      </c>
      <c r="I28" s="8">
        <f>IF(B28="","",IFERROR(IF(AND(Configuracion!$B$22&lt;&gt;"", VLOOKUP(B28, Predicciones_Master!$B$4:$Q$2000, 16, FALSE)=Configuracion!$B$22), Configuracion!$B$11, 0), 0))</f>
        <v/>
      </c>
      <c r="J28" s="15">
        <f>IF(B28="","",SUM(C28:I28))</f>
        <v/>
      </c>
    </row>
    <row r="29" ht="22" customHeight="1">
      <c r="A29" s="10">
        <f>IF(B29="","",RANK(J29, $J$4:$J$33))</f>
        <v/>
      </c>
      <c r="B29" s="14" t="n"/>
      <c r="C29" s="8">
        <f>IF(B29="","",SUMIFS(Predicciones_Master!$K$4:$K$2000, Predicciones_Master!$B$4:$B$2000, B29))</f>
        <v/>
      </c>
      <c r="D29" s="8">
        <f>IF(B29="","",IFERROR(IF(AND(Configuracion!$B$17&lt;&gt;"", VLOOKUP(B29, Predicciones_Master!$B$4:$Q$2000, 11, FALSE)=Configuracion!$B$17), Configuracion!$B$6, 0), 0))</f>
        <v/>
      </c>
      <c r="E29" s="8">
        <f>IF(B29="","",IFERROR(IF(AND(Configuracion!$B$18&lt;&gt;"", VLOOKUP(B29, Predicciones_Master!$B$4:$Q$2000, 12, FALSE)=Configuracion!$B$18), Configuracion!$B$7, 0), 0))</f>
        <v/>
      </c>
      <c r="F29" s="8">
        <f>IF(B29="","",IFERROR(IF(AND(Configuracion!$B$19&lt;&gt;"", VLOOKUP(B29, Predicciones_Master!$B$4:$Q$2000, 13, FALSE)=Configuracion!$B$19), Configuracion!$B$8, 0), 0))</f>
        <v/>
      </c>
      <c r="G29" s="8">
        <f>IF(B29="","",IFERROR(IF(AND(Configuracion!$B$20&lt;&gt;"", VLOOKUP(B29, Predicciones_Master!$B$4:$Q$2000, 14, FALSE)=Configuracion!$B$20), Configuracion!$B$9, 0), 0))</f>
        <v/>
      </c>
      <c r="H29" s="8">
        <f>IF(B29="","",IFERROR(IF(AND(Configuracion!$B$21&lt;&gt;"", VLOOKUP(B29, Predicciones_Master!$B$4:$Q$2000, 15, FALSE)=Configuracion!$B$21), Configuracion!$B$10, 0), 0))</f>
        <v/>
      </c>
      <c r="I29" s="8">
        <f>IF(B29="","",IFERROR(IF(AND(Configuracion!$B$22&lt;&gt;"", VLOOKUP(B29, Predicciones_Master!$B$4:$Q$2000, 16, FALSE)=Configuracion!$B$22), Configuracion!$B$11, 0), 0))</f>
        <v/>
      </c>
      <c r="J29" s="15">
        <f>IF(B29="","",SUM(C29:I29))</f>
        <v/>
      </c>
    </row>
    <row r="30" ht="22" customHeight="1">
      <c r="A30" s="10">
        <f>IF(B30="","",RANK(J30, $J$4:$J$33))</f>
        <v/>
      </c>
      <c r="B30" s="14" t="n"/>
      <c r="C30" s="8">
        <f>IF(B30="","",SUMIFS(Predicciones_Master!$K$4:$K$2000, Predicciones_Master!$B$4:$B$2000, B30))</f>
        <v/>
      </c>
      <c r="D30" s="8">
        <f>IF(B30="","",IFERROR(IF(AND(Configuracion!$B$17&lt;&gt;"", VLOOKUP(B30, Predicciones_Master!$B$4:$Q$2000, 11, FALSE)=Configuracion!$B$17), Configuracion!$B$6, 0), 0))</f>
        <v/>
      </c>
      <c r="E30" s="8">
        <f>IF(B30="","",IFERROR(IF(AND(Configuracion!$B$18&lt;&gt;"", VLOOKUP(B30, Predicciones_Master!$B$4:$Q$2000, 12, FALSE)=Configuracion!$B$18), Configuracion!$B$7, 0), 0))</f>
        <v/>
      </c>
      <c r="F30" s="8">
        <f>IF(B30="","",IFERROR(IF(AND(Configuracion!$B$19&lt;&gt;"", VLOOKUP(B30, Predicciones_Master!$B$4:$Q$2000, 13, FALSE)=Configuracion!$B$19), Configuracion!$B$8, 0), 0))</f>
        <v/>
      </c>
      <c r="G30" s="8">
        <f>IF(B30="","",IFERROR(IF(AND(Configuracion!$B$20&lt;&gt;"", VLOOKUP(B30, Predicciones_Master!$B$4:$Q$2000, 14, FALSE)=Configuracion!$B$20), Configuracion!$B$9, 0), 0))</f>
        <v/>
      </c>
      <c r="H30" s="8">
        <f>IF(B30="","",IFERROR(IF(AND(Configuracion!$B$21&lt;&gt;"", VLOOKUP(B30, Predicciones_Master!$B$4:$Q$2000, 15, FALSE)=Configuracion!$B$21), Configuracion!$B$10, 0), 0))</f>
        <v/>
      </c>
      <c r="I30" s="8">
        <f>IF(B30="","",IFERROR(IF(AND(Configuracion!$B$22&lt;&gt;"", VLOOKUP(B30, Predicciones_Master!$B$4:$Q$2000, 16, FALSE)=Configuracion!$B$22), Configuracion!$B$11, 0), 0))</f>
        <v/>
      </c>
      <c r="J30" s="15">
        <f>IF(B30="","",SUM(C30:I30))</f>
        <v/>
      </c>
    </row>
    <row r="31" ht="22" customHeight="1">
      <c r="A31" s="10">
        <f>IF(B31="","",RANK(J31, $J$4:$J$33))</f>
        <v/>
      </c>
      <c r="B31" s="14" t="n"/>
      <c r="C31" s="8">
        <f>IF(B31="","",SUMIFS(Predicciones_Master!$K$4:$K$2000, Predicciones_Master!$B$4:$B$2000, B31))</f>
        <v/>
      </c>
      <c r="D31" s="8">
        <f>IF(B31="","",IFERROR(IF(AND(Configuracion!$B$17&lt;&gt;"", VLOOKUP(B31, Predicciones_Master!$B$4:$Q$2000, 11, FALSE)=Configuracion!$B$17), Configuracion!$B$6, 0), 0))</f>
        <v/>
      </c>
      <c r="E31" s="8">
        <f>IF(B31="","",IFERROR(IF(AND(Configuracion!$B$18&lt;&gt;"", VLOOKUP(B31, Predicciones_Master!$B$4:$Q$2000, 12, FALSE)=Configuracion!$B$18), Configuracion!$B$7, 0), 0))</f>
        <v/>
      </c>
      <c r="F31" s="8">
        <f>IF(B31="","",IFERROR(IF(AND(Configuracion!$B$19&lt;&gt;"", VLOOKUP(B31, Predicciones_Master!$B$4:$Q$2000, 13, FALSE)=Configuracion!$B$19), Configuracion!$B$8, 0), 0))</f>
        <v/>
      </c>
      <c r="G31" s="8">
        <f>IF(B31="","",IFERROR(IF(AND(Configuracion!$B$20&lt;&gt;"", VLOOKUP(B31, Predicciones_Master!$B$4:$Q$2000, 14, FALSE)=Configuracion!$B$20), Configuracion!$B$9, 0), 0))</f>
        <v/>
      </c>
      <c r="H31" s="8">
        <f>IF(B31="","",IFERROR(IF(AND(Configuracion!$B$21&lt;&gt;"", VLOOKUP(B31, Predicciones_Master!$B$4:$Q$2000, 15, FALSE)=Configuracion!$B$21), Configuracion!$B$10, 0), 0))</f>
        <v/>
      </c>
      <c r="I31" s="8">
        <f>IF(B31="","",IFERROR(IF(AND(Configuracion!$B$22&lt;&gt;"", VLOOKUP(B31, Predicciones_Master!$B$4:$Q$2000, 16, FALSE)=Configuracion!$B$22), Configuracion!$B$11, 0), 0))</f>
        <v/>
      </c>
      <c r="J31" s="15">
        <f>IF(B31="","",SUM(C31:I31))</f>
        <v/>
      </c>
    </row>
    <row r="32" ht="22" customHeight="1">
      <c r="A32" s="10">
        <f>IF(B32="","",RANK(J32, $J$4:$J$33))</f>
        <v/>
      </c>
      <c r="B32" s="14" t="n"/>
      <c r="C32" s="8">
        <f>IF(B32="","",SUMIFS(Predicciones_Master!$K$4:$K$2000, Predicciones_Master!$B$4:$B$2000, B32))</f>
        <v/>
      </c>
      <c r="D32" s="8">
        <f>IF(B32="","",IFERROR(IF(AND(Configuracion!$B$17&lt;&gt;"", VLOOKUP(B32, Predicciones_Master!$B$4:$Q$2000, 11, FALSE)=Configuracion!$B$17), Configuracion!$B$6, 0), 0))</f>
        <v/>
      </c>
      <c r="E32" s="8">
        <f>IF(B32="","",IFERROR(IF(AND(Configuracion!$B$18&lt;&gt;"", VLOOKUP(B32, Predicciones_Master!$B$4:$Q$2000, 12, FALSE)=Configuracion!$B$18), Configuracion!$B$7, 0), 0))</f>
        <v/>
      </c>
      <c r="F32" s="8">
        <f>IF(B32="","",IFERROR(IF(AND(Configuracion!$B$19&lt;&gt;"", VLOOKUP(B32, Predicciones_Master!$B$4:$Q$2000, 13, FALSE)=Configuracion!$B$19), Configuracion!$B$8, 0), 0))</f>
        <v/>
      </c>
      <c r="G32" s="8">
        <f>IF(B32="","",IFERROR(IF(AND(Configuracion!$B$20&lt;&gt;"", VLOOKUP(B32, Predicciones_Master!$B$4:$Q$2000, 14, FALSE)=Configuracion!$B$20), Configuracion!$B$9, 0), 0))</f>
        <v/>
      </c>
      <c r="H32" s="8">
        <f>IF(B32="","",IFERROR(IF(AND(Configuracion!$B$21&lt;&gt;"", VLOOKUP(B32, Predicciones_Master!$B$4:$Q$2000, 15, FALSE)=Configuracion!$B$21), Configuracion!$B$10, 0), 0))</f>
        <v/>
      </c>
      <c r="I32" s="8">
        <f>IF(B32="","",IFERROR(IF(AND(Configuracion!$B$22&lt;&gt;"", VLOOKUP(B32, Predicciones_Master!$B$4:$Q$2000, 16, FALSE)=Configuracion!$B$22), Configuracion!$B$11, 0), 0))</f>
        <v/>
      </c>
      <c r="J32" s="15">
        <f>IF(B32="","",SUM(C32:I32))</f>
        <v/>
      </c>
    </row>
    <row r="33" ht="22" customHeight="1">
      <c r="A33" s="10">
        <f>IF(B33="","",RANK(J33, $J$4:$J$33))</f>
        <v/>
      </c>
      <c r="B33" s="14" t="n"/>
      <c r="C33" s="8">
        <f>IF(B33="","",SUMIFS(Predicciones_Master!$K$4:$K$2000, Predicciones_Master!$B$4:$B$2000, B33))</f>
        <v/>
      </c>
      <c r="D33" s="8">
        <f>IF(B33="","",IFERROR(IF(AND(Configuracion!$B$17&lt;&gt;"", VLOOKUP(B33, Predicciones_Master!$B$4:$Q$2000, 11, FALSE)=Configuracion!$B$17), Configuracion!$B$6, 0), 0))</f>
        <v/>
      </c>
      <c r="E33" s="8">
        <f>IF(B33="","",IFERROR(IF(AND(Configuracion!$B$18&lt;&gt;"", VLOOKUP(B33, Predicciones_Master!$B$4:$Q$2000, 12, FALSE)=Configuracion!$B$18), Configuracion!$B$7, 0), 0))</f>
        <v/>
      </c>
      <c r="F33" s="8">
        <f>IF(B33="","",IFERROR(IF(AND(Configuracion!$B$19&lt;&gt;"", VLOOKUP(B33, Predicciones_Master!$B$4:$Q$2000, 13, FALSE)=Configuracion!$B$19), Configuracion!$B$8, 0), 0))</f>
        <v/>
      </c>
      <c r="G33" s="8">
        <f>IF(B33="","",IFERROR(IF(AND(Configuracion!$B$20&lt;&gt;"", VLOOKUP(B33, Predicciones_Master!$B$4:$Q$2000, 14, FALSE)=Configuracion!$B$20), Configuracion!$B$9, 0), 0))</f>
        <v/>
      </c>
      <c r="H33" s="8">
        <f>IF(B33="","",IFERROR(IF(AND(Configuracion!$B$21&lt;&gt;"", VLOOKUP(B33, Predicciones_Master!$B$4:$Q$2000, 15, FALSE)=Configuracion!$B$21), Configuracion!$B$10, 0), 0))</f>
        <v/>
      </c>
      <c r="I33" s="8">
        <f>IF(B33="","",IFERROR(IF(AND(Configuracion!$B$22&lt;&gt;"", VLOOKUP(B33, Predicciones_Master!$B$4:$Q$2000, 16, FALSE)=Configuracion!$B$22), Configuracion!$B$11, 0), 0))</f>
        <v/>
      </c>
      <c r="J33" s="15">
        <f>IF(B33="","",SUM(C33:I33))</f>
        <v/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182CE"/>
    <outlinePr summaryBelow="1" summaryRight="1"/>
    <pageSetUpPr/>
  </sheetPr>
  <dimension ref="A1:X10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15" customWidth="1" min="4" max="4"/>
    <col width="14" customWidth="1" min="5" max="5"/>
    <col width="8" customWidth="1" min="6" max="6"/>
    <col width="14" customWidth="1" min="7" max="7"/>
    <col width="8" customWidth="1" min="8" max="8"/>
    <col width="14" customWidth="1" min="9" max="9"/>
    <col width="8" customWidth="1" min="10" max="10"/>
    <col width="14" customWidth="1" min="11" max="11"/>
    <col width="8" customWidth="1" min="12" max="12"/>
    <col width="14" customWidth="1" min="13" max="13"/>
    <col width="8" customWidth="1" min="14" max="14"/>
    <col width="14" customWidth="1" min="15" max="15"/>
    <col width="8" customWidth="1" min="16" max="16"/>
    <col width="14" customWidth="1" min="17" max="17"/>
    <col width="8" customWidth="1" min="18" max="18"/>
    <col width="14" customWidth="1" min="19" max="19"/>
    <col width="8" customWidth="1" min="20" max="20"/>
    <col width="14" customWidth="1" min="21" max="21"/>
    <col width="8" customWidth="1" min="22" max="22"/>
    <col width="14" customWidth="1" min="23" max="23"/>
    <col width="8" customWidth="1" min="24" max="24"/>
  </cols>
  <sheetData>
    <row r="1" ht="30" customHeight="1">
      <c r="A1" s="1" t="inlineStr">
        <is>
          <t>MATRIZ DE SEGUIMIENTO Y ACUMULADO POR PARTIDO</t>
        </is>
      </c>
      <c r="E1" s="4" t="inlineStr">
        <is>
          <t>Participante 1</t>
        </is>
      </c>
      <c r="G1" s="4" t="inlineStr">
        <is>
          <t>Participante 2</t>
        </is>
      </c>
      <c r="I1" s="4" t="inlineStr">
        <is>
          <t>Participante 3</t>
        </is>
      </c>
      <c r="K1" s="4" t="inlineStr">
        <is>
          <t>Participante 4</t>
        </is>
      </c>
      <c r="M1" s="4" t="inlineStr">
        <is>
          <t>Participante 5</t>
        </is>
      </c>
      <c r="O1" s="4" t="inlineStr">
        <is>
          <t>Participante 6</t>
        </is>
      </c>
      <c r="Q1" s="4" t="inlineStr">
        <is>
          <t>Participante 7</t>
        </is>
      </c>
      <c r="S1" s="4" t="inlineStr">
        <is>
          <t>Participante 8</t>
        </is>
      </c>
      <c r="U1" s="4" t="inlineStr">
        <is>
          <t>Participante 9</t>
        </is>
      </c>
      <c r="W1" s="4" t="inlineStr">
        <is>
          <t>Participante 10</t>
        </is>
      </c>
    </row>
    <row r="2">
      <c r="A2" s="2" t="inlineStr">
        <is>
          <t>ID Partido</t>
        </is>
      </c>
      <c r="B2" s="2" t="inlineStr">
        <is>
          <t>Fase</t>
        </is>
      </c>
      <c r="C2" s="2" t="inlineStr">
        <is>
          <t>Partido (Local vs Visitante)</t>
        </is>
      </c>
      <c r="D2" s="2" t="inlineStr">
        <is>
          <t>Resultado Real</t>
        </is>
      </c>
      <c r="E2" s="16" t="inlineStr">
        <is>
          <t>Pronóstico</t>
        </is>
      </c>
      <c r="F2" s="16" t="inlineStr">
        <is>
          <t>Puntos</t>
        </is>
      </c>
      <c r="G2" s="16" t="inlineStr">
        <is>
          <t>Pronóstico</t>
        </is>
      </c>
      <c r="H2" s="16" t="inlineStr">
        <is>
          <t>Puntos</t>
        </is>
      </c>
      <c r="I2" s="16" t="inlineStr">
        <is>
          <t>Pronóstico</t>
        </is>
      </c>
      <c r="J2" s="16" t="inlineStr">
        <is>
          <t>Puntos</t>
        </is>
      </c>
      <c r="K2" s="16" t="inlineStr">
        <is>
          <t>Pronóstico</t>
        </is>
      </c>
      <c r="L2" s="16" t="inlineStr">
        <is>
          <t>Puntos</t>
        </is>
      </c>
      <c r="M2" s="16" t="inlineStr">
        <is>
          <t>Pronóstico</t>
        </is>
      </c>
      <c r="N2" s="16" t="inlineStr">
        <is>
          <t>Puntos</t>
        </is>
      </c>
      <c r="O2" s="16" t="inlineStr">
        <is>
          <t>Pronóstico</t>
        </is>
      </c>
      <c r="P2" s="16" t="inlineStr">
        <is>
          <t>Puntos</t>
        </is>
      </c>
      <c r="Q2" s="16" t="inlineStr">
        <is>
          <t>Pronóstico</t>
        </is>
      </c>
      <c r="R2" s="16" t="inlineStr">
        <is>
          <t>Puntos</t>
        </is>
      </c>
      <c r="S2" s="16" t="inlineStr">
        <is>
          <t>Pronóstico</t>
        </is>
      </c>
      <c r="T2" s="16" t="inlineStr">
        <is>
          <t>Puntos</t>
        </is>
      </c>
      <c r="U2" s="16" t="inlineStr">
        <is>
          <t>Pronóstico</t>
        </is>
      </c>
      <c r="V2" s="16" t="inlineStr">
        <is>
          <t>Puntos</t>
        </is>
      </c>
      <c r="W2" s="16" t="inlineStr">
        <is>
          <t>Pronóstico</t>
        </is>
      </c>
      <c r="X2" s="16" t="inlineStr">
        <is>
          <t>Puntos</t>
        </is>
      </c>
    </row>
    <row r="4" ht="20" customHeight="1">
      <c r="A4" s="8">
        <f>Resultados_Reales!A4</f>
        <v/>
      </c>
      <c r="B4" s="8">
        <f>Resultados_Reales!B4</f>
        <v/>
      </c>
      <c r="C4" s="9">
        <f>Resultados_Reales!C4 &amp; " vs " &amp; Resultados_Reales!D4</f>
        <v/>
      </c>
      <c r="D4" s="10">
        <f>IF(OR(Resultados_Reales!E4="", Resultados_Reales!F4=""), "Por Jugar", Resultados_Reales!E4 &amp; " - " &amp; Resultados_Reales!F4)</f>
        <v/>
      </c>
      <c r="E4" s="8">
        <f>IFERROR(VLOOKUP(E$1&amp;"_"&amp;$A4, Predicciones_Master!$A$4:$Q$2000, 7, FALSE) &amp; " - " &amp; VLOOKUP(E$1&amp;"_"&amp;$A4, Predicciones_Master!$A$4:$Q$2000, 8, FALSE), "N/A")</f>
        <v/>
      </c>
      <c r="F4" s="12">
        <f>IF($D4="Por Jugar", "", IFERROR(VLOOKUP(E$1&amp;"_"&amp;$A4, Predicciones_Master!$A$4:$Q$2000, 11, FALSE), 0))</f>
        <v/>
      </c>
      <c r="G4" s="8">
        <f>IFERROR(VLOOKUP(G$1&amp;"_"&amp;$A4, Predicciones_Master!$A$4:$Q$2000, 7, FALSE) &amp; " - " &amp; VLOOKUP(G$1&amp;"_"&amp;$A4, Predicciones_Master!$A$4:$Q$2000, 8, FALSE), "N/A")</f>
        <v/>
      </c>
      <c r="H4" s="12">
        <f>IF($D4="Por Jugar", "", IFERROR(VLOOKUP(G$1&amp;"_"&amp;$A4, Predicciones_Master!$A$4:$Q$2000, 11, FALSE), 0))</f>
        <v/>
      </c>
      <c r="I4" s="8">
        <f>IFERROR(VLOOKUP(I$1&amp;"_"&amp;$A4, Predicciones_Master!$A$4:$Q$2000, 7, FALSE) &amp; " - " &amp; VLOOKUP(I$1&amp;"_"&amp;$A4, Predicciones_Master!$A$4:$Q$2000, 8, FALSE), "N/A")</f>
        <v/>
      </c>
      <c r="J4" s="12">
        <f>IF($D4="Por Jugar", "", IFERROR(VLOOKUP(I$1&amp;"_"&amp;$A4, Predicciones_Master!$A$4:$Q$2000, 11, FALSE), 0))</f>
        <v/>
      </c>
      <c r="K4" s="8">
        <f>IFERROR(VLOOKUP(K$1&amp;"_"&amp;$A4, Predicciones_Master!$A$4:$Q$2000, 7, FALSE) &amp; " - " &amp; VLOOKUP(K$1&amp;"_"&amp;$A4, Predicciones_Master!$A$4:$Q$2000, 8, FALSE), "N/A")</f>
        <v/>
      </c>
      <c r="L4" s="12">
        <f>IF($D4="Por Jugar", "", IFERROR(VLOOKUP(K$1&amp;"_"&amp;$A4, Predicciones_Master!$A$4:$Q$2000, 11, FALSE), 0))</f>
        <v/>
      </c>
      <c r="M4" s="8">
        <f>IFERROR(VLOOKUP(M$1&amp;"_"&amp;$A4, Predicciones_Master!$A$4:$Q$2000, 7, FALSE) &amp; " - " &amp; VLOOKUP(M$1&amp;"_"&amp;$A4, Predicciones_Master!$A$4:$Q$2000, 8, FALSE), "N/A")</f>
        <v/>
      </c>
      <c r="N4" s="12">
        <f>IF($D4="Por Jugar", "", IFERROR(VLOOKUP(M$1&amp;"_"&amp;$A4, Predicciones_Master!$A$4:$Q$2000, 11, FALSE), 0))</f>
        <v/>
      </c>
      <c r="O4" s="8">
        <f>IFERROR(VLOOKUP(O$1&amp;"_"&amp;$A4, Predicciones_Master!$A$4:$Q$2000, 7, FALSE) &amp; " - " &amp; VLOOKUP(O$1&amp;"_"&amp;$A4, Predicciones_Master!$A$4:$Q$2000, 8, FALSE), "N/A")</f>
        <v/>
      </c>
      <c r="P4" s="12">
        <f>IF($D4="Por Jugar", "", IFERROR(VLOOKUP(O$1&amp;"_"&amp;$A4, Predicciones_Master!$A$4:$Q$2000, 11, FALSE), 0))</f>
        <v/>
      </c>
      <c r="Q4" s="8">
        <f>IFERROR(VLOOKUP(Q$1&amp;"_"&amp;$A4, Predicciones_Master!$A$4:$Q$2000, 7, FALSE) &amp; " - " &amp; VLOOKUP(Q$1&amp;"_"&amp;$A4, Predicciones_Master!$A$4:$Q$2000, 8, FALSE), "N/A")</f>
        <v/>
      </c>
      <c r="R4" s="12">
        <f>IF($D4="Por Jugar", "", IFERROR(VLOOKUP(Q$1&amp;"_"&amp;$A4, Predicciones_Master!$A$4:$Q$2000, 11, FALSE), 0))</f>
        <v/>
      </c>
      <c r="S4" s="8">
        <f>IFERROR(VLOOKUP(S$1&amp;"_"&amp;$A4, Predicciones_Master!$A$4:$Q$2000, 7, FALSE) &amp; " - " &amp; VLOOKUP(S$1&amp;"_"&amp;$A4, Predicciones_Master!$A$4:$Q$2000, 8, FALSE), "N/A")</f>
        <v/>
      </c>
      <c r="T4" s="12">
        <f>IF($D4="Por Jugar", "", IFERROR(VLOOKUP(S$1&amp;"_"&amp;$A4, Predicciones_Master!$A$4:$Q$2000, 11, FALSE), 0))</f>
        <v/>
      </c>
      <c r="U4" s="8">
        <f>IFERROR(VLOOKUP(U$1&amp;"_"&amp;$A4, Predicciones_Master!$A$4:$Q$2000, 7, FALSE) &amp; " - " &amp; VLOOKUP(U$1&amp;"_"&amp;$A4, Predicciones_Master!$A$4:$Q$2000, 8, FALSE), "N/A")</f>
        <v/>
      </c>
      <c r="V4" s="12">
        <f>IF($D4="Por Jugar", "", IFERROR(VLOOKUP(U$1&amp;"_"&amp;$A4, Predicciones_Master!$A$4:$Q$2000, 11, FALSE), 0))</f>
        <v/>
      </c>
      <c r="W4" s="8">
        <f>IFERROR(VLOOKUP(W$1&amp;"_"&amp;$A4, Predicciones_Master!$A$4:$Q$2000, 7, FALSE) &amp; " - " &amp; VLOOKUP(W$1&amp;"_"&amp;$A4, Predicciones_Master!$A$4:$Q$2000, 8, FALSE), "N/A")</f>
        <v/>
      </c>
      <c r="X4" s="12">
        <f>IF($D4="Por Jugar", "", IFERROR(VLOOKUP(W$1&amp;"_"&amp;$A4, Predicciones_Master!$A$4:$Q$2000, 11, FALSE), 0))</f>
        <v/>
      </c>
    </row>
    <row r="5" ht="20" customHeight="1">
      <c r="A5" s="8">
        <f>Resultados_Reales!A5</f>
        <v/>
      </c>
      <c r="B5" s="8">
        <f>Resultados_Reales!B5</f>
        <v/>
      </c>
      <c r="C5" s="9">
        <f>Resultados_Reales!C5 &amp; " vs " &amp; Resultados_Reales!D5</f>
        <v/>
      </c>
      <c r="D5" s="10">
        <f>IF(OR(Resultados_Reales!E5="", Resultados_Reales!F5=""), "Por Jugar", Resultados_Reales!E5 &amp; " - " &amp; Resultados_Reales!F5)</f>
        <v/>
      </c>
      <c r="E5" s="8">
        <f>IFERROR(VLOOKUP(E$1&amp;"_"&amp;$A5, Predicciones_Master!$A$4:$Q$2000, 7, FALSE) &amp; " - " &amp; VLOOKUP(E$1&amp;"_"&amp;$A5, Predicciones_Master!$A$4:$Q$2000, 8, FALSE), "N/A")</f>
        <v/>
      </c>
      <c r="F5" s="12">
        <f>IF($D5="Por Jugar", "", IFERROR(VLOOKUP(E$1&amp;"_"&amp;$A5, Predicciones_Master!$A$4:$Q$2000, 11, FALSE), 0))</f>
        <v/>
      </c>
      <c r="G5" s="8">
        <f>IFERROR(VLOOKUP(G$1&amp;"_"&amp;$A5, Predicciones_Master!$A$4:$Q$2000, 7, FALSE) &amp; " - " &amp; VLOOKUP(G$1&amp;"_"&amp;$A5, Predicciones_Master!$A$4:$Q$2000, 8, FALSE), "N/A")</f>
        <v/>
      </c>
      <c r="H5" s="12">
        <f>IF($D5="Por Jugar", "", IFERROR(VLOOKUP(G$1&amp;"_"&amp;$A5, Predicciones_Master!$A$4:$Q$2000, 11, FALSE), 0))</f>
        <v/>
      </c>
      <c r="I5" s="8">
        <f>IFERROR(VLOOKUP(I$1&amp;"_"&amp;$A5, Predicciones_Master!$A$4:$Q$2000, 7, FALSE) &amp; " - " &amp; VLOOKUP(I$1&amp;"_"&amp;$A5, Predicciones_Master!$A$4:$Q$2000, 8, FALSE), "N/A")</f>
        <v/>
      </c>
      <c r="J5" s="12">
        <f>IF($D5="Por Jugar", "", IFERROR(VLOOKUP(I$1&amp;"_"&amp;$A5, Predicciones_Master!$A$4:$Q$2000, 11, FALSE), 0))</f>
        <v/>
      </c>
      <c r="K5" s="8">
        <f>IFERROR(VLOOKUP(K$1&amp;"_"&amp;$A5, Predicciones_Master!$A$4:$Q$2000, 7, FALSE) &amp; " - " &amp; VLOOKUP(K$1&amp;"_"&amp;$A5, Predicciones_Master!$A$4:$Q$2000, 8, FALSE), "N/A")</f>
        <v/>
      </c>
      <c r="L5" s="12">
        <f>IF($D5="Por Jugar", "", IFERROR(VLOOKUP(K$1&amp;"_"&amp;$A5, Predicciones_Master!$A$4:$Q$2000, 11, FALSE), 0))</f>
        <v/>
      </c>
      <c r="M5" s="8">
        <f>IFERROR(VLOOKUP(M$1&amp;"_"&amp;$A5, Predicciones_Master!$A$4:$Q$2000, 7, FALSE) &amp; " - " &amp; VLOOKUP(M$1&amp;"_"&amp;$A5, Predicciones_Master!$A$4:$Q$2000, 8, FALSE), "N/A")</f>
        <v/>
      </c>
      <c r="N5" s="12">
        <f>IF($D5="Por Jugar", "", IFERROR(VLOOKUP(M$1&amp;"_"&amp;$A5, Predicciones_Master!$A$4:$Q$2000, 11, FALSE), 0))</f>
        <v/>
      </c>
      <c r="O5" s="8">
        <f>IFERROR(VLOOKUP(O$1&amp;"_"&amp;$A5, Predicciones_Master!$A$4:$Q$2000, 7, FALSE) &amp; " - " &amp; VLOOKUP(O$1&amp;"_"&amp;$A5, Predicciones_Master!$A$4:$Q$2000, 8, FALSE), "N/A")</f>
        <v/>
      </c>
      <c r="P5" s="12">
        <f>IF($D5="Por Jugar", "", IFERROR(VLOOKUP(O$1&amp;"_"&amp;$A5, Predicciones_Master!$A$4:$Q$2000, 11, FALSE), 0))</f>
        <v/>
      </c>
      <c r="Q5" s="8">
        <f>IFERROR(VLOOKUP(Q$1&amp;"_"&amp;$A5, Predicciones_Master!$A$4:$Q$2000, 7, FALSE) &amp; " - " &amp; VLOOKUP(Q$1&amp;"_"&amp;$A5, Predicciones_Master!$A$4:$Q$2000, 8, FALSE), "N/A")</f>
        <v/>
      </c>
      <c r="R5" s="12">
        <f>IF($D5="Por Jugar", "", IFERROR(VLOOKUP(Q$1&amp;"_"&amp;$A5, Predicciones_Master!$A$4:$Q$2000, 11, FALSE), 0))</f>
        <v/>
      </c>
      <c r="S5" s="8">
        <f>IFERROR(VLOOKUP(S$1&amp;"_"&amp;$A5, Predicciones_Master!$A$4:$Q$2000, 7, FALSE) &amp; " - " &amp; VLOOKUP(S$1&amp;"_"&amp;$A5, Predicciones_Master!$A$4:$Q$2000, 8, FALSE), "N/A")</f>
        <v/>
      </c>
      <c r="T5" s="12">
        <f>IF($D5="Por Jugar", "", IFERROR(VLOOKUP(S$1&amp;"_"&amp;$A5, Predicciones_Master!$A$4:$Q$2000, 11, FALSE), 0))</f>
        <v/>
      </c>
      <c r="U5" s="8">
        <f>IFERROR(VLOOKUP(U$1&amp;"_"&amp;$A5, Predicciones_Master!$A$4:$Q$2000, 7, FALSE) &amp; " - " &amp; VLOOKUP(U$1&amp;"_"&amp;$A5, Predicciones_Master!$A$4:$Q$2000, 8, FALSE), "N/A")</f>
        <v/>
      </c>
      <c r="V5" s="12">
        <f>IF($D5="Por Jugar", "", IFERROR(VLOOKUP(U$1&amp;"_"&amp;$A5, Predicciones_Master!$A$4:$Q$2000, 11, FALSE), 0))</f>
        <v/>
      </c>
      <c r="W5" s="8">
        <f>IFERROR(VLOOKUP(W$1&amp;"_"&amp;$A5, Predicciones_Master!$A$4:$Q$2000, 7, FALSE) &amp; " - " &amp; VLOOKUP(W$1&amp;"_"&amp;$A5, Predicciones_Master!$A$4:$Q$2000, 8, FALSE), "N/A")</f>
        <v/>
      </c>
      <c r="X5" s="12">
        <f>IF($D5="Por Jugar", "", IFERROR(VLOOKUP(W$1&amp;"_"&amp;$A5, Predicciones_Master!$A$4:$Q$2000, 11, FALSE), 0))</f>
        <v/>
      </c>
    </row>
    <row r="6" ht="20" customHeight="1">
      <c r="A6" s="8">
        <f>Resultados_Reales!A6</f>
        <v/>
      </c>
      <c r="B6" s="8">
        <f>Resultados_Reales!B6</f>
        <v/>
      </c>
      <c r="C6" s="9">
        <f>Resultados_Reales!C6 &amp; " vs " &amp; Resultados_Reales!D6</f>
        <v/>
      </c>
      <c r="D6" s="10">
        <f>IF(OR(Resultados_Reales!E6="", Resultados_Reales!F6=""), "Por Jugar", Resultados_Reales!E6 &amp; " - " &amp; Resultados_Reales!F6)</f>
        <v/>
      </c>
      <c r="E6" s="8">
        <f>IFERROR(VLOOKUP(E$1&amp;"_"&amp;$A6, Predicciones_Master!$A$4:$Q$2000, 7, FALSE) &amp; " - " &amp; VLOOKUP(E$1&amp;"_"&amp;$A6, Predicciones_Master!$A$4:$Q$2000, 8, FALSE), "N/A")</f>
        <v/>
      </c>
      <c r="F6" s="12">
        <f>IF($D6="Por Jugar", "", IFERROR(VLOOKUP(E$1&amp;"_"&amp;$A6, Predicciones_Master!$A$4:$Q$2000, 11, FALSE), 0))</f>
        <v/>
      </c>
      <c r="G6" s="8">
        <f>IFERROR(VLOOKUP(G$1&amp;"_"&amp;$A6, Predicciones_Master!$A$4:$Q$2000, 7, FALSE) &amp; " - " &amp; VLOOKUP(G$1&amp;"_"&amp;$A6, Predicciones_Master!$A$4:$Q$2000, 8, FALSE), "N/A")</f>
        <v/>
      </c>
      <c r="H6" s="12">
        <f>IF($D6="Por Jugar", "", IFERROR(VLOOKUP(G$1&amp;"_"&amp;$A6, Predicciones_Master!$A$4:$Q$2000, 11, FALSE), 0))</f>
        <v/>
      </c>
      <c r="I6" s="8">
        <f>IFERROR(VLOOKUP(I$1&amp;"_"&amp;$A6, Predicciones_Master!$A$4:$Q$2000, 7, FALSE) &amp; " - " &amp; VLOOKUP(I$1&amp;"_"&amp;$A6, Predicciones_Master!$A$4:$Q$2000, 8, FALSE), "N/A")</f>
        <v/>
      </c>
      <c r="J6" s="12">
        <f>IF($D6="Por Jugar", "", IFERROR(VLOOKUP(I$1&amp;"_"&amp;$A6, Predicciones_Master!$A$4:$Q$2000, 11, FALSE), 0))</f>
        <v/>
      </c>
      <c r="K6" s="8">
        <f>IFERROR(VLOOKUP(K$1&amp;"_"&amp;$A6, Predicciones_Master!$A$4:$Q$2000, 7, FALSE) &amp; " - " &amp; VLOOKUP(K$1&amp;"_"&amp;$A6, Predicciones_Master!$A$4:$Q$2000, 8, FALSE), "N/A")</f>
        <v/>
      </c>
      <c r="L6" s="12">
        <f>IF($D6="Por Jugar", "", IFERROR(VLOOKUP(K$1&amp;"_"&amp;$A6, Predicciones_Master!$A$4:$Q$2000, 11, FALSE), 0))</f>
        <v/>
      </c>
      <c r="M6" s="8">
        <f>IFERROR(VLOOKUP(M$1&amp;"_"&amp;$A6, Predicciones_Master!$A$4:$Q$2000, 7, FALSE) &amp; " - " &amp; VLOOKUP(M$1&amp;"_"&amp;$A6, Predicciones_Master!$A$4:$Q$2000, 8, FALSE), "N/A")</f>
        <v/>
      </c>
      <c r="N6" s="12">
        <f>IF($D6="Por Jugar", "", IFERROR(VLOOKUP(M$1&amp;"_"&amp;$A6, Predicciones_Master!$A$4:$Q$2000, 11, FALSE), 0))</f>
        <v/>
      </c>
      <c r="O6" s="8">
        <f>IFERROR(VLOOKUP(O$1&amp;"_"&amp;$A6, Predicciones_Master!$A$4:$Q$2000, 7, FALSE) &amp; " - " &amp; VLOOKUP(O$1&amp;"_"&amp;$A6, Predicciones_Master!$A$4:$Q$2000, 8, FALSE), "N/A")</f>
        <v/>
      </c>
      <c r="P6" s="12">
        <f>IF($D6="Por Jugar", "", IFERROR(VLOOKUP(O$1&amp;"_"&amp;$A6, Predicciones_Master!$A$4:$Q$2000, 11, FALSE), 0))</f>
        <v/>
      </c>
      <c r="Q6" s="8">
        <f>IFERROR(VLOOKUP(Q$1&amp;"_"&amp;$A6, Predicciones_Master!$A$4:$Q$2000, 7, FALSE) &amp; " - " &amp; VLOOKUP(Q$1&amp;"_"&amp;$A6, Predicciones_Master!$A$4:$Q$2000, 8, FALSE), "N/A")</f>
        <v/>
      </c>
      <c r="R6" s="12">
        <f>IF($D6="Por Jugar", "", IFERROR(VLOOKUP(Q$1&amp;"_"&amp;$A6, Predicciones_Master!$A$4:$Q$2000, 11, FALSE), 0))</f>
        <v/>
      </c>
      <c r="S6" s="8">
        <f>IFERROR(VLOOKUP(S$1&amp;"_"&amp;$A6, Predicciones_Master!$A$4:$Q$2000, 7, FALSE) &amp; " - " &amp; VLOOKUP(S$1&amp;"_"&amp;$A6, Predicciones_Master!$A$4:$Q$2000, 8, FALSE), "N/A")</f>
        <v/>
      </c>
      <c r="T6" s="12">
        <f>IF($D6="Por Jugar", "", IFERROR(VLOOKUP(S$1&amp;"_"&amp;$A6, Predicciones_Master!$A$4:$Q$2000, 11, FALSE), 0))</f>
        <v/>
      </c>
      <c r="U6" s="8">
        <f>IFERROR(VLOOKUP(U$1&amp;"_"&amp;$A6, Predicciones_Master!$A$4:$Q$2000, 7, FALSE) &amp; " - " &amp; VLOOKUP(U$1&amp;"_"&amp;$A6, Predicciones_Master!$A$4:$Q$2000, 8, FALSE), "N/A")</f>
        <v/>
      </c>
      <c r="V6" s="12">
        <f>IF($D6="Por Jugar", "", IFERROR(VLOOKUP(U$1&amp;"_"&amp;$A6, Predicciones_Master!$A$4:$Q$2000, 11, FALSE), 0))</f>
        <v/>
      </c>
      <c r="W6" s="8">
        <f>IFERROR(VLOOKUP(W$1&amp;"_"&amp;$A6, Predicciones_Master!$A$4:$Q$2000, 7, FALSE) &amp; " - " &amp; VLOOKUP(W$1&amp;"_"&amp;$A6, Predicciones_Master!$A$4:$Q$2000, 8, FALSE), "N/A")</f>
        <v/>
      </c>
      <c r="X6" s="12">
        <f>IF($D6="Por Jugar", "", IFERROR(VLOOKUP(W$1&amp;"_"&amp;$A6, Predicciones_Master!$A$4:$Q$2000, 11, FALSE), 0))</f>
        <v/>
      </c>
    </row>
    <row r="7" ht="20" customHeight="1">
      <c r="A7" s="8">
        <f>Resultados_Reales!A7</f>
        <v/>
      </c>
      <c r="B7" s="8">
        <f>Resultados_Reales!B7</f>
        <v/>
      </c>
      <c r="C7" s="9">
        <f>Resultados_Reales!C7 &amp; " vs " &amp; Resultados_Reales!D7</f>
        <v/>
      </c>
      <c r="D7" s="10">
        <f>IF(OR(Resultados_Reales!E7="", Resultados_Reales!F7=""), "Por Jugar", Resultados_Reales!E7 &amp; " - " &amp; Resultados_Reales!F7)</f>
        <v/>
      </c>
      <c r="E7" s="8">
        <f>IFERROR(VLOOKUP(E$1&amp;"_"&amp;$A7, Predicciones_Master!$A$4:$Q$2000, 7, FALSE) &amp; " - " &amp; VLOOKUP(E$1&amp;"_"&amp;$A7, Predicciones_Master!$A$4:$Q$2000, 8, FALSE), "N/A")</f>
        <v/>
      </c>
      <c r="F7" s="12">
        <f>IF($D7="Por Jugar", "", IFERROR(VLOOKUP(E$1&amp;"_"&amp;$A7, Predicciones_Master!$A$4:$Q$2000, 11, FALSE), 0))</f>
        <v/>
      </c>
      <c r="G7" s="8">
        <f>IFERROR(VLOOKUP(G$1&amp;"_"&amp;$A7, Predicciones_Master!$A$4:$Q$2000, 7, FALSE) &amp; " - " &amp; VLOOKUP(G$1&amp;"_"&amp;$A7, Predicciones_Master!$A$4:$Q$2000, 8, FALSE), "N/A")</f>
        <v/>
      </c>
      <c r="H7" s="12">
        <f>IF($D7="Por Jugar", "", IFERROR(VLOOKUP(G$1&amp;"_"&amp;$A7, Predicciones_Master!$A$4:$Q$2000, 11, FALSE), 0))</f>
        <v/>
      </c>
      <c r="I7" s="8">
        <f>IFERROR(VLOOKUP(I$1&amp;"_"&amp;$A7, Predicciones_Master!$A$4:$Q$2000, 7, FALSE) &amp; " - " &amp; VLOOKUP(I$1&amp;"_"&amp;$A7, Predicciones_Master!$A$4:$Q$2000, 8, FALSE), "N/A")</f>
        <v/>
      </c>
      <c r="J7" s="12">
        <f>IF($D7="Por Jugar", "", IFERROR(VLOOKUP(I$1&amp;"_"&amp;$A7, Predicciones_Master!$A$4:$Q$2000, 11, FALSE), 0))</f>
        <v/>
      </c>
      <c r="K7" s="8">
        <f>IFERROR(VLOOKUP(K$1&amp;"_"&amp;$A7, Predicciones_Master!$A$4:$Q$2000, 7, FALSE) &amp; " - " &amp; VLOOKUP(K$1&amp;"_"&amp;$A7, Predicciones_Master!$A$4:$Q$2000, 8, FALSE), "N/A")</f>
        <v/>
      </c>
      <c r="L7" s="12">
        <f>IF($D7="Por Jugar", "", IFERROR(VLOOKUP(K$1&amp;"_"&amp;$A7, Predicciones_Master!$A$4:$Q$2000, 11, FALSE), 0))</f>
        <v/>
      </c>
      <c r="M7" s="8">
        <f>IFERROR(VLOOKUP(M$1&amp;"_"&amp;$A7, Predicciones_Master!$A$4:$Q$2000, 7, FALSE) &amp; " - " &amp; VLOOKUP(M$1&amp;"_"&amp;$A7, Predicciones_Master!$A$4:$Q$2000, 8, FALSE), "N/A")</f>
        <v/>
      </c>
      <c r="N7" s="12">
        <f>IF($D7="Por Jugar", "", IFERROR(VLOOKUP(M$1&amp;"_"&amp;$A7, Predicciones_Master!$A$4:$Q$2000, 11, FALSE), 0))</f>
        <v/>
      </c>
      <c r="O7" s="8">
        <f>IFERROR(VLOOKUP(O$1&amp;"_"&amp;$A7, Predicciones_Master!$A$4:$Q$2000, 7, FALSE) &amp; " - " &amp; VLOOKUP(O$1&amp;"_"&amp;$A7, Predicciones_Master!$A$4:$Q$2000, 8, FALSE), "N/A")</f>
        <v/>
      </c>
      <c r="P7" s="12">
        <f>IF($D7="Por Jugar", "", IFERROR(VLOOKUP(O$1&amp;"_"&amp;$A7, Predicciones_Master!$A$4:$Q$2000, 11, FALSE), 0))</f>
        <v/>
      </c>
      <c r="Q7" s="8">
        <f>IFERROR(VLOOKUP(Q$1&amp;"_"&amp;$A7, Predicciones_Master!$A$4:$Q$2000, 7, FALSE) &amp; " - " &amp; VLOOKUP(Q$1&amp;"_"&amp;$A7, Predicciones_Master!$A$4:$Q$2000, 8, FALSE), "N/A")</f>
        <v/>
      </c>
      <c r="R7" s="12">
        <f>IF($D7="Por Jugar", "", IFERROR(VLOOKUP(Q$1&amp;"_"&amp;$A7, Predicciones_Master!$A$4:$Q$2000, 11, FALSE), 0))</f>
        <v/>
      </c>
      <c r="S7" s="8">
        <f>IFERROR(VLOOKUP(S$1&amp;"_"&amp;$A7, Predicciones_Master!$A$4:$Q$2000, 7, FALSE) &amp; " - " &amp; VLOOKUP(S$1&amp;"_"&amp;$A7, Predicciones_Master!$A$4:$Q$2000, 8, FALSE), "N/A")</f>
        <v/>
      </c>
      <c r="T7" s="12">
        <f>IF($D7="Por Jugar", "", IFERROR(VLOOKUP(S$1&amp;"_"&amp;$A7, Predicciones_Master!$A$4:$Q$2000, 11, FALSE), 0))</f>
        <v/>
      </c>
      <c r="U7" s="8">
        <f>IFERROR(VLOOKUP(U$1&amp;"_"&amp;$A7, Predicciones_Master!$A$4:$Q$2000, 7, FALSE) &amp; " - " &amp; VLOOKUP(U$1&amp;"_"&amp;$A7, Predicciones_Master!$A$4:$Q$2000, 8, FALSE), "N/A")</f>
        <v/>
      </c>
      <c r="V7" s="12">
        <f>IF($D7="Por Jugar", "", IFERROR(VLOOKUP(U$1&amp;"_"&amp;$A7, Predicciones_Master!$A$4:$Q$2000, 11, FALSE), 0))</f>
        <v/>
      </c>
      <c r="W7" s="8">
        <f>IFERROR(VLOOKUP(W$1&amp;"_"&amp;$A7, Predicciones_Master!$A$4:$Q$2000, 7, FALSE) &amp; " - " &amp; VLOOKUP(W$1&amp;"_"&amp;$A7, Predicciones_Master!$A$4:$Q$2000, 8, FALSE), "N/A")</f>
        <v/>
      </c>
      <c r="X7" s="12">
        <f>IF($D7="Por Jugar", "", IFERROR(VLOOKUP(W$1&amp;"_"&amp;$A7, Predicciones_Master!$A$4:$Q$2000, 11, FALSE), 0))</f>
        <v/>
      </c>
    </row>
    <row r="8" ht="20" customHeight="1">
      <c r="A8" s="8">
        <f>Resultados_Reales!A8</f>
        <v/>
      </c>
      <c r="B8" s="8">
        <f>Resultados_Reales!B8</f>
        <v/>
      </c>
      <c r="C8" s="9">
        <f>Resultados_Reales!C8 &amp; " vs " &amp; Resultados_Reales!D8</f>
        <v/>
      </c>
      <c r="D8" s="10">
        <f>IF(OR(Resultados_Reales!E8="", Resultados_Reales!F8=""), "Por Jugar", Resultados_Reales!E8 &amp; " - " &amp; Resultados_Reales!F8)</f>
        <v/>
      </c>
      <c r="E8" s="8">
        <f>IFERROR(VLOOKUP(E$1&amp;"_"&amp;$A8, Predicciones_Master!$A$4:$Q$2000, 7, FALSE) &amp; " - " &amp; VLOOKUP(E$1&amp;"_"&amp;$A8, Predicciones_Master!$A$4:$Q$2000, 8, FALSE), "N/A")</f>
        <v/>
      </c>
      <c r="F8" s="12">
        <f>IF($D8="Por Jugar", "", IFERROR(VLOOKUP(E$1&amp;"_"&amp;$A8, Predicciones_Master!$A$4:$Q$2000, 11, FALSE), 0))</f>
        <v/>
      </c>
      <c r="G8" s="8">
        <f>IFERROR(VLOOKUP(G$1&amp;"_"&amp;$A8, Predicciones_Master!$A$4:$Q$2000, 7, FALSE) &amp; " - " &amp; VLOOKUP(G$1&amp;"_"&amp;$A8, Predicciones_Master!$A$4:$Q$2000, 8, FALSE), "N/A")</f>
        <v/>
      </c>
      <c r="H8" s="12">
        <f>IF($D8="Por Jugar", "", IFERROR(VLOOKUP(G$1&amp;"_"&amp;$A8, Predicciones_Master!$A$4:$Q$2000, 11, FALSE), 0))</f>
        <v/>
      </c>
      <c r="I8" s="8">
        <f>IFERROR(VLOOKUP(I$1&amp;"_"&amp;$A8, Predicciones_Master!$A$4:$Q$2000, 7, FALSE) &amp; " - " &amp; VLOOKUP(I$1&amp;"_"&amp;$A8, Predicciones_Master!$A$4:$Q$2000, 8, FALSE), "N/A")</f>
        <v/>
      </c>
      <c r="J8" s="12">
        <f>IF($D8="Por Jugar", "", IFERROR(VLOOKUP(I$1&amp;"_"&amp;$A8, Predicciones_Master!$A$4:$Q$2000, 11, FALSE), 0))</f>
        <v/>
      </c>
      <c r="K8" s="8">
        <f>IFERROR(VLOOKUP(K$1&amp;"_"&amp;$A8, Predicciones_Master!$A$4:$Q$2000, 7, FALSE) &amp; " - " &amp; VLOOKUP(K$1&amp;"_"&amp;$A8, Predicciones_Master!$A$4:$Q$2000, 8, FALSE), "N/A")</f>
        <v/>
      </c>
      <c r="L8" s="12">
        <f>IF($D8="Por Jugar", "", IFERROR(VLOOKUP(K$1&amp;"_"&amp;$A8, Predicciones_Master!$A$4:$Q$2000, 11, FALSE), 0))</f>
        <v/>
      </c>
      <c r="M8" s="8">
        <f>IFERROR(VLOOKUP(M$1&amp;"_"&amp;$A8, Predicciones_Master!$A$4:$Q$2000, 7, FALSE) &amp; " - " &amp; VLOOKUP(M$1&amp;"_"&amp;$A8, Predicciones_Master!$A$4:$Q$2000, 8, FALSE), "N/A")</f>
        <v/>
      </c>
      <c r="N8" s="12">
        <f>IF($D8="Por Jugar", "", IFERROR(VLOOKUP(M$1&amp;"_"&amp;$A8, Predicciones_Master!$A$4:$Q$2000, 11, FALSE), 0))</f>
        <v/>
      </c>
      <c r="O8" s="8">
        <f>IFERROR(VLOOKUP(O$1&amp;"_"&amp;$A8, Predicciones_Master!$A$4:$Q$2000, 7, FALSE) &amp; " - " &amp; VLOOKUP(O$1&amp;"_"&amp;$A8, Predicciones_Master!$A$4:$Q$2000, 8, FALSE), "N/A")</f>
        <v/>
      </c>
      <c r="P8" s="12">
        <f>IF($D8="Por Jugar", "", IFERROR(VLOOKUP(O$1&amp;"_"&amp;$A8, Predicciones_Master!$A$4:$Q$2000, 11, FALSE), 0))</f>
        <v/>
      </c>
      <c r="Q8" s="8">
        <f>IFERROR(VLOOKUP(Q$1&amp;"_"&amp;$A8, Predicciones_Master!$A$4:$Q$2000, 7, FALSE) &amp; " - " &amp; VLOOKUP(Q$1&amp;"_"&amp;$A8, Predicciones_Master!$A$4:$Q$2000, 8, FALSE), "N/A")</f>
        <v/>
      </c>
      <c r="R8" s="12">
        <f>IF($D8="Por Jugar", "", IFERROR(VLOOKUP(Q$1&amp;"_"&amp;$A8, Predicciones_Master!$A$4:$Q$2000, 11, FALSE), 0))</f>
        <v/>
      </c>
      <c r="S8" s="8">
        <f>IFERROR(VLOOKUP(S$1&amp;"_"&amp;$A8, Predicciones_Master!$A$4:$Q$2000, 7, FALSE) &amp; " - " &amp; VLOOKUP(S$1&amp;"_"&amp;$A8, Predicciones_Master!$A$4:$Q$2000, 8, FALSE), "N/A")</f>
        <v/>
      </c>
      <c r="T8" s="12">
        <f>IF($D8="Por Jugar", "", IFERROR(VLOOKUP(S$1&amp;"_"&amp;$A8, Predicciones_Master!$A$4:$Q$2000, 11, FALSE), 0))</f>
        <v/>
      </c>
      <c r="U8" s="8">
        <f>IFERROR(VLOOKUP(U$1&amp;"_"&amp;$A8, Predicciones_Master!$A$4:$Q$2000, 7, FALSE) &amp; " - " &amp; VLOOKUP(U$1&amp;"_"&amp;$A8, Predicciones_Master!$A$4:$Q$2000, 8, FALSE), "N/A")</f>
        <v/>
      </c>
      <c r="V8" s="12">
        <f>IF($D8="Por Jugar", "", IFERROR(VLOOKUP(U$1&amp;"_"&amp;$A8, Predicciones_Master!$A$4:$Q$2000, 11, FALSE), 0))</f>
        <v/>
      </c>
      <c r="W8" s="8">
        <f>IFERROR(VLOOKUP(W$1&amp;"_"&amp;$A8, Predicciones_Master!$A$4:$Q$2000, 7, FALSE) &amp; " - " &amp; VLOOKUP(W$1&amp;"_"&amp;$A8, Predicciones_Master!$A$4:$Q$2000, 8, FALSE), "N/A")</f>
        <v/>
      </c>
      <c r="X8" s="12">
        <f>IF($D8="Por Jugar", "", IFERROR(VLOOKUP(W$1&amp;"_"&amp;$A8, Predicciones_Master!$A$4:$Q$2000, 11, FALSE), 0))</f>
        <v/>
      </c>
    </row>
    <row r="9" ht="20" customHeight="1">
      <c r="A9" s="8">
        <f>Resultados_Reales!A9</f>
        <v/>
      </c>
      <c r="B9" s="8">
        <f>Resultados_Reales!B9</f>
        <v/>
      </c>
      <c r="C9" s="9">
        <f>Resultados_Reales!C9 &amp; " vs " &amp; Resultados_Reales!D9</f>
        <v/>
      </c>
      <c r="D9" s="10">
        <f>IF(OR(Resultados_Reales!E9="", Resultados_Reales!F9=""), "Por Jugar", Resultados_Reales!E9 &amp; " - " &amp; Resultados_Reales!F9)</f>
        <v/>
      </c>
      <c r="E9" s="8">
        <f>IFERROR(VLOOKUP(E$1&amp;"_"&amp;$A9, Predicciones_Master!$A$4:$Q$2000, 7, FALSE) &amp; " - " &amp; VLOOKUP(E$1&amp;"_"&amp;$A9, Predicciones_Master!$A$4:$Q$2000, 8, FALSE), "N/A")</f>
        <v/>
      </c>
      <c r="F9" s="12">
        <f>IF($D9="Por Jugar", "", IFERROR(VLOOKUP(E$1&amp;"_"&amp;$A9, Predicciones_Master!$A$4:$Q$2000, 11, FALSE), 0))</f>
        <v/>
      </c>
      <c r="G9" s="8">
        <f>IFERROR(VLOOKUP(G$1&amp;"_"&amp;$A9, Predicciones_Master!$A$4:$Q$2000, 7, FALSE) &amp; " - " &amp; VLOOKUP(G$1&amp;"_"&amp;$A9, Predicciones_Master!$A$4:$Q$2000, 8, FALSE), "N/A")</f>
        <v/>
      </c>
      <c r="H9" s="12">
        <f>IF($D9="Por Jugar", "", IFERROR(VLOOKUP(G$1&amp;"_"&amp;$A9, Predicciones_Master!$A$4:$Q$2000, 11, FALSE), 0))</f>
        <v/>
      </c>
      <c r="I9" s="8">
        <f>IFERROR(VLOOKUP(I$1&amp;"_"&amp;$A9, Predicciones_Master!$A$4:$Q$2000, 7, FALSE) &amp; " - " &amp; VLOOKUP(I$1&amp;"_"&amp;$A9, Predicciones_Master!$A$4:$Q$2000, 8, FALSE), "N/A")</f>
        <v/>
      </c>
      <c r="J9" s="12">
        <f>IF($D9="Por Jugar", "", IFERROR(VLOOKUP(I$1&amp;"_"&amp;$A9, Predicciones_Master!$A$4:$Q$2000, 11, FALSE), 0))</f>
        <v/>
      </c>
      <c r="K9" s="8">
        <f>IFERROR(VLOOKUP(K$1&amp;"_"&amp;$A9, Predicciones_Master!$A$4:$Q$2000, 7, FALSE) &amp; " - " &amp; VLOOKUP(K$1&amp;"_"&amp;$A9, Predicciones_Master!$A$4:$Q$2000, 8, FALSE), "N/A")</f>
        <v/>
      </c>
      <c r="L9" s="12">
        <f>IF($D9="Por Jugar", "", IFERROR(VLOOKUP(K$1&amp;"_"&amp;$A9, Predicciones_Master!$A$4:$Q$2000, 11, FALSE), 0))</f>
        <v/>
      </c>
      <c r="M9" s="8">
        <f>IFERROR(VLOOKUP(M$1&amp;"_"&amp;$A9, Predicciones_Master!$A$4:$Q$2000, 7, FALSE) &amp; " - " &amp; VLOOKUP(M$1&amp;"_"&amp;$A9, Predicciones_Master!$A$4:$Q$2000, 8, FALSE), "N/A")</f>
        <v/>
      </c>
      <c r="N9" s="12">
        <f>IF($D9="Por Jugar", "", IFERROR(VLOOKUP(M$1&amp;"_"&amp;$A9, Predicciones_Master!$A$4:$Q$2000, 11, FALSE), 0))</f>
        <v/>
      </c>
      <c r="O9" s="8">
        <f>IFERROR(VLOOKUP(O$1&amp;"_"&amp;$A9, Predicciones_Master!$A$4:$Q$2000, 7, FALSE) &amp; " - " &amp; VLOOKUP(O$1&amp;"_"&amp;$A9, Predicciones_Master!$A$4:$Q$2000, 8, FALSE), "N/A")</f>
        <v/>
      </c>
      <c r="P9" s="12">
        <f>IF($D9="Por Jugar", "", IFERROR(VLOOKUP(O$1&amp;"_"&amp;$A9, Predicciones_Master!$A$4:$Q$2000, 11, FALSE), 0))</f>
        <v/>
      </c>
      <c r="Q9" s="8">
        <f>IFERROR(VLOOKUP(Q$1&amp;"_"&amp;$A9, Predicciones_Master!$A$4:$Q$2000, 7, FALSE) &amp; " - " &amp; VLOOKUP(Q$1&amp;"_"&amp;$A9, Predicciones_Master!$A$4:$Q$2000, 8, FALSE), "N/A")</f>
        <v/>
      </c>
      <c r="R9" s="12">
        <f>IF($D9="Por Jugar", "", IFERROR(VLOOKUP(Q$1&amp;"_"&amp;$A9, Predicciones_Master!$A$4:$Q$2000, 11, FALSE), 0))</f>
        <v/>
      </c>
      <c r="S9" s="8">
        <f>IFERROR(VLOOKUP(S$1&amp;"_"&amp;$A9, Predicciones_Master!$A$4:$Q$2000, 7, FALSE) &amp; " - " &amp; VLOOKUP(S$1&amp;"_"&amp;$A9, Predicciones_Master!$A$4:$Q$2000, 8, FALSE), "N/A")</f>
        <v/>
      </c>
      <c r="T9" s="12">
        <f>IF($D9="Por Jugar", "", IFERROR(VLOOKUP(S$1&amp;"_"&amp;$A9, Predicciones_Master!$A$4:$Q$2000, 11, FALSE), 0))</f>
        <v/>
      </c>
      <c r="U9" s="8">
        <f>IFERROR(VLOOKUP(U$1&amp;"_"&amp;$A9, Predicciones_Master!$A$4:$Q$2000, 7, FALSE) &amp; " - " &amp; VLOOKUP(U$1&amp;"_"&amp;$A9, Predicciones_Master!$A$4:$Q$2000, 8, FALSE), "N/A")</f>
        <v/>
      </c>
      <c r="V9" s="12">
        <f>IF($D9="Por Jugar", "", IFERROR(VLOOKUP(U$1&amp;"_"&amp;$A9, Predicciones_Master!$A$4:$Q$2000, 11, FALSE), 0))</f>
        <v/>
      </c>
      <c r="W9" s="8">
        <f>IFERROR(VLOOKUP(W$1&amp;"_"&amp;$A9, Predicciones_Master!$A$4:$Q$2000, 7, FALSE) &amp; " - " &amp; VLOOKUP(W$1&amp;"_"&amp;$A9, Predicciones_Master!$A$4:$Q$2000, 8, FALSE), "N/A")</f>
        <v/>
      </c>
      <c r="X9" s="12">
        <f>IF($D9="Por Jugar", "", IFERROR(VLOOKUP(W$1&amp;"_"&amp;$A9, Predicciones_Master!$A$4:$Q$2000, 11, FALSE), 0))</f>
        <v/>
      </c>
    </row>
    <row r="10" ht="20" customHeight="1">
      <c r="A10" s="8">
        <f>Resultados_Reales!A10</f>
        <v/>
      </c>
      <c r="B10" s="8">
        <f>Resultados_Reales!B10</f>
        <v/>
      </c>
      <c r="C10" s="9">
        <f>Resultados_Reales!C10 &amp; " vs " &amp; Resultados_Reales!D10</f>
        <v/>
      </c>
      <c r="D10" s="10">
        <f>IF(OR(Resultados_Reales!E10="", Resultados_Reales!F10=""), "Por Jugar", Resultados_Reales!E10 &amp; " - " &amp; Resultados_Reales!F10)</f>
        <v/>
      </c>
      <c r="E10" s="8">
        <f>IFERROR(VLOOKUP(E$1&amp;"_"&amp;$A10, Predicciones_Master!$A$4:$Q$2000, 7, FALSE) &amp; " - " &amp; VLOOKUP(E$1&amp;"_"&amp;$A10, Predicciones_Master!$A$4:$Q$2000, 8, FALSE), "N/A")</f>
        <v/>
      </c>
      <c r="F10" s="12">
        <f>IF($D10="Por Jugar", "", IFERROR(VLOOKUP(E$1&amp;"_"&amp;$A10, Predicciones_Master!$A$4:$Q$2000, 11, FALSE), 0))</f>
        <v/>
      </c>
      <c r="G10" s="8">
        <f>IFERROR(VLOOKUP(G$1&amp;"_"&amp;$A10, Predicciones_Master!$A$4:$Q$2000, 7, FALSE) &amp; " - " &amp; VLOOKUP(G$1&amp;"_"&amp;$A10, Predicciones_Master!$A$4:$Q$2000, 8, FALSE), "N/A")</f>
        <v/>
      </c>
      <c r="H10" s="12">
        <f>IF($D10="Por Jugar", "", IFERROR(VLOOKUP(G$1&amp;"_"&amp;$A10, Predicciones_Master!$A$4:$Q$2000, 11, FALSE), 0))</f>
        <v/>
      </c>
      <c r="I10" s="8">
        <f>IFERROR(VLOOKUP(I$1&amp;"_"&amp;$A10, Predicciones_Master!$A$4:$Q$2000, 7, FALSE) &amp; " - " &amp; VLOOKUP(I$1&amp;"_"&amp;$A10, Predicciones_Master!$A$4:$Q$2000, 8, FALSE), "N/A")</f>
        <v/>
      </c>
      <c r="J10" s="12">
        <f>IF($D10="Por Jugar", "", IFERROR(VLOOKUP(I$1&amp;"_"&amp;$A10, Predicciones_Master!$A$4:$Q$2000, 11, FALSE), 0))</f>
        <v/>
      </c>
      <c r="K10" s="8">
        <f>IFERROR(VLOOKUP(K$1&amp;"_"&amp;$A10, Predicciones_Master!$A$4:$Q$2000, 7, FALSE) &amp; " - " &amp; VLOOKUP(K$1&amp;"_"&amp;$A10, Predicciones_Master!$A$4:$Q$2000, 8, FALSE), "N/A")</f>
        <v/>
      </c>
      <c r="L10" s="12">
        <f>IF($D10="Por Jugar", "", IFERROR(VLOOKUP(K$1&amp;"_"&amp;$A10, Predicciones_Master!$A$4:$Q$2000, 11, FALSE), 0))</f>
        <v/>
      </c>
      <c r="M10" s="8">
        <f>IFERROR(VLOOKUP(M$1&amp;"_"&amp;$A10, Predicciones_Master!$A$4:$Q$2000, 7, FALSE) &amp; " - " &amp; VLOOKUP(M$1&amp;"_"&amp;$A10, Predicciones_Master!$A$4:$Q$2000, 8, FALSE), "N/A")</f>
        <v/>
      </c>
      <c r="N10" s="12">
        <f>IF($D10="Por Jugar", "", IFERROR(VLOOKUP(M$1&amp;"_"&amp;$A10, Predicciones_Master!$A$4:$Q$2000, 11, FALSE), 0))</f>
        <v/>
      </c>
      <c r="O10" s="8">
        <f>IFERROR(VLOOKUP(O$1&amp;"_"&amp;$A10, Predicciones_Master!$A$4:$Q$2000, 7, FALSE) &amp; " - " &amp; VLOOKUP(O$1&amp;"_"&amp;$A10, Predicciones_Master!$A$4:$Q$2000, 8, FALSE), "N/A")</f>
        <v/>
      </c>
      <c r="P10" s="12">
        <f>IF($D10="Por Jugar", "", IFERROR(VLOOKUP(O$1&amp;"_"&amp;$A10, Predicciones_Master!$A$4:$Q$2000, 11, FALSE), 0))</f>
        <v/>
      </c>
      <c r="Q10" s="8">
        <f>IFERROR(VLOOKUP(Q$1&amp;"_"&amp;$A10, Predicciones_Master!$A$4:$Q$2000, 7, FALSE) &amp; " - " &amp; VLOOKUP(Q$1&amp;"_"&amp;$A10, Predicciones_Master!$A$4:$Q$2000, 8, FALSE), "N/A")</f>
        <v/>
      </c>
      <c r="R10" s="12">
        <f>IF($D10="Por Jugar", "", IFERROR(VLOOKUP(Q$1&amp;"_"&amp;$A10, Predicciones_Master!$A$4:$Q$2000, 11, FALSE), 0))</f>
        <v/>
      </c>
      <c r="S10" s="8">
        <f>IFERROR(VLOOKUP(S$1&amp;"_"&amp;$A10, Predicciones_Master!$A$4:$Q$2000, 7, FALSE) &amp; " - " &amp; VLOOKUP(S$1&amp;"_"&amp;$A10, Predicciones_Master!$A$4:$Q$2000, 8, FALSE), "N/A")</f>
        <v/>
      </c>
      <c r="T10" s="12">
        <f>IF($D10="Por Jugar", "", IFERROR(VLOOKUP(S$1&amp;"_"&amp;$A10, Predicciones_Master!$A$4:$Q$2000, 11, FALSE), 0))</f>
        <v/>
      </c>
      <c r="U10" s="8">
        <f>IFERROR(VLOOKUP(U$1&amp;"_"&amp;$A10, Predicciones_Master!$A$4:$Q$2000, 7, FALSE) &amp; " - " &amp; VLOOKUP(U$1&amp;"_"&amp;$A10, Predicciones_Master!$A$4:$Q$2000, 8, FALSE), "N/A")</f>
        <v/>
      </c>
      <c r="V10" s="12">
        <f>IF($D10="Por Jugar", "", IFERROR(VLOOKUP(U$1&amp;"_"&amp;$A10, Predicciones_Master!$A$4:$Q$2000, 11, FALSE), 0))</f>
        <v/>
      </c>
      <c r="W10" s="8">
        <f>IFERROR(VLOOKUP(W$1&amp;"_"&amp;$A10, Predicciones_Master!$A$4:$Q$2000, 7, FALSE) &amp; " - " &amp; VLOOKUP(W$1&amp;"_"&amp;$A10, Predicciones_Master!$A$4:$Q$2000, 8, FALSE), "N/A")</f>
        <v/>
      </c>
      <c r="X10" s="12">
        <f>IF($D10="Por Jugar", "", IFERROR(VLOOKUP(W$1&amp;"_"&amp;$A10, Predicciones_Master!$A$4:$Q$2000, 11, FALSE), 0))</f>
        <v/>
      </c>
    </row>
    <row r="11" ht="20" customHeight="1">
      <c r="A11" s="8">
        <f>Resultados_Reales!A11</f>
        <v/>
      </c>
      <c r="B11" s="8">
        <f>Resultados_Reales!B11</f>
        <v/>
      </c>
      <c r="C11" s="9">
        <f>Resultados_Reales!C11 &amp; " vs " &amp; Resultados_Reales!D11</f>
        <v/>
      </c>
      <c r="D11" s="10">
        <f>IF(OR(Resultados_Reales!E11="", Resultados_Reales!F11=""), "Por Jugar", Resultados_Reales!E11 &amp; " - " &amp; Resultados_Reales!F11)</f>
        <v/>
      </c>
      <c r="E11" s="8">
        <f>IFERROR(VLOOKUP(E$1&amp;"_"&amp;$A11, Predicciones_Master!$A$4:$Q$2000, 7, FALSE) &amp; " - " &amp; VLOOKUP(E$1&amp;"_"&amp;$A11, Predicciones_Master!$A$4:$Q$2000, 8, FALSE), "N/A")</f>
        <v/>
      </c>
      <c r="F11" s="12">
        <f>IF($D11="Por Jugar", "", IFERROR(VLOOKUP(E$1&amp;"_"&amp;$A11, Predicciones_Master!$A$4:$Q$2000, 11, FALSE), 0))</f>
        <v/>
      </c>
      <c r="G11" s="8">
        <f>IFERROR(VLOOKUP(G$1&amp;"_"&amp;$A11, Predicciones_Master!$A$4:$Q$2000, 7, FALSE) &amp; " - " &amp; VLOOKUP(G$1&amp;"_"&amp;$A11, Predicciones_Master!$A$4:$Q$2000, 8, FALSE), "N/A")</f>
        <v/>
      </c>
      <c r="H11" s="12">
        <f>IF($D11="Por Jugar", "", IFERROR(VLOOKUP(G$1&amp;"_"&amp;$A11, Predicciones_Master!$A$4:$Q$2000, 11, FALSE), 0))</f>
        <v/>
      </c>
      <c r="I11" s="8">
        <f>IFERROR(VLOOKUP(I$1&amp;"_"&amp;$A11, Predicciones_Master!$A$4:$Q$2000, 7, FALSE) &amp; " - " &amp; VLOOKUP(I$1&amp;"_"&amp;$A11, Predicciones_Master!$A$4:$Q$2000, 8, FALSE), "N/A")</f>
        <v/>
      </c>
      <c r="J11" s="12">
        <f>IF($D11="Por Jugar", "", IFERROR(VLOOKUP(I$1&amp;"_"&amp;$A11, Predicciones_Master!$A$4:$Q$2000, 11, FALSE), 0))</f>
        <v/>
      </c>
      <c r="K11" s="8">
        <f>IFERROR(VLOOKUP(K$1&amp;"_"&amp;$A11, Predicciones_Master!$A$4:$Q$2000, 7, FALSE) &amp; " - " &amp; VLOOKUP(K$1&amp;"_"&amp;$A11, Predicciones_Master!$A$4:$Q$2000, 8, FALSE), "N/A")</f>
        <v/>
      </c>
      <c r="L11" s="12">
        <f>IF($D11="Por Jugar", "", IFERROR(VLOOKUP(K$1&amp;"_"&amp;$A11, Predicciones_Master!$A$4:$Q$2000, 11, FALSE), 0))</f>
        <v/>
      </c>
      <c r="M11" s="8">
        <f>IFERROR(VLOOKUP(M$1&amp;"_"&amp;$A11, Predicciones_Master!$A$4:$Q$2000, 7, FALSE) &amp; " - " &amp; VLOOKUP(M$1&amp;"_"&amp;$A11, Predicciones_Master!$A$4:$Q$2000, 8, FALSE), "N/A")</f>
        <v/>
      </c>
      <c r="N11" s="12">
        <f>IF($D11="Por Jugar", "", IFERROR(VLOOKUP(M$1&amp;"_"&amp;$A11, Predicciones_Master!$A$4:$Q$2000, 11, FALSE), 0))</f>
        <v/>
      </c>
      <c r="O11" s="8">
        <f>IFERROR(VLOOKUP(O$1&amp;"_"&amp;$A11, Predicciones_Master!$A$4:$Q$2000, 7, FALSE) &amp; " - " &amp; VLOOKUP(O$1&amp;"_"&amp;$A11, Predicciones_Master!$A$4:$Q$2000, 8, FALSE), "N/A")</f>
        <v/>
      </c>
      <c r="P11" s="12">
        <f>IF($D11="Por Jugar", "", IFERROR(VLOOKUP(O$1&amp;"_"&amp;$A11, Predicciones_Master!$A$4:$Q$2000, 11, FALSE), 0))</f>
        <v/>
      </c>
      <c r="Q11" s="8">
        <f>IFERROR(VLOOKUP(Q$1&amp;"_"&amp;$A11, Predicciones_Master!$A$4:$Q$2000, 7, FALSE) &amp; " - " &amp; VLOOKUP(Q$1&amp;"_"&amp;$A11, Predicciones_Master!$A$4:$Q$2000, 8, FALSE), "N/A")</f>
        <v/>
      </c>
      <c r="R11" s="12">
        <f>IF($D11="Por Jugar", "", IFERROR(VLOOKUP(Q$1&amp;"_"&amp;$A11, Predicciones_Master!$A$4:$Q$2000, 11, FALSE), 0))</f>
        <v/>
      </c>
      <c r="S11" s="8">
        <f>IFERROR(VLOOKUP(S$1&amp;"_"&amp;$A11, Predicciones_Master!$A$4:$Q$2000, 7, FALSE) &amp; " - " &amp; VLOOKUP(S$1&amp;"_"&amp;$A11, Predicciones_Master!$A$4:$Q$2000, 8, FALSE), "N/A")</f>
        <v/>
      </c>
      <c r="T11" s="12">
        <f>IF($D11="Por Jugar", "", IFERROR(VLOOKUP(S$1&amp;"_"&amp;$A11, Predicciones_Master!$A$4:$Q$2000, 11, FALSE), 0))</f>
        <v/>
      </c>
      <c r="U11" s="8">
        <f>IFERROR(VLOOKUP(U$1&amp;"_"&amp;$A11, Predicciones_Master!$A$4:$Q$2000, 7, FALSE) &amp; " - " &amp; VLOOKUP(U$1&amp;"_"&amp;$A11, Predicciones_Master!$A$4:$Q$2000, 8, FALSE), "N/A")</f>
        <v/>
      </c>
      <c r="V11" s="12">
        <f>IF($D11="Por Jugar", "", IFERROR(VLOOKUP(U$1&amp;"_"&amp;$A11, Predicciones_Master!$A$4:$Q$2000, 11, FALSE), 0))</f>
        <v/>
      </c>
      <c r="W11" s="8">
        <f>IFERROR(VLOOKUP(W$1&amp;"_"&amp;$A11, Predicciones_Master!$A$4:$Q$2000, 7, FALSE) &amp; " - " &amp; VLOOKUP(W$1&amp;"_"&amp;$A11, Predicciones_Master!$A$4:$Q$2000, 8, FALSE), "N/A")</f>
        <v/>
      </c>
      <c r="X11" s="12">
        <f>IF($D11="Por Jugar", "", IFERROR(VLOOKUP(W$1&amp;"_"&amp;$A11, Predicciones_Master!$A$4:$Q$2000, 11, FALSE), 0))</f>
        <v/>
      </c>
    </row>
    <row r="12" ht="20" customHeight="1">
      <c r="A12" s="8">
        <f>Resultados_Reales!A12</f>
        <v/>
      </c>
      <c r="B12" s="8">
        <f>Resultados_Reales!B12</f>
        <v/>
      </c>
      <c r="C12" s="9">
        <f>Resultados_Reales!C12 &amp; " vs " &amp; Resultados_Reales!D12</f>
        <v/>
      </c>
      <c r="D12" s="10">
        <f>IF(OR(Resultados_Reales!E12="", Resultados_Reales!F12=""), "Por Jugar", Resultados_Reales!E12 &amp; " - " &amp; Resultados_Reales!F12)</f>
        <v/>
      </c>
      <c r="E12" s="8">
        <f>IFERROR(VLOOKUP(E$1&amp;"_"&amp;$A12, Predicciones_Master!$A$4:$Q$2000, 7, FALSE) &amp; " - " &amp; VLOOKUP(E$1&amp;"_"&amp;$A12, Predicciones_Master!$A$4:$Q$2000, 8, FALSE), "N/A")</f>
        <v/>
      </c>
      <c r="F12" s="12">
        <f>IF($D12="Por Jugar", "", IFERROR(VLOOKUP(E$1&amp;"_"&amp;$A12, Predicciones_Master!$A$4:$Q$2000, 11, FALSE), 0))</f>
        <v/>
      </c>
      <c r="G12" s="8">
        <f>IFERROR(VLOOKUP(G$1&amp;"_"&amp;$A12, Predicciones_Master!$A$4:$Q$2000, 7, FALSE) &amp; " - " &amp; VLOOKUP(G$1&amp;"_"&amp;$A12, Predicciones_Master!$A$4:$Q$2000, 8, FALSE), "N/A")</f>
        <v/>
      </c>
      <c r="H12" s="12">
        <f>IF($D12="Por Jugar", "", IFERROR(VLOOKUP(G$1&amp;"_"&amp;$A12, Predicciones_Master!$A$4:$Q$2000, 11, FALSE), 0))</f>
        <v/>
      </c>
      <c r="I12" s="8">
        <f>IFERROR(VLOOKUP(I$1&amp;"_"&amp;$A12, Predicciones_Master!$A$4:$Q$2000, 7, FALSE) &amp; " - " &amp; VLOOKUP(I$1&amp;"_"&amp;$A12, Predicciones_Master!$A$4:$Q$2000, 8, FALSE), "N/A")</f>
        <v/>
      </c>
      <c r="J12" s="12">
        <f>IF($D12="Por Jugar", "", IFERROR(VLOOKUP(I$1&amp;"_"&amp;$A12, Predicciones_Master!$A$4:$Q$2000, 11, FALSE), 0))</f>
        <v/>
      </c>
      <c r="K12" s="8">
        <f>IFERROR(VLOOKUP(K$1&amp;"_"&amp;$A12, Predicciones_Master!$A$4:$Q$2000, 7, FALSE) &amp; " - " &amp; VLOOKUP(K$1&amp;"_"&amp;$A12, Predicciones_Master!$A$4:$Q$2000, 8, FALSE), "N/A")</f>
        <v/>
      </c>
      <c r="L12" s="12">
        <f>IF($D12="Por Jugar", "", IFERROR(VLOOKUP(K$1&amp;"_"&amp;$A12, Predicciones_Master!$A$4:$Q$2000, 11, FALSE), 0))</f>
        <v/>
      </c>
      <c r="M12" s="8">
        <f>IFERROR(VLOOKUP(M$1&amp;"_"&amp;$A12, Predicciones_Master!$A$4:$Q$2000, 7, FALSE) &amp; " - " &amp; VLOOKUP(M$1&amp;"_"&amp;$A12, Predicciones_Master!$A$4:$Q$2000, 8, FALSE), "N/A")</f>
        <v/>
      </c>
      <c r="N12" s="12">
        <f>IF($D12="Por Jugar", "", IFERROR(VLOOKUP(M$1&amp;"_"&amp;$A12, Predicciones_Master!$A$4:$Q$2000, 11, FALSE), 0))</f>
        <v/>
      </c>
      <c r="O12" s="8">
        <f>IFERROR(VLOOKUP(O$1&amp;"_"&amp;$A12, Predicciones_Master!$A$4:$Q$2000, 7, FALSE) &amp; " - " &amp; VLOOKUP(O$1&amp;"_"&amp;$A12, Predicciones_Master!$A$4:$Q$2000, 8, FALSE), "N/A")</f>
        <v/>
      </c>
      <c r="P12" s="12">
        <f>IF($D12="Por Jugar", "", IFERROR(VLOOKUP(O$1&amp;"_"&amp;$A12, Predicciones_Master!$A$4:$Q$2000, 11, FALSE), 0))</f>
        <v/>
      </c>
      <c r="Q12" s="8">
        <f>IFERROR(VLOOKUP(Q$1&amp;"_"&amp;$A12, Predicciones_Master!$A$4:$Q$2000, 7, FALSE) &amp; " - " &amp; VLOOKUP(Q$1&amp;"_"&amp;$A12, Predicciones_Master!$A$4:$Q$2000, 8, FALSE), "N/A")</f>
        <v/>
      </c>
      <c r="R12" s="12">
        <f>IF($D12="Por Jugar", "", IFERROR(VLOOKUP(Q$1&amp;"_"&amp;$A12, Predicciones_Master!$A$4:$Q$2000, 11, FALSE), 0))</f>
        <v/>
      </c>
      <c r="S12" s="8">
        <f>IFERROR(VLOOKUP(S$1&amp;"_"&amp;$A12, Predicciones_Master!$A$4:$Q$2000, 7, FALSE) &amp; " - " &amp; VLOOKUP(S$1&amp;"_"&amp;$A12, Predicciones_Master!$A$4:$Q$2000, 8, FALSE), "N/A")</f>
        <v/>
      </c>
      <c r="T12" s="12">
        <f>IF($D12="Por Jugar", "", IFERROR(VLOOKUP(S$1&amp;"_"&amp;$A12, Predicciones_Master!$A$4:$Q$2000, 11, FALSE), 0))</f>
        <v/>
      </c>
      <c r="U12" s="8">
        <f>IFERROR(VLOOKUP(U$1&amp;"_"&amp;$A12, Predicciones_Master!$A$4:$Q$2000, 7, FALSE) &amp; " - " &amp; VLOOKUP(U$1&amp;"_"&amp;$A12, Predicciones_Master!$A$4:$Q$2000, 8, FALSE), "N/A")</f>
        <v/>
      </c>
      <c r="V12" s="12">
        <f>IF($D12="Por Jugar", "", IFERROR(VLOOKUP(U$1&amp;"_"&amp;$A12, Predicciones_Master!$A$4:$Q$2000, 11, FALSE), 0))</f>
        <v/>
      </c>
      <c r="W12" s="8">
        <f>IFERROR(VLOOKUP(W$1&amp;"_"&amp;$A12, Predicciones_Master!$A$4:$Q$2000, 7, FALSE) &amp; " - " &amp; VLOOKUP(W$1&amp;"_"&amp;$A12, Predicciones_Master!$A$4:$Q$2000, 8, FALSE), "N/A")</f>
        <v/>
      </c>
      <c r="X12" s="12">
        <f>IF($D12="Por Jugar", "", IFERROR(VLOOKUP(W$1&amp;"_"&amp;$A12, Predicciones_Master!$A$4:$Q$2000, 11, FALSE), 0))</f>
        <v/>
      </c>
    </row>
    <row r="13" ht="20" customHeight="1">
      <c r="A13" s="8">
        <f>Resultados_Reales!A13</f>
        <v/>
      </c>
      <c r="B13" s="8">
        <f>Resultados_Reales!B13</f>
        <v/>
      </c>
      <c r="C13" s="9">
        <f>Resultados_Reales!C13 &amp; " vs " &amp; Resultados_Reales!D13</f>
        <v/>
      </c>
      <c r="D13" s="10">
        <f>IF(OR(Resultados_Reales!E13="", Resultados_Reales!F13=""), "Por Jugar", Resultados_Reales!E13 &amp; " - " &amp; Resultados_Reales!F13)</f>
        <v/>
      </c>
      <c r="E13" s="8">
        <f>IFERROR(VLOOKUP(E$1&amp;"_"&amp;$A13, Predicciones_Master!$A$4:$Q$2000, 7, FALSE) &amp; " - " &amp; VLOOKUP(E$1&amp;"_"&amp;$A13, Predicciones_Master!$A$4:$Q$2000, 8, FALSE), "N/A")</f>
        <v/>
      </c>
      <c r="F13" s="12">
        <f>IF($D13="Por Jugar", "", IFERROR(VLOOKUP(E$1&amp;"_"&amp;$A13, Predicciones_Master!$A$4:$Q$2000, 11, FALSE), 0))</f>
        <v/>
      </c>
      <c r="G13" s="8">
        <f>IFERROR(VLOOKUP(G$1&amp;"_"&amp;$A13, Predicciones_Master!$A$4:$Q$2000, 7, FALSE) &amp; " - " &amp; VLOOKUP(G$1&amp;"_"&amp;$A13, Predicciones_Master!$A$4:$Q$2000, 8, FALSE), "N/A")</f>
        <v/>
      </c>
      <c r="H13" s="12">
        <f>IF($D13="Por Jugar", "", IFERROR(VLOOKUP(G$1&amp;"_"&amp;$A13, Predicciones_Master!$A$4:$Q$2000, 11, FALSE), 0))</f>
        <v/>
      </c>
      <c r="I13" s="8">
        <f>IFERROR(VLOOKUP(I$1&amp;"_"&amp;$A13, Predicciones_Master!$A$4:$Q$2000, 7, FALSE) &amp; " - " &amp; VLOOKUP(I$1&amp;"_"&amp;$A13, Predicciones_Master!$A$4:$Q$2000, 8, FALSE), "N/A")</f>
        <v/>
      </c>
      <c r="J13" s="12">
        <f>IF($D13="Por Jugar", "", IFERROR(VLOOKUP(I$1&amp;"_"&amp;$A13, Predicciones_Master!$A$4:$Q$2000, 11, FALSE), 0))</f>
        <v/>
      </c>
      <c r="K13" s="8">
        <f>IFERROR(VLOOKUP(K$1&amp;"_"&amp;$A13, Predicciones_Master!$A$4:$Q$2000, 7, FALSE) &amp; " - " &amp; VLOOKUP(K$1&amp;"_"&amp;$A13, Predicciones_Master!$A$4:$Q$2000, 8, FALSE), "N/A")</f>
        <v/>
      </c>
      <c r="L13" s="12">
        <f>IF($D13="Por Jugar", "", IFERROR(VLOOKUP(K$1&amp;"_"&amp;$A13, Predicciones_Master!$A$4:$Q$2000, 11, FALSE), 0))</f>
        <v/>
      </c>
      <c r="M13" s="8">
        <f>IFERROR(VLOOKUP(M$1&amp;"_"&amp;$A13, Predicciones_Master!$A$4:$Q$2000, 7, FALSE) &amp; " - " &amp; VLOOKUP(M$1&amp;"_"&amp;$A13, Predicciones_Master!$A$4:$Q$2000, 8, FALSE), "N/A")</f>
        <v/>
      </c>
      <c r="N13" s="12">
        <f>IF($D13="Por Jugar", "", IFERROR(VLOOKUP(M$1&amp;"_"&amp;$A13, Predicciones_Master!$A$4:$Q$2000, 11, FALSE), 0))</f>
        <v/>
      </c>
      <c r="O13" s="8">
        <f>IFERROR(VLOOKUP(O$1&amp;"_"&amp;$A13, Predicciones_Master!$A$4:$Q$2000, 7, FALSE) &amp; " - " &amp; VLOOKUP(O$1&amp;"_"&amp;$A13, Predicciones_Master!$A$4:$Q$2000, 8, FALSE), "N/A")</f>
        <v/>
      </c>
      <c r="P13" s="12">
        <f>IF($D13="Por Jugar", "", IFERROR(VLOOKUP(O$1&amp;"_"&amp;$A13, Predicciones_Master!$A$4:$Q$2000, 11, FALSE), 0))</f>
        <v/>
      </c>
      <c r="Q13" s="8">
        <f>IFERROR(VLOOKUP(Q$1&amp;"_"&amp;$A13, Predicciones_Master!$A$4:$Q$2000, 7, FALSE) &amp; " - " &amp; VLOOKUP(Q$1&amp;"_"&amp;$A13, Predicciones_Master!$A$4:$Q$2000, 8, FALSE), "N/A")</f>
        <v/>
      </c>
      <c r="R13" s="12">
        <f>IF($D13="Por Jugar", "", IFERROR(VLOOKUP(Q$1&amp;"_"&amp;$A13, Predicciones_Master!$A$4:$Q$2000, 11, FALSE), 0))</f>
        <v/>
      </c>
      <c r="S13" s="8">
        <f>IFERROR(VLOOKUP(S$1&amp;"_"&amp;$A13, Predicciones_Master!$A$4:$Q$2000, 7, FALSE) &amp; " - " &amp; VLOOKUP(S$1&amp;"_"&amp;$A13, Predicciones_Master!$A$4:$Q$2000, 8, FALSE), "N/A")</f>
        <v/>
      </c>
      <c r="T13" s="12">
        <f>IF($D13="Por Jugar", "", IFERROR(VLOOKUP(S$1&amp;"_"&amp;$A13, Predicciones_Master!$A$4:$Q$2000, 11, FALSE), 0))</f>
        <v/>
      </c>
      <c r="U13" s="8">
        <f>IFERROR(VLOOKUP(U$1&amp;"_"&amp;$A13, Predicciones_Master!$A$4:$Q$2000, 7, FALSE) &amp; " - " &amp; VLOOKUP(U$1&amp;"_"&amp;$A13, Predicciones_Master!$A$4:$Q$2000, 8, FALSE), "N/A")</f>
        <v/>
      </c>
      <c r="V13" s="12">
        <f>IF($D13="Por Jugar", "", IFERROR(VLOOKUP(U$1&amp;"_"&amp;$A13, Predicciones_Master!$A$4:$Q$2000, 11, FALSE), 0))</f>
        <v/>
      </c>
      <c r="W13" s="8">
        <f>IFERROR(VLOOKUP(W$1&amp;"_"&amp;$A13, Predicciones_Master!$A$4:$Q$2000, 7, FALSE) &amp; " - " &amp; VLOOKUP(W$1&amp;"_"&amp;$A13, Predicciones_Master!$A$4:$Q$2000, 8, FALSE), "N/A")</f>
        <v/>
      </c>
      <c r="X13" s="12">
        <f>IF($D13="Por Jugar", "", IFERROR(VLOOKUP(W$1&amp;"_"&amp;$A13, Predicciones_Master!$A$4:$Q$2000, 11, FALSE), 0))</f>
        <v/>
      </c>
    </row>
    <row r="14" ht="20" customHeight="1">
      <c r="A14" s="8">
        <f>Resultados_Reales!A14</f>
        <v/>
      </c>
      <c r="B14" s="8">
        <f>Resultados_Reales!B14</f>
        <v/>
      </c>
      <c r="C14" s="9">
        <f>Resultados_Reales!C14 &amp; " vs " &amp; Resultados_Reales!D14</f>
        <v/>
      </c>
      <c r="D14" s="10">
        <f>IF(OR(Resultados_Reales!E14="", Resultados_Reales!F14=""), "Por Jugar", Resultados_Reales!E14 &amp; " - " &amp; Resultados_Reales!F14)</f>
        <v/>
      </c>
      <c r="E14" s="8">
        <f>IFERROR(VLOOKUP(E$1&amp;"_"&amp;$A14, Predicciones_Master!$A$4:$Q$2000, 7, FALSE) &amp; " - " &amp; VLOOKUP(E$1&amp;"_"&amp;$A14, Predicciones_Master!$A$4:$Q$2000, 8, FALSE), "N/A")</f>
        <v/>
      </c>
      <c r="F14" s="12">
        <f>IF($D14="Por Jugar", "", IFERROR(VLOOKUP(E$1&amp;"_"&amp;$A14, Predicciones_Master!$A$4:$Q$2000, 11, FALSE), 0))</f>
        <v/>
      </c>
      <c r="G14" s="8">
        <f>IFERROR(VLOOKUP(G$1&amp;"_"&amp;$A14, Predicciones_Master!$A$4:$Q$2000, 7, FALSE) &amp; " - " &amp; VLOOKUP(G$1&amp;"_"&amp;$A14, Predicciones_Master!$A$4:$Q$2000, 8, FALSE), "N/A")</f>
        <v/>
      </c>
      <c r="H14" s="12">
        <f>IF($D14="Por Jugar", "", IFERROR(VLOOKUP(G$1&amp;"_"&amp;$A14, Predicciones_Master!$A$4:$Q$2000, 11, FALSE), 0))</f>
        <v/>
      </c>
      <c r="I14" s="8">
        <f>IFERROR(VLOOKUP(I$1&amp;"_"&amp;$A14, Predicciones_Master!$A$4:$Q$2000, 7, FALSE) &amp; " - " &amp; VLOOKUP(I$1&amp;"_"&amp;$A14, Predicciones_Master!$A$4:$Q$2000, 8, FALSE), "N/A")</f>
        <v/>
      </c>
      <c r="J14" s="12">
        <f>IF($D14="Por Jugar", "", IFERROR(VLOOKUP(I$1&amp;"_"&amp;$A14, Predicciones_Master!$A$4:$Q$2000, 11, FALSE), 0))</f>
        <v/>
      </c>
      <c r="K14" s="8">
        <f>IFERROR(VLOOKUP(K$1&amp;"_"&amp;$A14, Predicciones_Master!$A$4:$Q$2000, 7, FALSE) &amp; " - " &amp; VLOOKUP(K$1&amp;"_"&amp;$A14, Predicciones_Master!$A$4:$Q$2000, 8, FALSE), "N/A")</f>
        <v/>
      </c>
      <c r="L14" s="12">
        <f>IF($D14="Por Jugar", "", IFERROR(VLOOKUP(K$1&amp;"_"&amp;$A14, Predicciones_Master!$A$4:$Q$2000, 11, FALSE), 0))</f>
        <v/>
      </c>
      <c r="M14" s="8">
        <f>IFERROR(VLOOKUP(M$1&amp;"_"&amp;$A14, Predicciones_Master!$A$4:$Q$2000, 7, FALSE) &amp; " - " &amp; VLOOKUP(M$1&amp;"_"&amp;$A14, Predicciones_Master!$A$4:$Q$2000, 8, FALSE), "N/A")</f>
        <v/>
      </c>
      <c r="N14" s="12">
        <f>IF($D14="Por Jugar", "", IFERROR(VLOOKUP(M$1&amp;"_"&amp;$A14, Predicciones_Master!$A$4:$Q$2000, 11, FALSE), 0))</f>
        <v/>
      </c>
      <c r="O14" s="8">
        <f>IFERROR(VLOOKUP(O$1&amp;"_"&amp;$A14, Predicciones_Master!$A$4:$Q$2000, 7, FALSE) &amp; " - " &amp; VLOOKUP(O$1&amp;"_"&amp;$A14, Predicciones_Master!$A$4:$Q$2000, 8, FALSE), "N/A")</f>
        <v/>
      </c>
      <c r="P14" s="12">
        <f>IF($D14="Por Jugar", "", IFERROR(VLOOKUP(O$1&amp;"_"&amp;$A14, Predicciones_Master!$A$4:$Q$2000, 11, FALSE), 0))</f>
        <v/>
      </c>
      <c r="Q14" s="8">
        <f>IFERROR(VLOOKUP(Q$1&amp;"_"&amp;$A14, Predicciones_Master!$A$4:$Q$2000, 7, FALSE) &amp; " - " &amp; VLOOKUP(Q$1&amp;"_"&amp;$A14, Predicciones_Master!$A$4:$Q$2000, 8, FALSE), "N/A")</f>
        <v/>
      </c>
      <c r="R14" s="12">
        <f>IF($D14="Por Jugar", "", IFERROR(VLOOKUP(Q$1&amp;"_"&amp;$A14, Predicciones_Master!$A$4:$Q$2000, 11, FALSE), 0))</f>
        <v/>
      </c>
      <c r="S14" s="8">
        <f>IFERROR(VLOOKUP(S$1&amp;"_"&amp;$A14, Predicciones_Master!$A$4:$Q$2000, 7, FALSE) &amp; " - " &amp; VLOOKUP(S$1&amp;"_"&amp;$A14, Predicciones_Master!$A$4:$Q$2000, 8, FALSE), "N/A")</f>
        <v/>
      </c>
      <c r="T14" s="12">
        <f>IF($D14="Por Jugar", "", IFERROR(VLOOKUP(S$1&amp;"_"&amp;$A14, Predicciones_Master!$A$4:$Q$2000, 11, FALSE), 0))</f>
        <v/>
      </c>
      <c r="U14" s="8">
        <f>IFERROR(VLOOKUP(U$1&amp;"_"&amp;$A14, Predicciones_Master!$A$4:$Q$2000, 7, FALSE) &amp; " - " &amp; VLOOKUP(U$1&amp;"_"&amp;$A14, Predicciones_Master!$A$4:$Q$2000, 8, FALSE), "N/A")</f>
        <v/>
      </c>
      <c r="V14" s="12">
        <f>IF($D14="Por Jugar", "", IFERROR(VLOOKUP(U$1&amp;"_"&amp;$A14, Predicciones_Master!$A$4:$Q$2000, 11, FALSE), 0))</f>
        <v/>
      </c>
      <c r="W14" s="8">
        <f>IFERROR(VLOOKUP(W$1&amp;"_"&amp;$A14, Predicciones_Master!$A$4:$Q$2000, 7, FALSE) &amp; " - " &amp; VLOOKUP(W$1&amp;"_"&amp;$A14, Predicciones_Master!$A$4:$Q$2000, 8, FALSE), "N/A")</f>
        <v/>
      </c>
      <c r="X14" s="12">
        <f>IF($D14="Por Jugar", "", IFERROR(VLOOKUP(W$1&amp;"_"&amp;$A14, Predicciones_Master!$A$4:$Q$2000, 11, FALSE), 0))</f>
        <v/>
      </c>
    </row>
    <row r="15" ht="20" customHeight="1">
      <c r="A15" s="8">
        <f>Resultados_Reales!A15</f>
        <v/>
      </c>
      <c r="B15" s="8">
        <f>Resultados_Reales!B15</f>
        <v/>
      </c>
      <c r="C15" s="9">
        <f>Resultados_Reales!C15 &amp; " vs " &amp; Resultados_Reales!D15</f>
        <v/>
      </c>
      <c r="D15" s="10">
        <f>IF(OR(Resultados_Reales!E15="", Resultados_Reales!F15=""), "Por Jugar", Resultados_Reales!E15 &amp; " - " &amp; Resultados_Reales!F15)</f>
        <v/>
      </c>
      <c r="E15" s="8">
        <f>IFERROR(VLOOKUP(E$1&amp;"_"&amp;$A15, Predicciones_Master!$A$4:$Q$2000, 7, FALSE) &amp; " - " &amp; VLOOKUP(E$1&amp;"_"&amp;$A15, Predicciones_Master!$A$4:$Q$2000, 8, FALSE), "N/A")</f>
        <v/>
      </c>
      <c r="F15" s="12">
        <f>IF($D15="Por Jugar", "", IFERROR(VLOOKUP(E$1&amp;"_"&amp;$A15, Predicciones_Master!$A$4:$Q$2000, 11, FALSE), 0))</f>
        <v/>
      </c>
      <c r="G15" s="8">
        <f>IFERROR(VLOOKUP(G$1&amp;"_"&amp;$A15, Predicciones_Master!$A$4:$Q$2000, 7, FALSE) &amp; " - " &amp; VLOOKUP(G$1&amp;"_"&amp;$A15, Predicciones_Master!$A$4:$Q$2000, 8, FALSE), "N/A")</f>
        <v/>
      </c>
      <c r="H15" s="12">
        <f>IF($D15="Por Jugar", "", IFERROR(VLOOKUP(G$1&amp;"_"&amp;$A15, Predicciones_Master!$A$4:$Q$2000, 11, FALSE), 0))</f>
        <v/>
      </c>
      <c r="I15" s="8">
        <f>IFERROR(VLOOKUP(I$1&amp;"_"&amp;$A15, Predicciones_Master!$A$4:$Q$2000, 7, FALSE) &amp; " - " &amp; VLOOKUP(I$1&amp;"_"&amp;$A15, Predicciones_Master!$A$4:$Q$2000, 8, FALSE), "N/A")</f>
        <v/>
      </c>
      <c r="J15" s="12">
        <f>IF($D15="Por Jugar", "", IFERROR(VLOOKUP(I$1&amp;"_"&amp;$A15, Predicciones_Master!$A$4:$Q$2000, 11, FALSE), 0))</f>
        <v/>
      </c>
      <c r="K15" s="8">
        <f>IFERROR(VLOOKUP(K$1&amp;"_"&amp;$A15, Predicciones_Master!$A$4:$Q$2000, 7, FALSE) &amp; " - " &amp; VLOOKUP(K$1&amp;"_"&amp;$A15, Predicciones_Master!$A$4:$Q$2000, 8, FALSE), "N/A")</f>
        <v/>
      </c>
      <c r="L15" s="12">
        <f>IF($D15="Por Jugar", "", IFERROR(VLOOKUP(K$1&amp;"_"&amp;$A15, Predicciones_Master!$A$4:$Q$2000, 11, FALSE), 0))</f>
        <v/>
      </c>
      <c r="M15" s="8">
        <f>IFERROR(VLOOKUP(M$1&amp;"_"&amp;$A15, Predicciones_Master!$A$4:$Q$2000, 7, FALSE) &amp; " - " &amp; VLOOKUP(M$1&amp;"_"&amp;$A15, Predicciones_Master!$A$4:$Q$2000, 8, FALSE), "N/A")</f>
        <v/>
      </c>
      <c r="N15" s="12">
        <f>IF($D15="Por Jugar", "", IFERROR(VLOOKUP(M$1&amp;"_"&amp;$A15, Predicciones_Master!$A$4:$Q$2000, 11, FALSE), 0))</f>
        <v/>
      </c>
      <c r="O15" s="8">
        <f>IFERROR(VLOOKUP(O$1&amp;"_"&amp;$A15, Predicciones_Master!$A$4:$Q$2000, 7, FALSE) &amp; " - " &amp; VLOOKUP(O$1&amp;"_"&amp;$A15, Predicciones_Master!$A$4:$Q$2000, 8, FALSE), "N/A")</f>
        <v/>
      </c>
      <c r="P15" s="12">
        <f>IF($D15="Por Jugar", "", IFERROR(VLOOKUP(O$1&amp;"_"&amp;$A15, Predicciones_Master!$A$4:$Q$2000, 11, FALSE), 0))</f>
        <v/>
      </c>
      <c r="Q15" s="8">
        <f>IFERROR(VLOOKUP(Q$1&amp;"_"&amp;$A15, Predicciones_Master!$A$4:$Q$2000, 7, FALSE) &amp; " - " &amp; VLOOKUP(Q$1&amp;"_"&amp;$A15, Predicciones_Master!$A$4:$Q$2000, 8, FALSE), "N/A")</f>
        <v/>
      </c>
      <c r="R15" s="12">
        <f>IF($D15="Por Jugar", "", IFERROR(VLOOKUP(Q$1&amp;"_"&amp;$A15, Predicciones_Master!$A$4:$Q$2000, 11, FALSE), 0))</f>
        <v/>
      </c>
      <c r="S15" s="8">
        <f>IFERROR(VLOOKUP(S$1&amp;"_"&amp;$A15, Predicciones_Master!$A$4:$Q$2000, 7, FALSE) &amp; " - " &amp; VLOOKUP(S$1&amp;"_"&amp;$A15, Predicciones_Master!$A$4:$Q$2000, 8, FALSE), "N/A")</f>
        <v/>
      </c>
      <c r="T15" s="12">
        <f>IF($D15="Por Jugar", "", IFERROR(VLOOKUP(S$1&amp;"_"&amp;$A15, Predicciones_Master!$A$4:$Q$2000, 11, FALSE), 0))</f>
        <v/>
      </c>
      <c r="U15" s="8">
        <f>IFERROR(VLOOKUP(U$1&amp;"_"&amp;$A15, Predicciones_Master!$A$4:$Q$2000, 7, FALSE) &amp; " - " &amp; VLOOKUP(U$1&amp;"_"&amp;$A15, Predicciones_Master!$A$4:$Q$2000, 8, FALSE), "N/A")</f>
        <v/>
      </c>
      <c r="V15" s="12">
        <f>IF($D15="Por Jugar", "", IFERROR(VLOOKUP(U$1&amp;"_"&amp;$A15, Predicciones_Master!$A$4:$Q$2000, 11, FALSE), 0))</f>
        <v/>
      </c>
      <c r="W15" s="8">
        <f>IFERROR(VLOOKUP(W$1&amp;"_"&amp;$A15, Predicciones_Master!$A$4:$Q$2000, 7, FALSE) &amp; " - " &amp; VLOOKUP(W$1&amp;"_"&amp;$A15, Predicciones_Master!$A$4:$Q$2000, 8, FALSE), "N/A")</f>
        <v/>
      </c>
      <c r="X15" s="12">
        <f>IF($D15="Por Jugar", "", IFERROR(VLOOKUP(W$1&amp;"_"&amp;$A15, Predicciones_Master!$A$4:$Q$2000, 11, FALSE), 0))</f>
        <v/>
      </c>
    </row>
    <row r="16" ht="20" customHeight="1">
      <c r="A16" s="8">
        <f>Resultados_Reales!A16</f>
        <v/>
      </c>
      <c r="B16" s="8">
        <f>Resultados_Reales!B16</f>
        <v/>
      </c>
      <c r="C16" s="9">
        <f>Resultados_Reales!C16 &amp; " vs " &amp; Resultados_Reales!D16</f>
        <v/>
      </c>
      <c r="D16" s="10">
        <f>IF(OR(Resultados_Reales!E16="", Resultados_Reales!F16=""), "Por Jugar", Resultados_Reales!E16 &amp; " - " &amp; Resultados_Reales!F16)</f>
        <v/>
      </c>
      <c r="E16" s="8">
        <f>IFERROR(VLOOKUP(E$1&amp;"_"&amp;$A16, Predicciones_Master!$A$4:$Q$2000, 7, FALSE) &amp; " - " &amp; VLOOKUP(E$1&amp;"_"&amp;$A16, Predicciones_Master!$A$4:$Q$2000, 8, FALSE), "N/A")</f>
        <v/>
      </c>
      <c r="F16" s="12">
        <f>IF($D16="Por Jugar", "", IFERROR(VLOOKUP(E$1&amp;"_"&amp;$A16, Predicciones_Master!$A$4:$Q$2000, 11, FALSE), 0))</f>
        <v/>
      </c>
      <c r="G16" s="8">
        <f>IFERROR(VLOOKUP(G$1&amp;"_"&amp;$A16, Predicciones_Master!$A$4:$Q$2000, 7, FALSE) &amp; " - " &amp; VLOOKUP(G$1&amp;"_"&amp;$A16, Predicciones_Master!$A$4:$Q$2000, 8, FALSE), "N/A")</f>
        <v/>
      </c>
      <c r="H16" s="12">
        <f>IF($D16="Por Jugar", "", IFERROR(VLOOKUP(G$1&amp;"_"&amp;$A16, Predicciones_Master!$A$4:$Q$2000, 11, FALSE), 0))</f>
        <v/>
      </c>
      <c r="I16" s="8">
        <f>IFERROR(VLOOKUP(I$1&amp;"_"&amp;$A16, Predicciones_Master!$A$4:$Q$2000, 7, FALSE) &amp; " - " &amp; VLOOKUP(I$1&amp;"_"&amp;$A16, Predicciones_Master!$A$4:$Q$2000, 8, FALSE), "N/A")</f>
        <v/>
      </c>
      <c r="J16" s="12">
        <f>IF($D16="Por Jugar", "", IFERROR(VLOOKUP(I$1&amp;"_"&amp;$A16, Predicciones_Master!$A$4:$Q$2000, 11, FALSE), 0))</f>
        <v/>
      </c>
      <c r="K16" s="8">
        <f>IFERROR(VLOOKUP(K$1&amp;"_"&amp;$A16, Predicciones_Master!$A$4:$Q$2000, 7, FALSE) &amp; " - " &amp; VLOOKUP(K$1&amp;"_"&amp;$A16, Predicciones_Master!$A$4:$Q$2000, 8, FALSE), "N/A")</f>
        <v/>
      </c>
      <c r="L16" s="12">
        <f>IF($D16="Por Jugar", "", IFERROR(VLOOKUP(K$1&amp;"_"&amp;$A16, Predicciones_Master!$A$4:$Q$2000, 11, FALSE), 0))</f>
        <v/>
      </c>
      <c r="M16" s="8">
        <f>IFERROR(VLOOKUP(M$1&amp;"_"&amp;$A16, Predicciones_Master!$A$4:$Q$2000, 7, FALSE) &amp; " - " &amp; VLOOKUP(M$1&amp;"_"&amp;$A16, Predicciones_Master!$A$4:$Q$2000, 8, FALSE), "N/A")</f>
        <v/>
      </c>
      <c r="N16" s="12">
        <f>IF($D16="Por Jugar", "", IFERROR(VLOOKUP(M$1&amp;"_"&amp;$A16, Predicciones_Master!$A$4:$Q$2000, 11, FALSE), 0))</f>
        <v/>
      </c>
      <c r="O16" s="8">
        <f>IFERROR(VLOOKUP(O$1&amp;"_"&amp;$A16, Predicciones_Master!$A$4:$Q$2000, 7, FALSE) &amp; " - " &amp; VLOOKUP(O$1&amp;"_"&amp;$A16, Predicciones_Master!$A$4:$Q$2000, 8, FALSE), "N/A")</f>
        <v/>
      </c>
      <c r="P16" s="12">
        <f>IF($D16="Por Jugar", "", IFERROR(VLOOKUP(O$1&amp;"_"&amp;$A16, Predicciones_Master!$A$4:$Q$2000, 11, FALSE), 0))</f>
        <v/>
      </c>
      <c r="Q16" s="8">
        <f>IFERROR(VLOOKUP(Q$1&amp;"_"&amp;$A16, Predicciones_Master!$A$4:$Q$2000, 7, FALSE) &amp; " - " &amp; VLOOKUP(Q$1&amp;"_"&amp;$A16, Predicciones_Master!$A$4:$Q$2000, 8, FALSE), "N/A")</f>
        <v/>
      </c>
      <c r="R16" s="12">
        <f>IF($D16="Por Jugar", "", IFERROR(VLOOKUP(Q$1&amp;"_"&amp;$A16, Predicciones_Master!$A$4:$Q$2000, 11, FALSE), 0))</f>
        <v/>
      </c>
      <c r="S16" s="8">
        <f>IFERROR(VLOOKUP(S$1&amp;"_"&amp;$A16, Predicciones_Master!$A$4:$Q$2000, 7, FALSE) &amp; " - " &amp; VLOOKUP(S$1&amp;"_"&amp;$A16, Predicciones_Master!$A$4:$Q$2000, 8, FALSE), "N/A")</f>
        <v/>
      </c>
      <c r="T16" s="12">
        <f>IF($D16="Por Jugar", "", IFERROR(VLOOKUP(S$1&amp;"_"&amp;$A16, Predicciones_Master!$A$4:$Q$2000, 11, FALSE), 0))</f>
        <v/>
      </c>
      <c r="U16" s="8">
        <f>IFERROR(VLOOKUP(U$1&amp;"_"&amp;$A16, Predicciones_Master!$A$4:$Q$2000, 7, FALSE) &amp; " - " &amp; VLOOKUP(U$1&amp;"_"&amp;$A16, Predicciones_Master!$A$4:$Q$2000, 8, FALSE), "N/A")</f>
        <v/>
      </c>
      <c r="V16" s="12">
        <f>IF($D16="Por Jugar", "", IFERROR(VLOOKUP(U$1&amp;"_"&amp;$A16, Predicciones_Master!$A$4:$Q$2000, 11, FALSE), 0))</f>
        <v/>
      </c>
      <c r="W16" s="8">
        <f>IFERROR(VLOOKUP(W$1&amp;"_"&amp;$A16, Predicciones_Master!$A$4:$Q$2000, 7, FALSE) &amp; " - " &amp; VLOOKUP(W$1&amp;"_"&amp;$A16, Predicciones_Master!$A$4:$Q$2000, 8, FALSE), "N/A")</f>
        <v/>
      </c>
      <c r="X16" s="12">
        <f>IF($D16="Por Jugar", "", IFERROR(VLOOKUP(W$1&amp;"_"&amp;$A16, Predicciones_Master!$A$4:$Q$2000, 11, FALSE), 0))</f>
        <v/>
      </c>
    </row>
    <row r="17" ht="20" customHeight="1">
      <c r="A17" s="8">
        <f>Resultados_Reales!A17</f>
        <v/>
      </c>
      <c r="B17" s="8">
        <f>Resultados_Reales!B17</f>
        <v/>
      </c>
      <c r="C17" s="9">
        <f>Resultados_Reales!C17 &amp; " vs " &amp; Resultados_Reales!D17</f>
        <v/>
      </c>
      <c r="D17" s="10">
        <f>IF(OR(Resultados_Reales!E17="", Resultados_Reales!F17=""), "Por Jugar", Resultados_Reales!E17 &amp; " - " &amp; Resultados_Reales!F17)</f>
        <v/>
      </c>
      <c r="E17" s="8">
        <f>IFERROR(VLOOKUP(E$1&amp;"_"&amp;$A17, Predicciones_Master!$A$4:$Q$2000, 7, FALSE) &amp; " - " &amp; VLOOKUP(E$1&amp;"_"&amp;$A17, Predicciones_Master!$A$4:$Q$2000, 8, FALSE), "N/A")</f>
        <v/>
      </c>
      <c r="F17" s="12">
        <f>IF($D17="Por Jugar", "", IFERROR(VLOOKUP(E$1&amp;"_"&amp;$A17, Predicciones_Master!$A$4:$Q$2000, 11, FALSE), 0))</f>
        <v/>
      </c>
      <c r="G17" s="8">
        <f>IFERROR(VLOOKUP(G$1&amp;"_"&amp;$A17, Predicciones_Master!$A$4:$Q$2000, 7, FALSE) &amp; " - " &amp; VLOOKUP(G$1&amp;"_"&amp;$A17, Predicciones_Master!$A$4:$Q$2000, 8, FALSE), "N/A")</f>
        <v/>
      </c>
      <c r="H17" s="12">
        <f>IF($D17="Por Jugar", "", IFERROR(VLOOKUP(G$1&amp;"_"&amp;$A17, Predicciones_Master!$A$4:$Q$2000, 11, FALSE), 0))</f>
        <v/>
      </c>
      <c r="I17" s="8">
        <f>IFERROR(VLOOKUP(I$1&amp;"_"&amp;$A17, Predicciones_Master!$A$4:$Q$2000, 7, FALSE) &amp; " - " &amp; VLOOKUP(I$1&amp;"_"&amp;$A17, Predicciones_Master!$A$4:$Q$2000, 8, FALSE), "N/A")</f>
        <v/>
      </c>
      <c r="J17" s="12">
        <f>IF($D17="Por Jugar", "", IFERROR(VLOOKUP(I$1&amp;"_"&amp;$A17, Predicciones_Master!$A$4:$Q$2000, 11, FALSE), 0))</f>
        <v/>
      </c>
      <c r="K17" s="8">
        <f>IFERROR(VLOOKUP(K$1&amp;"_"&amp;$A17, Predicciones_Master!$A$4:$Q$2000, 7, FALSE) &amp; " - " &amp; VLOOKUP(K$1&amp;"_"&amp;$A17, Predicciones_Master!$A$4:$Q$2000, 8, FALSE), "N/A")</f>
        <v/>
      </c>
      <c r="L17" s="12">
        <f>IF($D17="Por Jugar", "", IFERROR(VLOOKUP(K$1&amp;"_"&amp;$A17, Predicciones_Master!$A$4:$Q$2000, 11, FALSE), 0))</f>
        <v/>
      </c>
      <c r="M17" s="8">
        <f>IFERROR(VLOOKUP(M$1&amp;"_"&amp;$A17, Predicciones_Master!$A$4:$Q$2000, 7, FALSE) &amp; " - " &amp; VLOOKUP(M$1&amp;"_"&amp;$A17, Predicciones_Master!$A$4:$Q$2000, 8, FALSE), "N/A")</f>
        <v/>
      </c>
      <c r="N17" s="12">
        <f>IF($D17="Por Jugar", "", IFERROR(VLOOKUP(M$1&amp;"_"&amp;$A17, Predicciones_Master!$A$4:$Q$2000, 11, FALSE), 0))</f>
        <v/>
      </c>
      <c r="O17" s="8">
        <f>IFERROR(VLOOKUP(O$1&amp;"_"&amp;$A17, Predicciones_Master!$A$4:$Q$2000, 7, FALSE) &amp; " - " &amp; VLOOKUP(O$1&amp;"_"&amp;$A17, Predicciones_Master!$A$4:$Q$2000, 8, FALSE), "N/A")</f>
        <v/>
      </c>
      <c r="P17" s="12">
        <f>IF($D17="Por Jugar", "", IFERROR(VLOOKUP(O$1&amp;"_"&amp;$A17, Predicciones_Master!$A$4:$Q$2000, 11, FALSE), 0))</f>
        <v/>
      </c>
      <c r="Q17" s="8">
        <f>IFERROR(VLOOKUP(Q$1&amp;"_"&amp;$A17, Predicciones_Master!$A$4:$Q$2000, 7, FALSE) &amp; " - " &amp; VLOOKUP(Q$1&amp;"_"&amp;$A17, Predicciones_Master!$A$4:$Q$2000, 8, FALSE), "N/A")</f>
        <v/>
      </c>
      <c r="R17" s="12">
        <f>IF($D17="Por Jugar", "", IFERROR(VLOOKUP(Q$1&amp;"_"&amp;$A17, Predicciones_Master!$A$4:$Q$2000, 11, FALSE), 0))</f>
        <v/>
      </c>
      <c r="S17" s="8">
        <f>IFERROR(VLOOKUP(S$1&amp;"_"&amp;$A17, Predicciones_Master!$A$4:$Q$2000, 7, FALSE) &amp; " - " &amp; VLOOKUP(S$1&amp;"_"&amp;$A17, Predicciones_Master!$A$4:$Q$2000, 8, FALSE), "N/A")</f>
        <v/>
      </c>
      <c r="T17" s="12">
        <f>IF($D17="Por Jugar", "", IFERROR(VLOOKUP(S$1&amp;"_"&amp;$A17, Predicciones_Master!$A$4:$Q$2000, 11, FALSE), 0))</f>
        <v/>
      </c>
      <c r="U17" s="8">
        <f>IFERROR(VLOOKUP(U$1&amp;"_"&amp;$A17, Predicciones_Master!$A$4:$Q$2000, 7, FALSE) &amp; " - " &amp; VLOOKUP(U$1&amp;"_"&amp;$A17, Predicciones_Master!$A$4:$Q$2000, 8, FALSE), "N/A")</f>
        <v/>
      </c>
      <c r="V17" s="12">
        <f>IF($D17="Por Jugar", "", IFERROR(VLOOKUP(U$1&amp;"_"&amp;$A17, Predicciones_Master!$A$4:$Q$2000, 11, FALSE), 0))</f>
        <v/>
      </c>
      <c r="W17" s="8">
        <f>IFERROR(VLOOKUP(W$1&amp;"_"&amp;$A17, Predicciones_Master!$A$4:$Q$2000, 7, FALSE) &amp; " - " &amp; VLOOKUP(W$1&amp;"_"&amp;$A17, Predicciones_Master!$A$4:$Q$2000, 8, FALSE), "N/A")</f>
        <v/>
      </c>
      <c r="X17" s="12">
        <f>IF($D17="Por Jugar", "", IFERROR(VLOOKUP(W$1&amp;"_"&amp;$A17, Predicciones_Master!$A$4:$Q$2000, 11, FALSE), 0))</f>
        <v/>
      </c>
    </row>
    <row r="18" ht="20" customHeight="1">
      <c r="A18" s="8">
        <f>Resultados_Reales!A18</f>
        <v/>
      </c>
      <c r="B18" s="8">
        <f>Resultados_Reales!B18</f>
        <v/>
      </c>
      <c r="C18" s="9">
        <f>Resultados_Reales!C18 &amp; " vs " &amp; Resultados_Reales!D18</f>
        <v/>
      </c>
      <c r="D18" s="10">
        <f>IF(OR(Resultados_Reales!E18="", Resultados_Reales!F18=""), "Por Jugar", Resultados_Reales!E18 &amp; " - " &amp; Resultados_Reales!F18)</f>
        <v/>
      </c>
      <c r="E18" s="8">
        <f>IFERROR(VLOOKUP(E$1&amp;"_"&amp;$A18, Predicciones_Master!$A$4:$Q$2000, 7, FALSE) &amp; " - " &amp; VLOOKUP(E$1&amp;"_"&amp;$A18, Predicciones_Master!$A$4:$Q$2000, 8, FALSE), "N/A")</f>
        <v/>
      </c>
      <c r="F18" s="12">
        <f>IF($D18="Por Jugar", "", IFERROR(VLOOKUP(E$1&amp;"_"&amp;$A18, Predicciones_Master!$A$4:$Q$2000, 11, FALSE), 0))</f>
        <v/>
      </c>
      <c r="G18" s="8">
        <f>IFERROR(VLOOKUP(G$1&amp;"_"&amp;$A18, Predicciones_Master!$A$4:$Q$2000, 7, FALSE) &amp; " - " &amp; VLOOKUP(G$1&amp;"_"&amp;$A18, Predicciones_Master!$A$4:$Q$2000, 8, FALSE), "N/A")</f>
        <v/>
      </c>
      <c r="H18" s="12">
        <f>IF($D18="Por Jugar", "", IFERROR(VLOOKUP(G$1&amp;"_"&amp;$A18, Predicciones_Master!$A$4:$Q$2000, 11, FALSE), 0))</f>
        <v/>
      </c>
      <c r="I18" s="8">
        <f>IFERROR(VLOOKUP(I$1&amp;"_"&amp;$A18, Predicciones_Master!$A$4:$Q$2000, 7, FALSE) &amp; " - " &amp; VLOOKUP(I$1&amp;"_"&amp;$A18, Predicciones_Master!$A$4:$Q$2000, 8, FALSE), "N/A")</f>
        <v/>
      </c>
      <c r="J18" s="12">
        <f>IF($D18="Por Jugar", "", IFERROR(VLOOKUP(I$1&amp;"_"&amp;$A18, Predicciones_Master!$A$4:$Q$2000, 11, FALSE), 0))</f>
        <v/>
      </c>
      <c r="K18" s="8">
        <f>IFERROR(VLOOKUP(K$1&amp;"_"&amp;$A18, Predicciones_Master!$A$4:$Q$2000, 7, FALSE) &amp; " - " &amp; VLOOKUP(K$1&amp;"_"&amp;$A18, Predicciones_Master!$A$4:$Q$2000, 8, FALSE), "N/A")</f>
        <v/>
      </c>
      <c r="L18" s="12">
        <f>IF($D18="Por Jugar", "", IFERROR(VLOOKUP(K$1&amp;"_"&amp;$A18, Predicciones_Master!$A$4:$Q$2000, 11, FALSE), 0))</f>
        <v/>
      </c>
      <c r="M18" s="8">
        <f>IFERROR(VLOOKUP(M$1&amp;"_"&amp;$A18, Predicciones_Master!$A$4:$Q$2000, 7, FALSE) &amp; " - " &amp; VLOOKUP(M$1&amp;"_"&amp;$A18, Predicciones_Master!$A$4:$Q$2000, 8, FALSE), "N/A")</f>
        <v/>
      </c>
      <c r="N18" s="12">
        <f>IF($D18="Por Jugar", "", IFERROR(VLOOKUP(M$1&amp;"_"&amp;$A18, Predicciones_Master!$A$4:$Q$2000, 11, FALSE), 0))</f>
        <v/>
      </c>
      <c r="O18" s="8">
        <f>IFERROR(VLOOKUP(O$1&amp;"_"&amp;$A18, Predicciones_Master!$A$4:$Q$2000, 7, FALSE) &amp; " - " &amp; VLOOKUP(O$1&amp;"_"&amp;$A18, Predicciones_Master!$A$4:$Q$2000, 8, FALSE), "N/A")</f>
        <v/>
      </c>
      <c r="P18" s="12">
        <f>IF($D18="Por Jugar", "", IFERROR(VLOOKUP(O$1&amp;"_"&amp;$A18, Predicciones_Master!$A$4:$Q$2000, 11, FALSE), 0))</f>
        <v/>
      </c>
      <c r="Q18" s="8">
        <f>IFERROR(VLOOKUP(Q$1&amp;"_"&amp;$A18, Predicciones_Master!$A$4:$Q$2000, 7, FALSE) &amp; " - " &amp; VLOOKUP(Q$1&amp;"_"&amp;$A18, Predicciones_Master!$A$4:$Q$2000, 8, FALSE), "N/A")</f>
        <v/>
      </c>
      <c r="R18" s="12">
        <f>IF($D18="Por Jugar", "", IFERROR(VLOOKUP(Q$1&amp;"_"&amp;$A18, Predicciones_Master!$A$4:$Q$2000, 11, FALSE), 0))</f>
        <v/>
      </c>
      <c r="S18" s="8">
        <f>IFERROR(VLOOKUP(S$1&amp;"_"&amp;$A18, Predicciones_Master!$A$4:$Q$2000, 7, FALSE) &amp; " - " &amp; VLOOKUP(S$1&amp;"_"&amp;$A18, Predicciones_Master!$A$4:$Q$2000, 8, FALSE), "N/A")</f>
        <v/>
      </c>
      <c r="T18" s="12">
        <f>IF($D18="Por Jugar", "", IFERROR(VLOOKUP(S$1&amp;"_"&amp;$A18, Predicciones_Master!$A$4:$Q$2000, 11, FALSE), 0))</f>
        <v/>
      </c>
      <c r="U18" s="8">
        <f>IFERROR(VLOOKUP(U$1&amp;"_"&amp;$A18, Predicciones_Master!$A$4:$Q$2000, 7, FALSE) &amp; " - " &amp; VLOOKUP(U$1&amp;"_"&amp;$A18, Predicciones_Master!$A$4:$Q$2000, 8, FALSE), "N/A")</f>
        <v/>
      </c>
      <c r="V18" s="12">
        <f>IF($D18="Por Jugar", "", IFERROR(VLOOKUP(U$1&amp;"_"&amp;$A18, Predicciones_Master!$A$4:$Q$2000, 11, FALSE), 0))</f>
        <v/>
      </c>
      <c r="W18" s="8">
        <f>IFERROR(VLOOKUP(W$1&amp;"_"&amp;$A18, Predicciones_Master!$A$4:$Q$2000, 7, FALSE) &amp; " - " &amp; VLOOKUP(W$1&amp;"_"&amp;$A18, Predicciones_Master!$A$4:$Q$2000, 8, FALSE), "N/A")</f>
        <v/>
      </c>
      <c r="X18" s="12">
        <f>IF($D18="Por Jugar", "", IFERROR(VLOOKUP(W$1&amp;"_"&amp;$A18, Predicciones_Master!$A$4:$Q$2000, 11, FALSE), 0))</f>
        <v/>
      </c>
    </row>
    <row r="19" ht="20" customHeight="1">
      <c r="A19" s="8">
        <f>Resultados_Reales!A19</f>
        <v/>
      </c>
      <c r="B19" s="8">
        <f>Resultados_Reales!B19</f>
        <v/>
      </c>
      <c r="C19" s="9">
        <f>Resultados_Reales!C19 &amp; " vs " &amp; Resultados_Reales!D19</f>
        <v/>
      </c>
      <c r="D19" s="10">
        <f>IF(OR(Resultados_Reales!E19="", Resultados_Reales!F19=""), "Por Jugar", Resultados_Reales!E19 &amp; " - " &amp; Resultados_Reales!F19)</f>
        <v/>
      </c>
      <c r="E19" s="8">
        <f>IFERROR(VLOOKUP(E$1&amp;"_"&amp;$A19, Predicciones_Master!$A$4:$Q$2000, 7, FALSE) &amp; " - " &amp; VLOOKUP(E$1&amp;"_"&amp;$A19, Predicciones_Master!$A$4:$Q$2000, 8, FALSE), "N/A")</f>
        <v/>
      </c>
      <c r="F19" s="12">
        <f>IF($D19="Por Jugar", "", IFERROR(VLOOKUP(E$1&amp;"_"&amp;$A19, Predicciones_Master!$A$4:$Q$2000, 11, FALSE), 0))</f>
        <v/>
      </c>
      <c r="G19" s="8">
        <f>IFERROR(VLOOKUP(G$1&amp;"_"&amp;$A19, Predicciones_Master!$A$4:$Q$2000, 7, FALSE) &amp; " - " &amp; VLOOKUP(G$1&amp;"_"&amp;$A19, Predicciones_Master!$A$4:$Q$2000, 8, FALSE), "N/A")</f>
        <v/>
      </c>
      <c r="H19" s="12">
        <f>IF($D19="Por Jugar", "", IFERROR(VLOOKUP(G$1&amp;"_"&amp;$A19, Predicciones_Master!$A$4:$Q$2000, 11, FALSE), 0))</f>
        <v/>
      </c>
      <c r="I19" s="8">
        <f>IFERROR(VLOOKUP(I$1&amp;"_"&amp;$A19, Predicciones_Master!$A$4:$Q$2000, 7, FALSE) &amp; " - " &amp; VLOOKUP(I$1&amp;"_"&amp;$A19, Predicciones_Master!$A$4:$Q$2000, 8, FALSE), "N/A")</f>
        <v/>
      </c>
      <c r="J19" s="12">
        <f>IF($D19="Por Jugar", "", IFERROR(VLOOKUP(I$1&amp;"_"&amp;$A19, Predicciones_Master!$A$4:$Q$2000, 11, FALSE), 0))</f>
        <v/>
      </c>
      <c r="K19" s="8">
        <f>IFERROR(VLOOKUP(K$1&amp;"_"&amp;$A19, Predicciones_Master!$A$4:$Q$2000, 7, FALSE) &amp; " - " &amp; VLOOKUP(K$1&amp;"_"&amp;$A19, Predicciones_Master!$A$4:$Q$2000, 8, FALSE), "N/A")</f>
        <v/>
      </c>
      <c r="L19" s="12">
        <f>IF($D19="Por Jugar", "", IFERROR(VLOOKUP(K$1&amp;"_"&amp;$A19, Predicciones_Master!$A$4:$Q$2000, 11, FALSE), 0))</f>
        <v/>
      </c>
      <c r="M19" s="8">
        <f>IFERROR(VLOOKUP(M$1&amp;"_"&amp;$A19, Predicciones_Master!$A$4:$Q$2000, 7, FALSE) &amp; " - " &amp; VLOOKUP(M$1&amp;"_"&amp;$A19, Predicciones_Master!$A$4:$Q$2000, 8, FALSE), "N/A")</f>
        <v/>
      </c>
      <c r="N19" s="12">
        <f>IF($D19="Por Jugar", "", IFERROR(VLOOKUP(M$1&amp;"_"&amp;$A19, Predicciones_Master!$A$4:$Q$2000, 11, FALSE), 0))</f>
        <v/>
      </c>
      <c r="O19" s="8">
        <f>IFERROR(VLOOKUP(O$1&amp;"_"&amp;$A19, Predicciones_Master!$A$4:$Q$2000, 7, FALSE) &amp; " - " &amp; VLOOKUP(O$1&amp;"_"&amp;$A19, Predicciones_Master!$A$4:$Q$2000, 8, FALSE), "N/A")</f>
        <v/>
      </c>
      <c r="P19" s="12">
        <f>IF($D19="Por Jugar", "", IFERROR(VLOOKUP(O$1&amp;"_"&amp;$A19, Predicciones_Master!$A$4:$Q$2000, 11, FALSE), 0))</f>
        <v/>
      </c>
      <c r="Q19" s="8">
        <f>IFERROR(VLOOKUP(Q$1&amp;"_"&amp;$A19, Predicciones_Master!$A$4:$Q$2000, 7, FALSE) &amp; " - " &amp; VLOOKUP(Q$1&amp;"_"&amp;$A19, Predicciones_Master!$A$4:$Q$2000, 8, FALSE), "N/A")</f>
        <v/>
      </c>
      <c r="R19" s="12">
        <f>IF($D19="Por Jugar", "", IFERROR(VLOOKUP(Q$1&amp;"_"&amp;$A19, Predicciones_Master!$A$4:$Q$2000, 11, FALSE), 0))</f>
        <v/>
      </c>
      <c r="S19" s="8">
        <f>IFERROR(VLOOKUP(S$1&amp;"_"&amp;$A19, Predicciones_Master!$A$4:$Q$2000, 7, FALSE) &amp; " - " &amp; VLOOKUP(S$1&amp;"_"&amp;$A19, Predicciones_Master!$A$4:$Q$2000, 8, FALSE), "N/A")</f>
        <v/>
      </c>
      <c r="T19" s="12">
        <f>IF($D19="Por Jugar", "", IFERROR(VLOOKUP(S$1&amp;"_"&amp;$A19, Predicciones_Master!$A$4:$Q$2000, 11, FALSE), 0))</f>
        <v/>
      </c>
      <c r="U19" s="8">
        <f>IFERROR(VLOOKUP(U$1&amp;"_"&amp;$A19, Predicciones_Master!$A$4:$Q$2000, 7, FALSE) &amp; " - " &amp; VLOOKUP(U$1&amp;"_"&amp;$A19, Predicciones_Master!$A$4:$Q$2000, 8, FALSE), "N/A")</f>
        <v/>
      </c>
      <c r="V19" s="12">
        <f>IF($D19="Por Jugar", "", IFERROR(VLOOKUP(U$1&amp;"_"&amp;$A19, Predicciones_Master!$A$4:$Q$2000, 11, FALSE), 0))</f>
        <v/>
      </c>
      <c r="W19" s="8">
        <f>IFERROR(VLOOKUP(W$1&amp;"_"&amp;$A19, Predicciones_Master!$A$4:$Q$2000, 7, FALSE) &amp; " - " &amp; VLOOKUP(W$1&amp;"_"&amp;$A19, Predicciones_Master!$A$4:$Q$2000, 8, FALSE), "N/A")</f>
        <v/>
      </c>
      <c r="X19" s="12">
        <f>IF($D19="Por Jugar", "", IFERROR(VLOOKUP(W$1&amp;"_"&amp;$A19, Predicciones_Master!$A$4:$Q$2000, 11, FALSE), 0))</f>
        <v/>
      </c>
    </row>
    <row r="20" ht="20" customHeight="1">
      <c r="A20" s="8">
        <f>Resultados_Reales!A20</f>
        <v/>
      </c>
      <c r="B20" s="8">
        <f>Resultados_Reales!B20</f>
        <v/>
      </c>
      <c r="C20" s="9">
        <f>Resultados_Reales!C20 &amp; " vs " &amp; Resultados_Reales!D20</f>
        <v/>
      </c>
      <c r="D20" s="10">
        <f>IF(OR(Resultados_Reales!E20="", Resultados_Reales!F20=""), "Por Jugar", Resultados_Reales!E20 &amp; " - " &amp; Resultados_Reales!F20)</f>
        <v/>
      </c>
      <c r="E20" s="8">
        <f>IFERROR(VLOOKUP(E$1&amp;"_"&amp;$A20, Predicciones_Master!$A$4:$Q$2000, 7, FALSE) &amp; " - " &amp; VLOOKUP(E$1&amp;"_"&amp;$A20, Predicciones_Master!$A$4:$Q$2000, 8, FALSE), "N/A")</f>
        <v/>
      </c>
      <c r="F20" s="12">
        <f>IF($D20="Por Jugar", "", IFERROR(VLOOKUP(E$1&amp;"_"&amp;$A20, Predicciones_Master!$A$4:$Q$2000, 11, FALSE), 0))</f>
        <v/>
      </c>
      <c r="G20" s="8">
        <f>IFERROR(VLOOKUP(G$1&amp;"_"&amp;$A20, Predicciones_Master!$A$4:$Q$2000, 7, FALSE) &amp; " - " &amp; VLOOKUP(G$1&amp;"_"&amp;$A20, Predicciones_Master!$A$4:$Q$2000, 8, FALSE), "N/A")</f>
        <v/>
      </c>
      <c r="H20" s="12">
        <f>IF($D20="Por Jugar", "", IFERROR(VLOOKUP(G$1&amp;"_"&amp;$A20, Predicciones_Master!$A$4:$Q$2000, 11, FALSE), 0))</f>
        <v/>
      </c>
      <c r="I20" s="8">
        <f>IFERROR(VLOOKUP(I$1&amp;"_"&amp;$A20, Predicciones_Master!$A$4:$Q$2000, 7, FALSE) &amp; " - " &amp; VLOOKUP(I$1&amp;"_"&amp;$A20, Predicciones_Master!$A$4:$Q$2000, 8, FALSE), "N/A")</f>
        <v/>
      </c>
      <c r="J20" s="12">
        <f>IF($D20="Por Jugar", "", IFERROR(VLOOKUP(I$1&amp;"_"&amp;$A20, Predicciones_Master!$A$4:$Q$2000, 11, FALSE), 0))</f>
        <v/>
      </c>
      <c r="K20" s="8">
        <f>IFERROR(VLOOKUP(K$1&amp;"_"&amp;$A20, Predicciones_Master!$A$4:$Q$2000, 7, FALSE) &amp; " - " &amp; VLOOKUP(K$1&amp;"_"&amp;$A20, Predicciones_Master!$A$4:$Q$2000, 8, FALSE), "N/A")</f>
        <v/>
      </c>
      <c r="L20" s="12">
        <f>IF($D20="Por Jugar", "", IFERROR(VLOOKUP(K$1&amp;"_"&amp;$A20, Predicciones_Master!$A$4:$Q$2000, 11, FALSE), 0))</f>
        <v/>
      </c>
      <c r="M20" s="8">
        <f>IFERROR(VLOOKUP(M$1&amp;"_"&amp;$A20, Predicciones_Master!$A$4:$Q$2000, 7, FALSE) &amp; " - " &amp; VLOOKUP(M$1&amp;"_"&amp;$A20, Predicciones_Master!$A$4:$Q$2000, 8, FALSE), "N/A")</f>
        <v/>
      </c>
      <c r="N20" s="12">
        <f>IF($D20="Por Jugar", "", IFERROR(VLOOKUP(M$1&amp;"_"&amp;$A20, Predicciones_Master!$A$4:$Q$2000, 11, FALSE), 0))</f>
        <v/>
      </c>
      <c r="O20" s="8">
        <f>IFERROR(VLOOKUP(O$1&amp;"_"&amp;$A20, Predicciones_Master!$A$4:$Q$2000, 7, FALSE) &amp; " - " &amp; VLOOKUP(O$1&amp;"_"&amp;$A20, Predicciones_Master!$A$4:$Q$2000, 8, FALSE), "N/A")</f>
        <v/>
      </c>
      <c r="P20" s="12">
        <f>IF($D20="Por Jugar", "", IFERROR(VLOOKUP(O$1&amp;"_"&amp;$A20, Predicciones_Master!$A$4:$Q$2000, 11, FALSE), 0))</f>
        <v/>
      </c>
      <c r="Q20" s="8">
        <f>IFERROR(VLOOKUP(Q$1&amp;"_"&amp;$A20, Predicciones_Master!$A$4:$Q$2000, 7, FALSE) &amp; " - " &amp; VLOOKUP(Q$1&amp;"_"&amp;$A20, Predicciones_Master!$A$4:$Q$2000, 8, FALSE), "N/A")</f>
        <v/>
      </c>
      <c r="R20" s="12">
        <f>IF($D20="Por Jugar", "", IFERROR(VLOOKUP(Q$1&amp;"_"&amp;$A20, Predicciones_Master!$A$4:$Q$2000, 11, FALSE), 0))</f>
        <v/>
      </c>
      <c r="S20" s="8">
        <f>IFERROR(VLOOKUP(S$1&amp;"_"&amp;$A20, Predicciones_Master!$A$4:$Q$2000, 7, FALSE) &amp; " - " &amp; VLOOKUP(S$1&amp;"_"&amp;$A20, Predicciones_Master!$A$4:$Q$2000, 8, FALSE), "N/A")</f>
        <v/>
      </c>
      <c r="T20" s="12">
        <f>IF($D20="Por Jugar", "", IFERROR(VLOOKUP(S$1&amp;"_"&amp;$A20, Predicciones_Master!$A$4:$Q$2000, 11, FALSE), 0))</f>
        <v/>
      </c>
      <c r="U20" s="8">
        <f>IFERROR(VLOOKUP(U$1&amp;"_"&amp;$A20, Predicciones_Master!$A$4:$Q$2000, 7, FALSE) &amp; " - " &amp; VLOOKUP(U$1&amp;"_"&amp;$A20, Predicciones_Master!$A$4:$Q$2000, 8, FALSE), "N/A")</f>
        <v/>
      </c>
      <c r="V20" s="12">
        <f>IF($D20="Por Jugar", "", IFERROR(VLOOKUP(U$1&amp;"_"&amp;$A20, Predicciones_Master!$A$4:$Q$2000, 11, FALSE), 0))</f>
        <v/>
      </c>
      <c r="W20" s="8">
        <f>IFERROR(VLOOKUP(W$1&amp;"_"&amp;$A20, Predicciones_Master!$A$4:$Q$2000, 7, FALSE) &amp; " - " &amp; VLOOKUP(W$1&amp;"_"&amp;$A20, Predicciones_Master!$A$4:$Q$2000, 8, FALSE), "N/A")</f>
        <v/>
      </c>
      <c r="X20" s="12">
        <f>IF($D20="Por Jugar", "", IFERROR(VLOOKUP(W$1&amp;"_"&amp;$A20, Predicciones_Master!$A$4:$Q$2000, 11, FALSE), 0))</f>
        <v/>
      </c>
    </row>
    <row r="21" ht="20" customHeight="1">
      <c r="A21" s="8">
        <f>Resultados_Reales!A21</f>
        <v/>
      </c>
      <c r="B21" s="8">
        <f>Resultados_Reales!B21</f>
        <v/>
      </c>
      <c r="C21" s="9">
        <f>Resultados_Reales!C21 &amp; " vs " &amp; Resultados_Reales!D21</f>
        <v/>
      </c>
      <c r="D21" s="10">
        <f>IF(OR(Resultados_Reales!E21="", Resultados_Reales!F21=""), "Por Jugar", Resultados_Reales!E21 &amp; " - " &amp; Resultados_Reales!F21)</f>
        <v/>
      </c>
      <c r="E21" s="8">
        <f>IFERROR(VLOOKUP(E$1&amp;"_"&amp;$A21, Predicciones_Master!$A$4:$Q$2000, 7, FALSE) &amp; " - " &amp; VLOOKUP(E$1&amp;"_"&amp;$A21, Predicciones_Master!$A$4:$Q$2000, 8, FALSE), "N/A")</f>
        <v/>
      </c>
      <c r="F21" s="12">
        <f>IF($D21="Por Jugar", "", IFERROR(VLOOKUP(E$1&amp;"_"&amp;$A21, Predicciones_Master!$A$4:$Q$2000, 11, FALSE), 0))</f>
        <v/>
      </c>
      <c r="G21" s="8">
        <f>IFERROR(VLOOKUP(G$1&amp;"_"&amp;$A21, Predicciones_Master!$A$4:$Q$2000, 7, FALSE) &amp; " - " &amp; VLOOKUP(G$1&amp;"_"&amp;$A21, Predicciones_Master!$A$4:$Q$2000, 8, FALSE), "N/A")</f>
        <v/>
      </c>
      <c r="H21" s="12">
        <f>IF($D21="Por Jugar", "", IFERROR(VLOOKUP(G$1&amp;"_"&amp;$A21, Predicciones_Master!$A$4:$Q$2000, 11, FALSE), 0))</f>
        <v/>
      </c>
      <c r="I21" s="8">
        <f>IFERROR(VLOOKUP(I$1&amp;"_"&amp;$A21, Predicciones_Master!$A$4:$Q$2000, 7, FALSE) &amp; " - " &amp; VLOOKUP(I$1&amp;"_"&amp;$A21, Predicciones_Master!$A$4:$Q$2000, 8, FALSE), "N/A")</f>
        <v/>
      </c>
      <c r="J21" s="12">
        <f>IF($D21="Por Jugar", "", IFERROR(VLOOKUP(I$1&amp;"_"&amp;$A21, Predicciones_Master!$A$4:$Q$2000, 11, FALSE), 0))</f>
        <v/>
      </c>
      <c r="K21" s="8">
        <f>IFERROR(VLOOKUP(K$1&amp;"_"&amp;$A21, Predicciones_Master!$A$4:$Q$2000, 7, FALSE) &amp; " - " &amp; VLOOKUP(K$1&amp;"_"&amp;$A21, Predicciones_Master!$A$4:$Q$2000, 8, FALSE), "N/A")</f>
        <v/>
      </c>
      <c r="L21" s="12">
        <f>IF($D21="Por Jugar", "", IFERROR(VLOOKUP(K$1&amp;"_"&amp;$A21, Predicciones_Master!$A$4:$Q$2000, 11, FALSE), 0))</f>
        <v/>
      </c>
      <c r="M21" s="8">
        <f>IFERROR(VLOOKUP(M$1&amp;"_"&amp;$A21, Predicciones_Master!$A$4:$Q$2000, 7, FALSE) &amp; " - " &amp; VLOOKUP(M$1&amp;"_"&amp;$A21, Predicciones_Master!$A$4:$Q$2000, 8, FALSE), "N/A")</f>
        <v/>
      </c>
      <c r="N21" s="12">
        <f>IF($D21="Por Jugar", "", IFERROR(VLOOKUP(M$1&amp;"_"&amp;$A21, Predicciones_Master!$A$4:$Q$2000, 11, FALSE), 0))</f>
        <v/>
      </c>
      <c r="O21" s="8">
        <f>IFERROR(VLOOKUP(O$1&amp;"_"&amp;$A21, Predicciones_Master!$A$4:$Q$2000, 7, FALSE) &amp; " - " &amp; VLOOKUP(O$1&amp;"_"&amp;$A21, Predicciones_Master!$A$4:$Q$2000, 8, FALSE), "N/A")</f>
        <v/>
      </c>
      <c r="P21" s="12">
        <f>IF($D21="Por Jugar", "", IFERROR(VLOOKUP(O$1&amp;"_"&amp;$A21, Predicciones_Master!$A$4:$Q$2000, 11, FALSE), 0))</f>
        <v/>
      </c>
      <c r="Q21" s="8">
        <f>IFERROR(VLOOKUP(Q$1&amp;"_"&amp;$A21, Predicciones_Master!$A$4:$Q$2000, 7, FALSE) &amp; " - " &amp; VLOOKUP(Q$1&amp;"_"&amp;$A21, Predicciones_Master!$A$4:$Q$2000, 8, FALSE), "N/A")</f>
        <v/>
      </c>
      <c r="R21" s="12">
        <f>IF($D21="Por Jugar", "", IFERROR(VLOOKUP(Q$1&amp;"_"&amp;$A21, Predicciones_Master!$A$4:$Q$2000, 11, FALSE), 0))</f>
        <v/>
      </c>
      <c r="S21" s="8">
        <f>IFERROR(VLOOKUP(S$1&amp;"_"&amp;$A21, Predicciones_Master!$A$4:$Q$2000, 7, FALSE) &amp; " - " &amp; VLOOKUP(S$1&amp;"_"&amp;$A21, Predicciones_Master!$A$4:$Q$2000, 8, FALSE), "N/A")</f>
        <v/>
      </c>
      <c r="T21" s="12">
        <f>IF($D21="Por Jugar", "", IFERROR(VLOOKUP(S$1&amp;"_"&amp;$A21, Predicciones_Master!$A$4:$Q$2000, 11, FALSE), 0))</f>
        <v/>
      </c>
      <c r="U21" s="8">
        <f>IFERROR(VLOOKUP(U$1&amp;"_"&amp;$A21, Predicciones_Master!$A$4:$Q$2000, 7, FALSE) &amp; " - " &amp; VLOOKUP(U$1&amp;"_"&amp;$A21, Predicciones_Master!$A$4:$Q$2000, 8, FALSE), "N/A")</f>
        <v/>
      </c>
      <c r="V21" s="12">
        <f>IF($D21="Por Jugar", "", IFERROR(VLOOKUP(U$1&amp;"_"&amp;$A21, Predicciones_Master!$A$4:$Q$2000, 11, FALSE), 0))</f>
        <v/>
      </c>
      <c r="W21" s="8">
        <f>IFERROR(VLOOKUP(W$1&amp;"_"&amp;$A21, Predicciones_Master!$A$4:$Q$2000, 7, FALSE) &amp; " - " &amp; VLOOKUP(W$1&amp;"_"&amp;$A21, Predicciones_Master!$A$4:$Q$2000, 8, FALSE), "N/A")</f>
        <v/>
      </c>
      <c r="X21" s="12">
        <f>IF($D21="Por Jugar", "", IFERROR(VLOOKUP(W$1&amp;"_"&amp;$A21, Predicciones_Master!$A$4:$Q$2000, 11, FALSE), 0))</f>
        <v/>
      </c>
    </row>
    <row r="22" ht="20" customHeight="1">
      <c r="A22" s="8">
        <f>Resultados_Reales!A22</f>
        <v/>
      </c>
      <c r="B22" s="8">
        <f>Resultados_Reales!B22</f>
        <v/>
      </c>
      <c r="C22" s="9">
        <f>Resultados_Reales!C22 &amp; " vs " &amp; Resultados_Reales!D22</f>
        <v/>
      </c>
      <c r="D22" s="10">
        <f>IF(OR(Resultados_Reales!E22="", Resultados_Reales!F22=""), "Por Jugar", Resultados_Reales!E22 &amp; " - " &amp; Resultados_Reales!F22)</f>
        <v/>
      </c>
      <c r="E22" s="8">
        <f>IFERROR(VLOOKUP(E$1&amp;"_"&amp;$A22, Predicciones_Master!$A$4:$Q$2000, 7, FALSE) &amp; " - " &amp; VLOOKUP(E$1&amp;"_"&amp;$A22, Predicciones_Master!$A$4:$Q$2000, 8, FALSE), "N/A")</f>
        <v/>
      </c>
      <c r="F22" s="12">
        <f>IF($D22="Por Jugar", "", IFERROR(VLOOKUP(E$1&amp;"_"&amp;$A22, Predicciones_Master!$A$4:$Q$2000, 11, FALSE), 0))</f>
        <v/>
      </c>
      <c r="G22" s="8">
        <f>IFERROR(VLOOKUP(G$1&amp;"_"&amp;$A22, Predicciones_Master!$A$4:$Q$2000, 7, FALSE) &amp; " - " &amp; VLOOKUP(G$1&amp;"_"&amp;$A22, Predicciones_Master!$A$4:$Q$2000, 8, FALSE), "N/A")</f>
        <v/>
      </c>
      <c r="H22" s="12">
        <f>IF($D22="Por Jugar", "", IFERROR(VLOOKUP(G$1&amp;"_"&amp;$A22, Predicciones_Master!$A$4:$Q$2000, 11, FALSE), 0))</f>
        <v/>
      </c>
      <c r="I22" s="8">
        <f>IFERROR(VLOOKUP(I$1&amp;"_"&amp;$A22, Predicciones_Master!$A$4:$Q$2000, 7, FALSE) &amp; " - " &amp; VLOOKUP(I$1&amp;"_"&amp;$A22, Predicciones_Master!$A$4:$Q$2000, 8, FALSE), "N/A")</f>
        <v/>
      </c>
      <c r="J22" s="12">
        <f>IF($D22="Por Jugar", "", IFERROR(VLOOKUP(I$1&amp;"_"&amp;$A22, Predicciones_Master!$A$4:$Q$2000, 11, FALSE), 0))</f>
        <v/>
      </c>
      <c r="K22" s="8">
        <f>IFERROR(VLOOKUP(K$1&amp;"_"&amp;$A22, Predicciones_Master!$A$4:$Q$2000, 7, FALSE) &amp; " - " &amp; VLOOKUP(K$1&amp;"_"&amp;$A22, Predicciones_Master!$A$4:$Q$2000, 8, FALSE), "N/A")</f>
        <v/>
      </c>
      <c r="L22" s="12">
        <f>IF($D22="Por Jugar", "", IFERROR(VLOOKUP(K$1&amp;"_"&amp;$A22, Predicciones_Master!$A$4:$Q$2000, 11, FALSE), 0))</f>
        <v/>
      </c>
      <c r="M22" s="8">
        <f>IFERROR(VLOOKUP(M$1&amp;"_"&amp;$A22, Predicciones_Master!$A$4:$Q$2000, 7, FALSE) &amp; " - " &amp; VLOOKUP(M$1&amp;"_"&amp;$A22, Predicciones_Master!$A$4:$Q$2000, 8, FALSE), "N/A")</f>
        <v/>
      </c>
      <c r="N22" s="12">
        <f>IF($D22="Por Jugar", "", IFERROR(VLOOKUP(M$1&amp;"_"&amp;$A22, Predicciones_Master!$A$4:$Q$2000, 11, FALSE), 0))</f>
        <v/>
      </c>
      <c r="O22" s="8">
        <f>IFERROR(VLOOKUP(O$1&amp;"_"&amp;$A22, Predicciones_Master!$A$4:$Q$2000, 7, FALSE) &amp; " - " &amp; VLOOKUP(O$1&amp;"_"&amp;$A22, Predicciones_Master!$A$4:$Q$2000, 8, FALSE), "N/A")</f>
        <v/>
      </c>
      <c r="P22" s="12">
        <f>IF($D22="Por Jugar", "", IFERROR(VLOOKUP(O$1&amp;"_"&amp;$A22, Predicciones_Master!$A$4:$Q$2000, 11, FALSE), 0))</f>
        <v/>
      </c>
      <c r="Q22" s="8">
        <f>IFERROR(VLOOKUP(Q$1&amp;"_"&amp;$A22, Predicciones_Master!$A$4:$Q$2000, 7, FALSE) &amp; " - " &amp; VLOOKUP(Q$1&amp;"_"&amp;$A22, Predicciones_Master!$A$4:$Q$2000, 8, FALSE), "N/A")</f>
        <v/>
      </c>
      <c r="R22" s="12">
        <f>IF($D22="Por Jugar", "", IFERROR(VLOOKUP(Q$1&amp;"_"&amp;$A22, Predicciones_Master!$A$4:$Q$2000, 11, FALSE), 0))</f>
        <v/>
      </c>
      <c r="S22" s="8">
        <f>IFERROR(VLOOKUP(S$1&amp;"_"&amp;$A22, Predicciones_Master!$A$4:$Q$2000, 7, FALSE) &amp; " - " &amp; VLOOKUP(S$1&amp;"_"&amp;$A22, Predicciones_Master!$A$4:$Q$2000, 8, FALSE), "N/A")</f>
        <v/>
      </c>
      <c r="T22" s="12">
        <f>IF($D22="Por Jugar", "", IFERROR(VLOOKUP(S$1&amp;"_"&amp;$A22, Predicciones_Master!$A$4:$Q$2000, 11, FALSE), 0))</f>
        <v/>
      </c>
      <c r="U22" s="8">
        <f>IFERROR(VLOOKUP(U$1&amp;"_"&amp;$A22, Predicciones_Master!$A$4:$Q$2000, 7, FALSE) &amp; " - " &amp; VLOOKUP(U$1&amp;"_"&amp;$A22, Predicciones_Master!$A$4:$Q$2000, 8, FALSE), "N/A")</f>
        <v/>
      </c>
      <c r="V22" s="12">
        <f>IF($D22="Por Jugar", "", IFERROR(VLOOKUP(U$1&amp;"_"&amp;$A22, Predicciones_Master!$A$4:$Q$2000, 11, FALSE), 0))</f>
        <v/>
      </c>
      <c r="W22" s="8">
        <f>IFERROR(VLOOKUP(W$1&amp;"_"&amp;$A22, Predicciones_Master!$A$4:$Q$2000, 7, FALSE) &amp; " - " &amp; VLOOKUP(W$1&amp;"_"&amp;$A22, Predicciones_Master!$A$4:$Q$2000, 8, FALSE), "N/A")</f>
        <v/>
      </c>
      <c r="X22" s="12">
        <f>IF($D22="Por Jugar", "", IFERROR(VLOOKUP(W$1&amp;"_"&amp;$A22, Predicciones_Master!$A$4:$Q$2000, 11, FALSE), 0))</f>
        <v/>
      </c>
    </row>
    <row r="23" ht="20" customHeight="1">
      <c r="A23" s="8">
        <f>Resultados_Reales!A23</f>
        <v/>
      </c>
      <c r="B23" s="8">
        <f>Resultados_Reales!B23</f>
        <v/>
      </c>
      <c r="C23" s="9">
        <f>Resultados_Reales!C23 &amp; " vs " &amp; Resultados_Reales!D23</f>
        <v/>
      </c>
      <c r="D23" s="10">
        <f>IF(OR(Resultados_Reales!E23="", Resultados_Reales!F23=""), "Por Jugar", Resultados_Reales!E23 &amp; " - " &amp; Resultados_Reales!F23)</f>
        <v/>
      </c>
      <c r="E23" s="8">
        <f>IFERROR(VLOOKUP(E$1&amp;"_"&amp;$A23, Predicciones_Master!$A$4:$Q$2000, 7, FALSE) &amp; " - " &amp; VLOOKUP(E$1&amp;"_"&amp;$A23, Predicciones_Master!$A$4:$Q$2000, 8, FALSE), "N/A")</f>
        <v/>
      </c>
      <c r="F23" s="12">
        <f>IF($D23="Por Jugar", "", IFERROR(VLOOKUP(E$1&amp;"_"&amp;$A23, Predicciones_Master!$A$4:$Q$2000, 11, FALSE), 0))</f>
        <v/>
      </c>
      <c r="G23" s="8">
        <f>IFERROR(VLOOKUP(G$1&amp;"_"&amp;$A23, Predicciones_Master!$A$4:$Q$2000, 7, FALSE) &amp; " - " &amp; VLOOKUP(G$1&amp;"_"&amp;$A23, Predicciones_Master!$A$4:$Q$2000, 8, FALSE), "N/A")</f>
        <v/>
      </c>
      <c r="H23" s="12">
        <f>IF($D23="Por Jugar", "", IFERROR(VLOOKUP(G$1&amp;"_"&amp;$A23, Predicciones_Master!$A$4:$Q$2000, 11, FALSE), 0))</f>
        <v/>
      </c>
      <c r="I23" s="8">
        <f>IFERROR(VLOOKUP(I$1&amp;"_"&amp;$A23, Predicciones_Master!$A$4:$Q$2000, 7, FALSE) &amp; " - " &amp; VLOOKUP(I$1&amp;"_"&amp;$A23, Predicciones_Master!$A$4:$Q$2000, 8, FALSE), "N/A")</f>
        <v/>
      </c>
      <c r="J23" s="12">
        <f>IF($D23="Por Jugar", "", IFERROR(VLOOKUP(I$1&amp;"_"&amp;$A23, Predicciones_Master!$A$4:$Q$2000, 11, FALSE), 0))</f>
        <v/>
      </c>
      <c r="K23" s="8">
        <f>IFERROR(VLOOKUP(K$1&amp;"_"&amp;$A23, Predicciones_Master!$A$4:$Q$2000, 7, FALSE) &amp; " - " &amp; VLOOKUP(K$1&amp;"_"&amp;$A23, Predicciones_Master!$A$4:$Q$2000, 8, FALSE), "N/A")</f>
        <v/>
      </c>
      <c r="L23" s="12">
        <f>IF($D23="Por Jugar", "", IFERROR(VLOOKUP(K$1&amp;"_"&amp;$A23, Predicciones_Master!$A$4:$Q$2000, 11, FALSE), 0))</f>
        <v/>
      </c>
      <c r="M23" s="8">
        <f>IFERROR(VLOOKUP(M$1&amp;"_"&amp;$A23, Predicciones_Master!$A$4:$Q$2000, 7, FALSE) &amp; " - " &amp; VLOOKUP(M$1&amp;"_"&amp;$A23, Predicciones_Master!$A$4:$Q$2000, 8, FALSE), "N/A")</f>
        <v/>
      </c>
      <c r="N23" s="12">
        <f>IF($D23="Por Jugar", "", IFERROR(VLOOKUP(M$1&amp;"_"&amp;$A23, Predicciones_Master!$A$4:$Q$2000, 11, FALSE), 0))</f>
        <v/>
      </c>
      <c r="O23" s="8">
        <f>IFERROR(VLOOKUP(O$1&amp;"_"&amp;$A23, Predicciones_Master!$A$4:$Q$2000, 7, FALSE) &amp; " - " &amp; VLOOKUP(O$1&amp;"_"&amp;$A23, Predicciones_Master!$A$4:$Q$2000, 8, FALSE), "N/A")</f>
        <v/>
      </c>
      <c r="P23" s="12">
        <f>IF($D23="Por Jugar", "", IFERROR(VLOOKUP(O$1&amp;"_"&amp;$A23, Predicciones_Master!$A$4:$Q$2000, 11, FALSE), 0))</f>
        <v/>
      </c>
      <c r="Q23" s="8">
        <f>IFERROR(VLOOKUP(Q$1&amp;"_"&amp;$A23, Predicciones_Master!$A$4:$Q$2000, 7, FALSE) &amp; " - " &amp; VLOOKUP(Q$1&amp;"_"&amp;$A23, Predicciones_Master!$A$4:$Q$2000, 8, FALSE), "N/A")</f>
        <v/>
      </c>
      <c r="R23" s="12">
        <f>IF($D23="Por Jugar", "", IFERROR(VLOOKUP(Q$1&amp;"_"&amp;$A23, Predicciones_Master!$A$4:$Q$2000, 11, FALSE), 0))</f>
        <v/>
      </c>
      <c r="S23" s="8">
        <f>IFERROR(VLOOKUP(S$1&amp;"_"&amp;$A23, Predicciones_Master!$A$4:$Q$2000, 7, FALSE) &amp; " - " &amp; VLOOKUP(S$1&amp;"_"&amp;$A23, Predicciones_Master!$A$4:$Q$2000, 8, FALSE), "N/A")</f>
        <v/>
      </c>
      <c r="T23" s="12">
        <f>IF($D23="Por Jugar", "", IFERROR(VLOOKUP(S$1&amp;"_"&amp;$A23, Predicciones_Master!$A$4:$Q$2000, 11, FALSE), 0))</f>
        <v/>
      </c>
      <c r="U23" s="8">
        <f>IFERROR(VLOOKUP(U$1&amp;"_"&amp;$A23, Predicciones_Master!$A$4:$Q$2000, 7, FALSE) &amp; " - " &amp; VLOOKUP(U$1&amp;"_"&amp;$A23, Predicciones_Master!$A$4:$Q$2000, 8, FALSE), "N/A")</f>
        <v/>
      </c>
      <c r="V23" s="12">
        <f>IF($D23="Por Jugar", "", IFERROR(VLOOKUP(U$1&amp;"_"&amp;$A23, Predicciones_Master!$A$4:$Q$2000, 11, FALSE), 0))</f>
        <v/>
      </c>
      <c r="W23" s="8">
        <f>IFERROR(VLOOKUP(W$1&amp;"_"&amp;$A23, Predicciones_Master!$A$4:$Q$2000, 7, FALSE) &amp; " - " &amp; VLOOKUP(W$1&amp;"_"&amp;$A23, Predicciones_Master!$A$4:$Q$2000, 8, FALSE), "N/A")</f>
        <v/>
      </c>
      <c r="X23" s="12">
        <f>IF($D23="Por Jugar", "", IFERROR(VLOOKUP(W$1&amp;"_"&amp;$A23, Predicciones_Master!$A$4:$Q$2000, 11, FALSE), 0))</f>
        <v/>
      </c>
    </row>
    <row r="24" ht="20" customHeight="1">
      <c r="A24" s="8">
        <f>Resultados_Reales!A24</f>
        <v/>
      </c>
      <c r="B24" s="8">
        <f>Resultados_Reales!B24</f>
        <v/>
      </c>
      <c r="C24" s="9">
        <f>Resultados_Reales!C24 &amp; " vs " &amp; Resultados_Reales!D24</f>
        <v/>
      </c>
      <c r="D24" s="10">
        <f>IF(OR(Resultados_Reales!E24="", Resultados_Reales!F24=""), "Por Jugar", Resultados_Reales!E24 &amp; " - " &amp; Resultados_Reales!F24)</f>
        <v/>
      </c>
      <c r="E24" s="8">
        <f>IFERROR(VLOOKUP(E$1&amp;"_"&amp;$A24, Predicciones_Master!$A$4:$Q$2000, 7, FALSE) &amp; " - " &amp; VLOOKUP(E$1&amp;"_"&amp;$A24, Predicciones_Master!$A$4:$Q$2000, 8, FALSE), "N/A")</f>
        <v/>
      </c>
      <c r="F24" s="12">
        <f>IF($D24="Por Jugar", "", IFERROR(VLOOKUP(E$1&amp;"_"&amp;$A24, Predicciones_Master!$A$4:$Q$2000, 11, FALSE), 0))</f>
        <v/>
      </c>
      <c r="G24" s="8">
        <f>IFERROR(VLOOKUP(G$1&amp;"_"&amp;$A24, Predicciones_Master!$A$4:$Q$2000, 7, FALSE) &amp; " - " &amp; VLOOKUP(G$1&amp;"_"&amp;$A24, Predicciones_Master!$A$4:$Q$2000, 8, FALSE), "N/A")</f>
        <v/>
      </c>
      <c r="H24" s="12">
        <f>IF($D24="Por Jugar", "", IFERROR(VLOOKUP(G$1&amp;"_"&amp;$A24, Predicciones_Master!$A$4:$Q$2000, 11, FALSE), 0))</f>
        <v/>
      </c>
      <c r="I24" s="8">
        <f>IFERROR(VLOOKUP(I$1&amp;"_"&amp;$A24, Predicciones_Master!$A$4:$Q$2000, 7, FALSE) &amp; " - " &amp; VLOOKUP(I$1&amp;"_"&amp;$A24, Predicciones_Master!$A$4:$Q$2000, 8, FALSE), "N/A")</f>
        <v/>
      </c>
      <c r="J24" s="12">
        <f>IF($D24="Por Jugar", "", IFERROR(VLOOKUP(I$1&amp;"_"&amp;$A24, Predicciones_Master!$A$4:$Q$2000, 11, FALSE), 0))</f>
        <v/>
      </c>
      <c r="K24" s="8">
        <f>IFERROR(VLOOKUP(K$1&amp;"_"&amp;$A24, Predicciones_Master!$A$4:$Q$2000, 7, FALSE) &amp; " - " &amp; VLOOKUP(K$1&amp;"_"&amp;$A24, Predicciones_Master!$A$4:$Q$2000, 8, FALSE), "N/A")</f>
        <v/>
      </c>
      <c r="L24" s="12">
        <f>IF($D24="Por Jugar", "", IFERROR(VLOOKUP(K$1&amp;"_"&amp;$A24, Predicciones_Master!$A$4:$Q$2000, 11, FALSE), 0))</f>
        <v/>
      </c>
      <c r="M24" s="8">
        <f>IFERROR(VLOOKUP(M$1&amp;"_"&amp;$A24, Predicciones_Master!$A$4:$Q$2000, 7, FALSE) &amp; " - " &amp; VLOOKUP(M$1&amp;"_"&amp;$A24, Predicciones_Master!$A$4:$Q$2000, 8, FALSE), "N/A")</f>
        <v/>
      </c>
      <c r="N24" s="12">
        <f>IF($D24="Por Jugar", "", IFERROR(VLOOKUP(M$1&amp;"_"&amp;$A24, Predicciones_Master!$A$4:$Q$2000, 11, FALSE), 0))</f>
        <v/>
      </c>
      <c r="O24" s="8">
        <f>IFERROR(VLOOKUP(O$1&amp;"_"&amp;$A24, Predicciones_Master!$A$4:$Q$2000, 7, FALSE) &amp; " - " &amp; VLOOKUP(O$1&amp;"_"&amp;$A24, Predicciones_Master!$A$4:$Q$2000, 8, FALSE), "N/A")</f>
        <v/>
      </c>
      <c r="P24" s="12">
        <f>IF($D24="Por Jugar", "", IFERROR(VLOOKUP(O$1&amp;"_"&amp;$A24, Predicciones_Master!$A$4:$Q$2000, 11, FALSE), 0))</f>
        <v/>
      </c>
      <c r="Q24" s="8">
        <f>IFERROR(VLOOKUP(Q$1&amp;"_"&amp;$A24, Predicciones_Master!$A$4:$Q$2000, 7, FALSE) &amp; " - " &amp; VLOOKUP(Q$1&amp;"_"&amp;$A24, Predicciones_Master!$A$4:$Q$2000, 8, FALSE), "N/A")</f>
        <v/>
      </c>
      <c r="R24" s="12">
        <f>IF($D24="Por Jugar", "", IFERROR(VLOOKUP(Q$1&amp;"_"&amp;$A24, Predicciones_Master!$A$4:$Q$2000, 11, FALSE), 0))</f>
        <v/>
      </c>
      <c r="S24" s="8">
        <f>IFERROR(VLOOKUP(S$1&amp;"_"&amp;$A24, Predicciones_Master!$A$4:$Q$2000, 7, FALSE) &amp; " - " &amp; VLOOKUP(S$1&amp;"_"&amp;$A24, Predicciones_Master!$A$4:$Q$2000, 8, FALSE), "N/A")</f>
        <v/>
      </c>
      <c r="T24" s="12">
        <f>IF($D24="Por Jugar", "", IFERROR(VLOOKUP(S$1&amp;"_"&amp;$A24, Predicciones_Master!$A$4:$Q$2000, 11, FALSE), 0))</f>
        <v/>
      </c>
      <c r="U24" s="8">
        <f>IFERROR(VLOOKUP(U$1&amp;"_"&amp;$A24, Predicciones_Master!$A$4:$Q$2000, 7, FALSE) &amp; " - " &amp; VLOOKUP(U$1&amp;"_"&amp;$A24, Predicciones_Master!$A$4:$Q$2000, 8, FALSE), "N/A")</f>
        <v/>
      </c>
      <c r="V24" s="12">
        <f>IF($D24="Por Jugar", "", IFERROR(VLOOKUP(U$1&amp;"_"&amp;$A24, Predicciones_Master!$A$4:$Q$2000, 11, FALSE), 0))</f>
        <v/>
      </c>
      <c r="W24" s="8">
        <f>IFERROR(VLOOKUP(W$1&amp;"_"&amp;$A24, Predicciones_Master!$A$4:$Q$2000, 7, FALSE) &amp; " - " &amp; VLOOKUP(W$1&amp;"_"&amp;$A24, Predicciones_Master!$A$4:$Q$2000, 8, FALSE), "N/A")</f>
        <v/>
      </c>
      <c r="X24" s="12">
        <f>IF($D24="Por Jugar", "", IFERROR(VLOOKUP(W$1&amp;"_"&amp;$A24, Predicciones_Master!$A$4:$Q$2000, 11, FALSE), 0))</f>
        <v/>
      </c>
    </row>
    <row r="25" ht="20" customHeight="1">
      <c r="A25" s="8">
        <f>Resultados_Reales!A25</f>
        <v/>
      </c>
      <c r="B25" s="8">
        <f>Resultados_Reales!B25</f>
        <v/>
      </c>
      <c r="C25" s="9">
        <f>Resultados_Reales!C25 &amp; " vs " &amp; Resultados_Reales!D25</f>
        <v/>
      </c>
      <c r="D25" s="10">
        <f>IF(OR(Resultados_Reales!E25="", Resultados_Reales!F25=""), "Por Jugar", Resultados_Reales!E25 &amp; " - " &amp; Resultados_Reales!F25)</f>
        <v/>
      </c>
      <c r="E25" s="8">
        <f>IFERROR(VLOOKUP(E$1&amp;"_"&amp;$A25, Predicciones_Master!$A$4:$Q$2000, 7, FALSE) &amp; " - " &amp; VLOOKUP(E$1&amp;"_"&amp;$A25, Predicciones_Master!$A$4:$Q$2000, 8, FALSE), "N/A")</f>
        <v/>
      </c>
      <c r="F25" s="12">
        <f>IF($D25="Por Jugar", "", IFERROR(VLOOKUP(E$1&amp;"_"&amp;$A25, Predicciones_Master!$A$4:$Q$2000, 11, FALSE), 0))</f>
        <v/>
      </c>
      <c r="G25" s="8">
        <f>IFERROR(VLOOKUP(G$1&amp;"_"&amp;$A25, Predicciones_Master!$A$4:$Q$2000, 7, FALSE) &amp; " - " &amp; VLOOKUP(G$1&amp;"_"&amp;$A25, Predicciones_Master!$A$4:$Q$2000, 8, FALSE), "N/A")</f>
        <v/>
      </c>
      <c r="H25" s="12">
        <f>IF($D25="Por Jugar", "", IFERROR(VLOOKUP(G$1&amp;"_"&amp;$A25, Predicciones_Master!$A$4:$Q$2000, 11, FALSE), 0))</f>
        <v/>
      </c>
      <c r="I25" s="8">
        <f>IFERROR(VLOOKUP(I$1&amp;"_"&amp;$A25, Predicciones_Master!$A$4:$Q$2000, 7, FALSE) &amp; " - " &amp; VLOOKUP(I$1&amp;"_"&amp;$A25, Predicciones_Master!$A$4:$Q$2000, 8, FALSE), "N/A")</f>
        <v/>
      </c>
      <c r="J25" s="12">
        <f>IF($D25="Por Jugar", "", IFERROR(VLOOKUP(I$1&amp;"_"&amp;$A25, Predicciones_Master!$A$4:$Q$2000, 11, FALSE), 0))</f>
        <v/>
      </c>
      <c r="K25" s="8">
        <f>IFERROR(VLOOKUP(K$1&amp;"_"&amp;$A25, Predicciones_Master!$A$4:$Q$2000, 7, FALSE) &amp; " - " &amp; VLOOKUP(K$1&amp;"_"&amp;$A25, Predicciones_Master!$A$4:$Q$2000, 8, FALSE), "N/A")</f>
        <v/>
      </c>
      <c r="L25" s="12">
        <f>IF($D25="Por Jugar", "", IFERROR(VLOOKUP(K$1&amp;"_"&amp;$A25, Predicciones_Master!$A$4:$Q$2000, 11, FALSE), 0))</f>
        <v/>
      </c>
      <c r="M25" s="8">
        <f>IFERROR(VLOOKUP(M$1&amp;"_"&amp;$A25, Predicciones_Master!$A$4:$Q$2000, 7, FALSE) &amp; " - " &amp; VLOOKUP(M$1&amp;"_"&amp;$A25, Predicciones_Master!$A$4:$Q$2000, 8, FALSE), "N/A")</f>
        <v/>
      </c>
      <c r="N25" s="12">
        <f>IF($D25="Por Jugar", "", IFERROR(VLOOKUP(M$1&amp;"_"&amp;$A25, Predicciones_Master!$A$4:$Q$2000, 11, FALSE), 0))</f>
        <v/>
      </c>
      <c r="O25" s="8">
        <f>IFERROR(VLOOKUP(O$1&amp;"_"&amp;$A25, Predicciones_Master!$A$4:$Q$2000, 7, FALSE) &amp; " - " &amp; VLOOKUP(O$1&amp;"_"&amp;$A25, Predicciones_Master!$A$4:$Q$2000, 8, FALSE), "N/A")</f>
        <v/>
      </c>
      <c r="P25" s="12">
        <f>IF($D25="Por Jugar", "", IFERROR(VLOOKUP(O$1&amp;"_"&amp;$A25, Predicciones_Master!$A$4:$Q$2000, 11, FALSE), 0))</f>
        <v/>
      </c>
      <c r="Q25" s="8">
        <f>IFERROR(VLOOKUP(Q$1&amp;"_"&amp;$A25, Predicciones_Master!$A$4:$Q$2000, 7, FALSE) &amp; " - " &amp; VLOOKUP(Q$1&amp;"_"&amp;$A25, Predicciones_Master!$A$4:$Q$2000, 8, FALSE), "N/A")</f>
        <v/>
      </c>
      <c r="R25" s="12">
        <f>IF($D25="Por Jugar", "", IFERROR(VLOOKUP(Q$1&amp;"_"&amp;$A25, Predicciones_Master!$A$4:$Q$2000, 11, FALSE), 0))</f>
        <v/>
      </c>
      <c r="S25" s="8">
        <f>IFERROR(VLOOKUP(S$1&amp;"_"&amp;$A25, Predicciones_Master!$A$4:$Q$2000, 7, FALSE) &amp; " - " &amp; VLOOKUP(S$1&amp;"_"&amp;$A25, Predicciones_Master!$A$4:$Q$2000, 8, FALSE), "N/A")</f>
        <v/>
      </c>
      <c r="T25" s="12">
        <f>IF($D25="Por Jugar", "", IFERROR(VLOOKUP(S$1&amp;"_"&amp;$A25, Predicciones_Master!$A$4:$Q$2000, 11, FALSE), 0))</f>
        <v/>
      </c>
      <c r="U25" s="8">
        <f>IFERROR(VLOOKUP(U$1&amp;"_"&amp;$A25, Predicciones_Master!$A$4:$Q$2000, 7, FALSE) &amp; " - " &amp; VLOOKUP(U$1&amp;"_"&amp;$A25, Predicciones_Master!$A$4:$Q$2000, 8, FALSE), "N/A")</f>
        <v/>
      </c>
      <c r="V25" s="12">
        <f>IF($D25="Por Jugar", "", IFERROR(VLOOKUP(U$1&amp;"_"&amp;$A25, Predicciones_Master!$A$4:$Q$2000, 11, FALSE), 0))</f>
        <v/>
      </c>
      <c r="W25" s="8">
        <f>IFERROR(VLOOKUP(W$1&amp;"_"&amp;$A25, Predicciones_Master!$A$4:$Q$2000, 7, FALSE) &amp; " - " &amp; VLOOKUP(W$1&amp;"_"&amp;$A25, Predicciones_Master!$A$4:$Q$2000, 8, FALSE), "N/A")</f>
        <v/>
      </c>
      <c r="X25" s="12">
        <f>IF($D25="Por Jugar", "", IFERROR(VLOOKUP(W$1&amp;"_"&amp;$A25, Predicciones_Master!$A$4:$Q$2000, 11, FALSE), 0))</f>
        <v/>
      </c>
    </row>
    <row r="26" ht="20" customHeight="1">
      <c r="A26" s="8">
        <f>Resultados_Reales!A26</f>
        <v/>
      </c>
      <c r="B26" s="8">
        <f>Resultados_Reales!B26</f>
        <v/>
      </c>
      <c r="C26" s="9">
        <f>Resultados_Reales!C26 &amp; " vs " &amp; Resultados_Reales!D26</f>
        <v/>
      </c>
      <c r="D26" s="10">
        <f>IF(OR(Resultados_Reales!E26="", Resultados_Reales!F26=""), "Por Jugar", Resultados_Reales!E26 &amp; " - " &amp; Resultados_Reales!F26)</f>
        <v/>
      </c>
      <c r="E26" s="8">
        <f>IFERROR(VLOOKUP(E$1&amp;"_"&amp;$A26, Predicciones_Master!$A$4:$Q$2000, 7, FALSE) &amp; " - " &amp; VLOOKUP(E$1&amp;"_"&amp;$A26, Predicciones_Master!$A$4:$Q$2000, 8, FALSE), "N/A")</f>
        <v/>
      </c>
      <c r="F26" s="12">
        <f>IF($D26="Por Jugar", "", IFERROR(VLOOKUP(E$1&amp;"_"&amp;$A26, Predicciones_Master!$A$4:$Q$2000, 11, FALSE), 0))</f>
        <v/>
      </c>
      <c r="G26" s="8">
        <f>IFERROR(VLOOKUP(G$1&amp;"_"&amp;$A26, Predicciones_Master!$A$4:$Q$2000, 7, FALSE) &amp; " - " &amp; VLOOKUP(G$1&amp;"_"&amp;$A26, Predicciones_Master!$A$4:$Q$2000, 8, FALSE), "N/A")</f>
        <v/>
      </c>
      <c r="H26" s="12">
        <f>IF($D26="Por Jugar", "", IFERROR(VLOOKUP(G$1&amp;"_"&amp;$A26, Predicciones_Master!$A$4:$Q$2000, 11, FALSE), 0))</f>
        <v/>
      </c>
      <c r="I26" s="8">
        <f>IFERROR(VLOOKUP(I$1&amp;"_"&amp;$A26, Predicciones_Master!$A$4:$Q$2000, 7, FALSE) &amp; " - " &amp; VLOOKUP(I$1&amp;"_"&amp;$A26, Predicciones_Master!$A$4:$Q$2000, 8, FALSE), "N/A")</f>
        <v/>
      </c>
      <c r="J26" s="12">
        <f>IF($D26="Por Jugar", "", IFERROR(VLOOKUP(I$1&amp;"_"&amp;$A26, Predicciones_Master!$A$4:$Q$2000, 11, FALSE), 0))</f>
        <v/>
      </c>
      <c r="K26" s="8">
        <f>IFERROR(VLOOKUP(K$1&amp;"_"&amp;$A26, Predicciones_Master!$A$4:$Q$2000, 7, FALSE) &amp; " - " &amp; VLOOKUP(K$1&amp;"_"&amp;$A26, Predicciones_Master!$A$4:$Q$2000, 8, FALSE), "N/A")</f>
        <v/>
      </c>
      <c r="L26" s="12">
        <f>IF($D26="Por Jugar", "", IFERROR(VLOOKUP(K$1&amp;"_"&amp;$A26, Predicciones_Master!$A$4:$Q$2000, 11, FALSE), 0))</f>
        <v/>
      </c>
      <c r="M26" s="8">
        <f>IFERROR(VLOOKUP(M$1&amp;"_"&amp;$A26, Predicciones_Master!$A$4:$Q$2000, 7, FALSE) &amp; " - " &amp; VLOOKUP(M$1&amp;"_"&amp;$A26, Predicciones_Master!$A$4:$Q$2000, 8, FALSE), "N/A")</f>
        <v/>
      </c>
      <c r="N26" s="12">
        <f>IF($D26="Por Jugar", "", IFERROR(VLOOKUP(M$1&amp;"_"&amp;$A26, Predicciones_Master!$A$4:$Q$2000, 11, FALSE), 0))</f>
        <v/>
      </c>
      <c r="O26" s="8">
        <f>IFERROR(VLOOKUP(O$1&amp;"_"&amp;$A26, Predicciones_Master!$A$4:$Q$2000, 7, FALSE) &amp; " - " &amp; VLOOKUP(O$1&amp;"_"&amp;$A26, Predicciones_Master!$A$4:$Q$2000, 8, FALSE), "N/A")</f>
        <v/>
      </c>
      <c r="P26" s="12">
        <f>IF($D26="Por Jugar", "", IFERROR(VLOOKUP(O$1&amp;"_"&amp;$A26, Predicciones_Master!$A$4:$Q$2000, 11, FALSE), 0))</f>
        <v/>
      </c>
      <c r="Q26" s="8">
        <f>IFERROR(VLOOKUP(Q$1&amp;"_"&amp;$A26, Predicciones_Master!$A$4:$Q$2000, 7, FALSE) &amp; " - " &amp; VLOOKUP(Q$1&amp;"_"&amp;$A26, Predicciones_Master!$A$4:$Q$2000, 8, FALSE), "N/A")</f>
        <v/>
      </c>
      <c r="R26" s="12">
        <f>IF($D26="Por Jugar", "", IFERROR(VLOOKUP(Q$1&amp;"_"&amp;$A26, Predicciones_Master!$A$4:$Q$2000, 11, FALSE), 0))</f>
        <v/>
      </c>
      <c r="S26" s="8">
        <f>IFERROR(VLOOKUP(S$1&amp;"_"&amp;$A26, Predicciones_Master!$A$4:$Q$2000, 7, FALSE) &amp; " - " &amp; VLOOKUP(S$1&amp;"_"&amp;$A26, Predicciones_Master!$A$4:$Q$2000, 8, FALSE), "N/A")</f>
        <v/>
      </c>
      <c r="T26" s="12">
        <f>IF($D26="Por Jugar", "", IFERROR(VLOOKUP(S$1&amp;"_"&amp;$A26, Predicciones_Master!$A$4:$Q$2000, 11, FALSE), 0))</f>
        <v/>
      </c>
      <c r="U26" s="8">
        <f>IFERROR(VLOOKUP(U$1&amp;"_"&amp;$A26, Predicciones_Master!$A$4:$Q$2000, 7, FALSE) &amp; " - " &amp; VLOOKUP(U$1&amp;"_"&amp;$A26, Predicciones_Master!$A$4:$Q$2000, 8, FALSE), "N/A")</f>
        <v/>
      </c>
      <c r="V26" s="12">
        <f>IF($D26="Por Jugar", "", IFERROR(VLOOKUP(U$1&amp;"_"&amp;$A26, Predicciones_Master!$A$4:$Q$2000, 11, FALSE), 0))</f>
        <v/>
      </c>
      <c r="W26" s="8">
        <f>IFERROR(VLOOKUP(W$1&amp;"_"&amp;$A26, Predicciones_Master!$A$4:$Q$2000, 7, FALSE) &amp; " - " &amp; VLOOKUP(W$1&amp;"_"&amp;$A26, Predicciones_Master!$A$4:$Q$2000, 8, FALSE), "N/A")</f>
        <v/>
      </c>
      <c r="X26" s="12">
        <f>IF($D26="Por Jugar", "", IFERROR(VLOOKUP(W$1&amp;"_"&amp;$A26, Predicciones_Master!$A$4:$Q$2000, 11, FALSE), 0))</f>
        <v/>
      </c>
    </row>
    <row r="27" ht="20" customHeight="1">
      <c r="A27" s="8">
        <f>Resultados_Reales!A27</f>
        <v/>
      </c>
      <c r="B27" s="8">
        <f>Resultados_Reales!B27</f>
        <v/>
      </c>
      <c r="C27" s="9">
        <f>Resultados_Reales!C27 &amp; " vs " &amp; Resultados_Reales!D27</f>
        <v/>
      </c>
      <c r="D27" s="10">
        <f>IF(OR(Resultados_Reales!E27="", Resultados_Reales!F27=""), "Por Jugar", Resultados_Reales!E27 &amp; " - " &amp; Resultados_Reales!F27)</f>
        <v/>
      </c>
      <c r="E27" s="8">
        <f>IFERROR(VLOOKUP(E$1&amp;"_"&amp;$A27, Predicciones_Master!$A$4:$Q$2000, 7, FALSE) &amp; " - " &amp; VLOOKUP(E$1&amp;"_"&amp;$A27, Predicciones_Master!$A$4:$Q$2000, 8, FALSE), "N/A")</f>
        <v/>
      </c>
      <c r="F27" s="12">
        <f>IF($D27="Por Jugar", "", IFERROR(VLOOKUP(E$1&amp;"_"&amp;$A27, Predicciones_Master!$A$4:$Q$2000, 11, FALSE), 0))</f>
        <v/>
      </c>
      <c r="G27" s="8">
        <f>IFERROR(VLOOKUP(G$1&amp;"_"&amp;$A27, Predicciones_Master!$A$4:$Q$2000, 7, FALSE) &amp; " - " &amp; VLOOKUP(G$1&amp;"_"&amp;$A27, Predicciones_Master!$A$4:$Q$2000, 8, FALSE), "N/A")</f>
        <v/>
      </c>
      <c r="H27" s="12">
        <f>IF($D27="Por Jugar", "", IFERROR(VLOOKUP(G$1&amp;"_"&amp;$A27, Predicciones_Master!$A$4:$Q$2000, 11, FALSE), 0))</f>
        <v/>
      </c>
      <c r="I27" s="8">
        <f>IFERROR(VLOOKUP(I$1&amp;"_"&amp;$A27, Predicciones_Master!$A$4:$Q$2000, 7, FALSE) &amp; " - " &amp; VLOOKUP(I$1&amp;"_"&amp;$A27, Predicciones_Master!$A$4:$Q$2000, 8, FALSE), "N/A")</f>
        <v/>
      </c>
      <c r="J27" s="12">
        <f>IF($D27="Por Jugar", "", IFERROR(VLOOKUP(I$1&amp;"_"&amp;$A27, Predicciones_Master!$A$4:$Q$2000, 11, FALSE), 0))</f>
        <v/>
      </c>
      <c r="K27" s="8">
        <f>IFERROR(VLOOKUP(K$1&amp;"_"&amp;$A27, Predicciones_Master!$A$4:$Q$2000, 7, FALSE) &amp; " - " &amp; VLOOKUP(K$1&amp;"_"&amp;$A27, Predicciones_Master!$A$4:$Q$2000, 8, FALSE), "N/A")</f>
        <v/>
      </c>
      <c r="L27" s="12">
        <f>IF($D27="Por Jugar", "", IFERROR(VLOOKUP(K$1&amp;"_"&amp;$A27, Predicciones_Master!$A$4:$Q$2000, 11, FALSE), 0))</f>
        <v/>
      </c>
      <c r="M27" s="8">
        <f>IFERROR(VLOOKUP(M$1&amp;"_"&amp;$A27, Predicciones_Master!$A$4:$Q$2000, 7, FALSE) &amp; " - " &amp; VLOOKUP(M$1&amp;"_"&amp;$A27, Predicciones_Master!$A$4:$Q$2000, 8, FALSE), "N/A")</f>
        <v/>
      </c>
      <c r="N27" s="12">
        <f>IF($D27="Por Jugar", "", IFERROR(VLOOKUP(M$1&amp;"_"&amp;$A27, Predicciones_Master!$A$4:$Q$2000, 11, FALSE), 0))</f>
        <v/>
      </c>
      <c r="O27" s="8">
        <f>IFERROR(VLOOKUP(O$1&amp;"_"&amp;$A27, Predicciones_Master!$A$4:$Q$2000, 7, FALSE) &amp; " - " &amp; VLOOKUP(O$1&amp;"_"&amp;$A27, Predicciones_Master!$A$4:$Q$2000, 8, FALSE), "N/A")</f>
        <v/>
      </c>
      <c r="P27" s="12">
        <f>IF($D27="Por Jugar", "", IFERROR(VLOOKUP(O$1&amp;"_"&amp;$A27, Predicciones_Master!$A$4:$Q$2000, 11, FALSE), 0))</f>
        <v/>
      </c>
      <c r="Q27" s="8">
        <f>IFERROR(VLOOKUP(Q$1&amp;"_"&amp;$A27, Predicciones_Master!$A$4:$Q$2000, 7, FALSE) &amp; " - " &amp; VLOOKUP(Q$1&amp;"_"&amp;$A27, Predicciones_Master!$A$4:$Q$2000, 8, FALSE), "N/A")</f>
        <v/>
      </c>
      <c r="R27" s="12">
        <f>IF($D27="Por Jugar", "", IFERROR(VLOOKUP(Q$1&amp;"_"&amp;$A27, Predicciones_Master!$A$4:$Q$2000, 11, FALSE), 0))</f>
        <v/>
      </c>
      <c r="S27" s="8">
        <f>IFERROR(VLOOKUP(S$1&amp;"_"&amp;$A27, Predicciones_Master!$A$4:$Q$2000, 7, FALSE) &amp; " - " &amp; VLOOKUP(S$1&amp;"_"&amp;$A27, Predicciones_Master!$A$4:$Q$2000, 8, FALSE), "N/A")</f>
        <v/>
      </c>
      <c r="T27" s="12">
        <f>IF($D27="Por Jugar", "", IFERROR(VLOOKUP(S$1&amp;"_"&amp;$A27, Predicciones_Master!$A$4:$Q$2000, 11, FALSE), 0))</f>
        <v/>
      </c>
      <c r="U27" s="8">
        <f>IFERROR(VLOOKUP(U$1&amp;"_"&amp;$A27, Predicciones_Master!$A$4:$Q$2000, 7, FALSE) &amp; " - " &amp; VLOOKUP(U$1&amp;"_"&amp;$A27, Predicciones_Master!$A$4:$Q$2000, 8, FALSE), "N/A")</f>
        <v/>
      </c>
      <c r="V27" s="12">
        <f>IF($D27="Por Jugar", "", IFERROR(VLOOKUP(U$1&amp;"_"&amp;$A27, Predicciones_Master!$A$4:$Q$2000, 11, FALSE), 0))</f>
        <v/>
      </c>
      <c r="W27" s="8">
        <f>IFERROR(VLOOKUP(W$1&amp;"_"&amp;$A27, Predicciones_Master!$A$4:$Q$2000, 7, FALSE) &amp; " - " &amp; VLOOKUP(W$1&amp;"_"&amp;$A27, Predicciones_Master!$A$4:$Q$2000, 8, FALSE), "N/A")</f>
        <v/>
      </c>
      <c r="X27" s="12">
        <f>IF($D27="Por Jugar", "", IFERROR(VLOOKUP(W$1&amp;"_"&amp;$A27, Predicciones_Master!$A$4:$Q$2000, 11, FALSE), 0))</f>
        <v/>
      </c>
    </row>
    <row r="28" ht="20" customHeight="1">
      <c r="A28" s="8">
        <f>Resultados_Reales!A28</f>
        <v/>
      </c>
      <c r="B28" s="8">
        <f>Resultados_Reales!B28</f>
        <v/>
      </c>
      <c r="C28" s="9">
        <f>Resultados_Reales!C28 &amp; " vs " &amp; Resultados_Reales!D28</f>
        <v/>
      </c>
      <c r="D28" s="10">
        <f>IF(OR(Resultados_Reales!E28="", Resultados_Reales!F28=""), "Por Jugar", Resultados_Reales!E28 &amp; " - " &amp; Resultados_Reales!F28)</f>
        <v/>
      </c>
      <c r="E28" s="8">
        <f>IFERROR(VLOOKUP(E$1&amp;"_"&amp;$A28, Predicciones_Master!$A$4:$Q$2000, 7, FALSE) &amp; " - " &amp; VLOOKUP(E$1&amp;"_"&amp;$A28, Predicciones_Master!$A$4:$Q$2000, 8, FALSE), "N/A")</f>
        <v/>
      </c>
      <c r="F28" s="12">
        <f>IF($D28="Por Jugar", "", IFERROR(VLOOKUP(E$1&amp;"_"&amp;$A28, Predicciones_Master!$A$4:$Q$2000, 11, FALSE), 0))</f>
        <v/>
      </c>
      <c r="G28" s="8">
        <f>IFERROR(VLOOKUP(G$1&amp;"_"&amp;$A28, Predicciones_Master!$A$4:$Q$2000, 7, FALSE) &amp; " - " &amp; VLOOKUP(G$1&amp;"_"&amp;$A28, Predicciones_Master!$A$4:$Q$2000, 8, FALSE), "N/A")</f>
        <v/>
      </c>
      <c r="H28" s="12">
        <f>IF($D28="Por Jugar", "", IFERROR(VLOOKUP(G$1&amp;"_"&amp;$A28, Predicciones_Master!$A$4:$Q$2000, 11, FALSE), 0))</f>
        <v/>
      </c>
      <c r="I28" s="8">
        <f>IFERROR(VLOOKUP(I$1&amp;"_"&amp;$A28, Predicciones_Master!$A$4:$Q$2000, 7, FALSE) &amp; " - " &amp; VLOOKUP(I$1&amp;"_"&amp;$A28, Predicciones_Master!$A$4:$Q$2000, 8, FALSE), "N/A")</f>
        <v/>
      </c>
      <c r="J28" s="12">
        <f>IF($D28="Por Jugar", "", IFERROR(VLOOKUP(I$1&amp;"_"&amp;$A28, Predicciones_Master!$A$4:$Q$2000, 11, FALSE), 0))</f>
        <v/>
      </c>
      <c r="K28" s="8">
        <f>IFERROR(VLOOKUP(K$1&amp;"_"&amp;$A28, Predicciones_Master!$A$4:$Q$2000, 7, FALSE) &amp; " - " &amp; VLOOKUP(K$1&amp;"_"&amp;$A28, Predicciones_Master!$A$4:$Q$2000, 8, FALSE), "N/A")</f>
        <v/>
      </c>
      <c r="L28" s="12">
        <f>IF($D28="Por Jugar", "", IFERROR(VLOOKUP(K$1&amp;"_"&amp;$A28, Predicciones_Master!$A$4:$Q$2000, 11, FALSE), 0))</f>
        <v/>
      </c>
      <c r="M28" s="8">
        <f>IFERROR(VLOOKUP(M$1&amp;"_"&amp;$A28, Predicciones_Master!$A$4:$Q$2000, 7, FALSE) &amp; " - " &amp; VLOOKUP(M$1&amp;"_"&amp;$A28, Predicciones_Master!$A$4:$Q$2000, 8, FALSE), "N/A")</f>
        <v/>
      </c>
      <c r="N28" s="12">
        <f>IF($D28="Por Jugar", "", IFERROR(VLOOKUP(M$1&amp;"_"&amp;$A28, Predicciones_Master!$A$4:$Q$2000, 11, FALSE), 0))</f>
        <v/>
      </c>
      <c r="O28" s="8">
        <f>IFERROR(VLOOKUP(O$1&amp;"_"&amp;$A28, Predicciones_Master!$A$4:$Q$2000, 7, FALSE) &amp; " - " &amp; VLOOKUP(O$1&amp;"_"&amp;$A28, Predicciones_Master!$A$4:$Q$2000, 8, FALSE), "N/A")</f>
        <v/>
      </c>
      <c r="P28" s="12">
        <f>IF($D28="Por Jugar", "", IFERROR(VLOOKUP(O$1&amp;"_"&amp;$A28, Predicciones_Master!$A$4:$Q$2000, 11, FALSE), 0))</f>
        <v/>
      </c>
      <c r="Q28" s="8">
        <f>IFERROR(VLOOKUP(Q$1&amp;"_"&amp;$A28, Predicciones_Master!$A$4:$Q$2000, 7, FALSE) &amp; " - " &amp; VLOOKUP(Q$1&amp;"_"&amp;$A28, Predicciones_Master!$A$4:$Q$2000, 8, FALSE), "N/A")</f>
        <v/>
      </c>
      <c r="R28" s="12">
        <f>IF($D28="Por Jugar", "", IFERROR(VLOOKUP(Q$1&amp;"_"&amp;$A28, Predicciones_Master!$A$4:$Q$2000, 11, FALSE), 0))</f>
        <v/>
      </c>
      <c r="S28" s="8">
        <f>IFERROR(VLOOKUP(S$1&amp;"_"&amp;$A28, Predicciones_Master!$A$4:$Q$2000, 7, FALSE) &amp; " - " &amp; VLOOKUP(S$1&amp;"_"&amp;$A28, Predicciones_Master!$A$4:$Q$2000, 8, FALSE), "N/A")</f>
        <v/>
      </c>
      <c r="T28" s="12">
        <f>IF($D28="Por Jugar", "", IFERROR(VLOOKUP(S$1&amp;"_"&amp;$A28, Predicciones_Master!$A$4:$Q$2000, 11, FALSE), 0))</f>
        <v/>
      </c>
      <c r="U28" s="8">
        <f>IFERROR(VLOOKUP(U$1&amp;"_"&amp;$A28, Predicciones_Master!$A$4:$Q$2000, 7, FALSE) &amp; " - " &amp; VLOOKUP(U$1&amp;"_"&amp;$A28, Predicciones_Master!$A$4:$Q$2000, 8, FALSE), "N/A")</f>
        <v/>
      </c>
      <c r="V28" s="12">
        <f>IF($D28="Por Jugar", "", IFERROR(VLOOKUP(U$1&amp;"_"&amp;$A28, Predicciones_Master!$A$4:$Q$2000, 11, FALSE), 0))</f>
        <v/>
      </c>
      <c r="W28" s="8">
        <f>IFERROR(VLOOKUP(W$1&amp;"_"&amp;$A28, Predicciones_Master!$A$4:$Q$2000, 7, FALSE) &amp; " - " &amp; VLOOKUP(W$1&amp;"_"&amp;$A28, Predicciones_Master!$A$4:$Q$2000, 8, FALSE), "N/A")</f>
        <v/>
      </c>
      <c r="X28" s="12">
        <f>IF($D28="Por Jugar", "", IFERROR(VLOOKUP(W$1&amp;"_"&amp;$A28, Predicciones_Master!$A$4:$Q$2000, 11, FALSE), 0))</f>
        <v/>
      </c>
    </row>
    <row r="29" ht="20" customHeight="1">
      <c r="A29" s="8">
        <f>Resultados_Reales!A29</f>
        <v/>
      </c>
      <c r="B29" s="8">
        <f>Resultados_Reales!B29</f>
        <v/>
      </c>
      <c r="C29" s="9">
        <f>Resultados_Reales!C29 &amp; " vs " &amp; Resultados_Reales!D29</f>
        <v/>
      </c>
      <c r="D29" s="10">
        <f>IF(OR(Resultados_Reales!E29="", Resultados_Reales!F29=""), "Por Jugar", Resultados_Reales!E29 &amp; " - " &amp; Resultados_Reales!F29)</f>
        <v/>
      </c>
      <c r="E29" s="8">
        <f>IFERROR(VLOOKUP(E$1&amp;"_"&amp;$A29, Predicciones_Master!$A$4:$Q$2000, 7, FALSE) &amp; " - " &amp; VLOOKUP(E$1&amp;"_"&amp;$A29, Predicciones_Master!$A$4:$Q$2000, 8, FALSE), "N/A")</f>
        <v/>
      </c>
      <c r="F29" s="12">
        <f>IF($D29="Por Jugar", "", IFERROR(VLOOKUP(E$1&amp;"_"&amp;$A29, Predicciones_Master!$A$4:$Q$2000, 11, FALSE), 0))</f>
        <v/>
      </c>
      <c r="G29" s="8">
        <f>IFERROR(VLOOKUP(G$1&amp;"_"&amp;$A29, Predicciones_Master!$A$4:$Q$2000, 7, FALSE) &amp; " - " &amp; VLOOKUP(G$1&amp;"_"&amp;$A29, Predicciones_Master!$A$4:$Q$2000, 8, FALSE), "N/A")</f>
        <v/>
      </c>
      <c r="H29" s="12">
        <f>IF($D29="Por Jugar", "", IFERROR(VLOOKUP(G$1&amp;"_"&amp;$A29, Predicciones_Master!$A$4:$Q$2000, 11, FALSE), 0))</f>
        <v/>
      </c>
      <c r="I29" s="8">
        <f>IFERROR(VLOOKUP(I$1&amp;"_"&amp;$A29, Predicciones_Master!$A$4:$Q$2000, 7, FALSE) &amp; " - " &amp; VLOOKUP(I$1&amp;"_"&amp;$A29, Predicciones_Master!$A$4:$Q$2000, 8, FALSE), "N/A")</f>
        <v/>
      </c>
      <c r="J29" s="12">
        <f>IF($D29="Por Jugar", "", IFERROR(VLOOKUP(I$1&amp;"_"&amp;$A29, Predicciones_Master!$A$4:$Q$2000, 11, FALSE), 0))</f>
        <v/>
      </c>
      <c r="K29" s="8">
        <f>IFERROR(VLOOKUP(K$1&amp;"_"&amp;$A29, Predicciones_Master!$A$4:$Q$2000, 7, FALSE) &amp; " - " &amp; VLOOKUP(K$1&amp;"_"&amp;$A29, Predicciones_Master!$A$4:$Q$2000, 8, FALSE), "N/A")</f>
        <v/>
      </c>
      <c r="L29" s="12">
        <f>IF($D29="Por Jugar", "", IFERROR(VLOOKUP(K$1&amp;"_"&amp;$A29, Predicciones_Master!$A$4:$Q$2000, 11, FALSE), 0))</f>
        <v/>
      </c>
      <c r="M29" s="8">
        <f>IFERROR(VLOOKUP(M$1&amp;"_"&amp;$A29, Predicciones_Master!$A$4:$Q$2000, 7, FALSE) &amp; " - " &amp; VLOOKUP(M$1&amp;"_"&amp;$A29, Predicciones_Master!$A$4:$Q$2000, 8, FALSE), "N/A")</f>
        <v/>
      </c>
      <c r="N29" s="12">
        <f>IF($D29="Por Jugar", "", IFERROR(VLOOKUP(M$1&amp;"_"&amp;$A29, Predicciones_Master!$A$4:$Q$2000, 11, FALSE), 0))</f>
        <v/>
      </c>
      <c r="O29" s="8">
        <f>IFERROR(VLOOKUP(O$1&amp;"_"&amp;$A29, Predicciones_Master!$A$4:$Q$2000, 7, FALSE) &amp; " - " &amp; VLOOKUP(O$1&amp;"_"&amp;$A29, Predicciones_Master!$A$4:$Q$2000, 8, FALSE), "N/A")</f>
        <v/>
      </c>
      <c r="P29" s="12">
        <f>IF($D29="Por Jugar", "", IFERROR(VLOOKUP(O$1&amp;"_"&amp;$A29, Predicciones_Master!$A$4:$Q$2000, 11, FALSE), 0))</f>
        <v/>
      </c>
      <c r="Q29" s="8">
        <f>IFERROR(VLOOKUP(Q$1&amp;"_"&amp;$A29, Predicciones_Master!$A$4:$Q$2000, 7, FALSE) &amp; " - " &amp; VLOOKUP(Q$1&amp;"_"&amp;$A29, Predicciones_Master!$A$4:$Q$2000, 8, FALSE), "N/A")</f>
        <v/>
      </c>
      <c r="R29" s="12">
        <f>IF($D29="Por Jugar", "", IFERROR(VLOOKUP(Q$1&amp;"_"&amp;$A29, Predicciones_Master!$A$4:$Q$2000, 11, FALSE), 0))</f>
        <v/>
      </c>
      <c r="S29" s="8">
        <f>IFERROR(VLOOKUP(S$1&amp;"_"&amp;$A29, Predicciones_Master!$A$4:$Q$2000, 7, FALSE) &amp; " - " &amp; VLOOKUP(S$1&amp;"_"&amp;$A29, Predicciones_Master!$A$4:$Q$2000, 8, FALSE), "N/A")</f>
        <v/>
      </c>
      <c r="T29" s="12">
        <f>IF($D29="Por Jugar", "", IFERROR(VLOOKUP(S$1&amp;"_"&amp;$A29, Predicciones_Master!$A$4:$Q$2000, 11, FALSE), 0))</f>
        <v/>
      </c>
      <c r="U29" s="8">
        <f>IFERROR(VLOOKUP(U$1&amp;"_"&amp;$A29, Predicciones_Master!$A$4:$Q$2000, 7, FALSE) &amp; " - " &amp; VLOOKUP(U$1&amp;"_"&amp;$A29, Predicciones_Master!$A$4:$Q$2000, 8, FALSE), "N/A")</f>
        <v/>
      </c>
      <c r="V29" s="12">
        <f>IF($D29="Por Jugar", "", IFERROR(VLOOKUP(U$1&amp;"_"&amp;$A29, Predicciones_Master!$A$4:$Q$2000, 11, FALSE), 0))</f>
        <v/>
      </c>
      <c r="W29" s="8">
        <f>IFERROR(VLOOKUP(W$1&amp;"_"&amp;$A29, Predicciones_Master!$A$4:$Q$2000, 7, FALSE) &amp; " - " &amp; VLOOKUP(W$1&amp;"_"&amp;$A29, Predicciones_Master!$A$4:$Q$2000, 8, FALSE), "N/A")</f>
        <v/>
      </c>
      <c r="X29" s="12">
        <f>IF($D29="Por Jugar", "", IFERROR(VLOOKUP(W$1&amp;"_"&amp;$A29, Predicciones_Master!$A$4:$Q$2000, 11, FALSE), 0))</f>
        <v/>
      </c>
    </row>
    <row r="30" ht="20" customHeight="1">
      <c r="A30" s="8">
        <f>Resultados_Reales!A30</f>
        <v/>
      </c>
      <c r="B30" s="8">
        <f>Resultados_Reales!B30</f>
        <v/>
      </c>
      <c r="C30" s="9">
        <f>Resultados_Reales!C30 &amp; " vs " &amp; Resultados_Reales!D30</f>
        <v/>
      </c>
      <c r="D30" s="10">
        <f>IF(OR(Resultados_Reales!E30="", Resultados_Reales!F30=""), "Por Jugar", Resultados_Reales!E30 &amp; " - " &amp; Resultados_Reales!F30)</f>
        <v/>
      </c>
      <c r="E30" s="8">
        <f>IFERROR(VLOOKUP(E$1&amp;"_"&amp;$A30, Predicciones_Master!$A$4:$Q$2000, 7, FALSE) &amp; " - " &amp; VLOOKUP(E$1&amp;"_"&amp;$A30, Predicciones_Master!$A$4:$Q$2000, 8, FALSE), "N/A")</f>
        <v/>
      </c>
      <c r="F30" s="12">
        <f>IF($D30="Por Jugar", "", IFERROR(VLOOKUP(E$1&amp;"_"&amp;$A30, Predicciones_Master!$A$4:$Q$2000, 11, FALSE), 0))</f>
        <v/>
      </c>
      <c r="G30" s="8">
        <f>IFERROR(VLOOKUP(G$1&amp;"_"&amp;$A30, Predicciones_Master!$A$4:$Q$2000, 7, FALSE) &amp; " - " &amp; VLOOKUP(G$1&amp;"_"&amp;$A30, Predicciones_Master!$A$4:$Q$2000, 8, FALSE), "N/A")</f>
        <v/>
      </c>
      <c r="H30" s="12">
        <f>IF($D30="Por Jugar", "", IFERROR(VLOOKUP(G$1&amp;"_"&amp;$A30, Predicciones_Master!$A$4:$Q$2000, 11, FALSE), 0))</f>
        <v/>
      </c>
      <c r="I30" s="8">
        <f>IFERROR(VLOOKUP(I$1&amp;"_"&amp;$A30, Predicciones_Master!$A$4:$Q$2000, 7, FALSE) &amp; " - " &amp; VLOOKUP(I$1&amp;"_"&amp;$A30, Predicciones_Master!$A$4:$Q$2000, 8, FALSE), "N/A")</f>
        <v/>
      </c>
      <c r="J30" s="12">
        <f>IF($D30="Por Jugar", "", IFERROR(VLOOKUP(I$1&amp;"_"&amp;$A30, Predicciones_Master!$A$4:$Q$2000, 11, FALSE), 0))</f>
        <v/>
      </c>
      <c r="K30" s="8">
        <f>IFERROR(VLOOKUP(K$1&amp;"_"&amp;$A30, Predicciones_Master!$A$4:$Q$2000, 7, FALSE) &amp; " - " &amp; VLOOKUP(K$1&amp;"_"&amp;$A30, Predicciones_Master!$A$4:$Q$2000, 8, FALSE), "N/A")</f>
        <v/>
      </c>
      <c r="L30" s="12">
        <f>IF($D30="Por Jugar", "", IFERROR(VLOOKUP(K$1&amp;"_"&amp;$A30, Predicciones_Master!$A$4:$Q$2000, 11, FALSE), 0))</f>
        <v/>
      </c>
      <c r="M30" s="8">
        <f>IFERROR(VLOOKUP(M$1&amp;"_"&amp;$A30, Predicciones_Master!$A$4:$Q$2000, 7, FALSE) &amp; " - " &amp; VLOOKUP(M$1&amp;"_"&amp;$A30, Predicciones_Master!$A$4:$Q$2000, 8, FALSE), "N/A")</f>
        <v/>
      </c>
      <c r="N30" s="12">
        <f>IF($D30="Por Jugar", "", IFERROR(VLOOKUP(M$1&amp;"_"&amp;$A30, Predicciones_Master!$A$4:$Q$2000, 11, FALSE), 0))</f>
        <v/>
      </c>
      <c r="O30" s="8">
        <f>IFERROR(VLOOKUP(O$1&amp;"_"&amp;$A30, Predicciones_Master!$A$4:$Q$2000, 7, FALSE) &amp; " - " &amp; VLOOKUP(O$1&amp;"_"&amp;$A30, Predicciones_Master!$A$4:$Q$2000, 8, FALSE), "N/A")</f>
        <v/>
      </c>
      <c r="P30" s="12">
        <f>IF($D30="Por Jugar", "", IFERROR(VLOOKUP(O$1&amp;"_"&amp;$A30, Predicciones_Master!$A$4:$Q$2000, 11, FALSE), 0))</f>
        <v/>
      </c>
      <c r="Q30" s="8">
        <f>IFERROR(VLOOKUP(Q$1&amp;"_"&amp;$A30, Predicciones_Master!$A$4:$Q$2000, 7, FALSE) &amp; " - " &amp; VLOOKUP(Q$1&amp;"_"&amp;$A30, Predicciones_Master!$A$4:$Q$2000, 8, FALSE), "N/A")</f>
        <v/>
      </c>
      <c r="R30" s="12">
        <f>IF($D30="Por Jugar", "", IFERROR(VLOOKUP(Q$1&amp;"_"&amp;$A30, Predicciones_Master!$A$4:$Q$2000, 11, FALSE), 0))</f>
        <v/>
      </c>
      <c r="S30" s="8">
        <f>IFERROR(VLOOKUP(S$1&amp;"_"&amp;$A30, Predicciones_Master!$A$4:$Q$2000, 7, FALSE) &amp; " - " &amp; VLOOKUP(S$1&amp;"_"&amp;$A30, Predicciones_Master!$A$4:$Q$2000, 8, FALSE), "N/A")</f>
        <v/>
      </c>
      <c r="T30" s="12">
        <f>IF($D30="Por Jugar", "", IFERROR(VLOOKUP(S$1&amp;"_"&amp;$A30, Predicciones_Master!$A$4:$Q$2000, 11, FALSE), 0))</f>
        <v/>
      </c>
      <c r="U30" s="8">
        <f>IFERROR(VLOOKUP(U$1&amp;"_"&amp;$A30, Predicciones_Master!$A$4:$Q$2000, 7, FALSE) &amp; " - " &amp; VLOOKUP(U$1&amp;"_"&amp;$A30, Predicciones_Master!$A$4:$Q$2000, 8, FALSE), "N/A")</f>
        <v/>
      </c>
      <c r="V30" s="12">
        <f>IF($D30="Por Jugar", "", IFERROR(VLOOKUP(U$1&amp;"_"&amp;$A30, Predicciones_Master!$A$4:$Q$2000, 11, FALSE), 0))</f>
        <v/>
      </c>
      <c r="W30" s="8">
        <f>IFERROR(VLOOKUP(W$1&amp;"_"&amp;$A30, Predicciones_Master!$A$4:$Q$2000, 7, FALSE) &amp; " - " &amp; VLOOKUP(W$1&amp;"_"&amp;$A30, Predicciones_Master!$A$4:$Q$2000, 8, FALSE), "N/A")</f>
        <v/>
      </c>
      <c r="X30" s="12">
        <f>IF($D30="Por Jugar", "", IFERROR(VLOOKUP(W$1&amp;"_"&amp;$A30, Predicciones_Master!$A$4:$Q$2000, 11, FALSE), 0))</f>
        <v/>
      </c>
    </row>
    <row r="31" ht="20" customHeight="1">
      <c r="A31" s="8">
        <f>Resultados_Reales!A31</f>
        <v/>
      </c>
      <c r="B31" s="8">
        <f>Resultados_Reales!B31</f>
        <v/>
      </c>
      <c r="C31" s="9">
        <f>Resultados_Reales!C31 &amp; " vs " &amp; Resultados_Reales!D31</f>
        <v/>
      </c>
      <c r="D31" s="10">
        <f>IF(OR(Resultados_Reales!E31="", Resultados_Reales!F31=""), "Por Jugar", Resultados_Reales!E31 &amp; " - " &amp; Resultados_Reales!F31)</f>
        <v/>
      </c>
      <c r="E31" s="8">
        <f>IFERROR(VLOOKUP(E$1&amp;"_"&amp;$A31, Predicciones_Master!$A$4:$Q$2000, 7, FALSE) &amp; " - " &amp; VLOOKUP(E$1&amp;"_"&amp;$A31, Predicciones_Master!$A$4:$Q$2000, 8, FALSE), "N/A")</f>
        <v/>
      </c>
      <c r="F31" s="12">
        <f>IF($D31="Por Jugar", "", IFERROR(VLOOKUP(E$1&amp;"_"&amp;$A31, Predicciones_Master!$A$4:$Q$2000, 11, FALSE), 0))</f>
        <v/>
      </c>
      <c r="G31" s="8">
        <f>IFERROR(VLOOKUP(G$1&amp;"_"&amp;$A31, Predicciones_Master!$A$4:$Q$2000, 7, FALSE) &amp; " - " &amp; VLOOKUP(G$1&amp;"_"&amp;$A31, Predicciones_Master!$A$4:$Q$2000, 8, FALSE), "N/A")</f>
        <v/>
      </c>
      <c r="H31" s="12">
        <f>IF($D31="Por Jugar", "", IFERROR(VLOOKUP(G$1&amp;"_"&amp;$A31, Predicciones_Master!$A$4:$Q$2000, 11, FALSE), 0))</f>
        <v/>
      </c>
      <c r="I31" s="8">
        <f>IFERROR(VLOOKUP(I$1&amp;"_"&amp;$A31, Predicciones_Master!$A$4:$Q$2000, 7, FALSE) &amp; " - " &amp; VLOOKUP(I$1&amp;"_"&amp;$A31, Predicciones_Master!$A$4:$Q$2000, 8, FALSE), "N/A")</f>
        <v/>
      </c>
      <c r="J31" s="12">
        <f>IF($D31="Por Jugar", "", IFERROR(VLOOKUP(I$1&amp;"_"&amp;$A31, Predicciones_Master!$A$4:$Q$2000, 11, FALSE), 0))</f>
        <v/>
      </c>
      <c r="K31" s="8">
        <f>IFERROR(VLOOKUP(K$1&amp;"_"&amp;$A31, Predicciones_Master!$A$4:$Q$2000, 7, FALSE) &amp; " - " &amp; VLOOKUP(K$1&amp;"_"&amp;$A31, Predicciones_Master!$A$4:$Q$2000, 8, FALSE), "N/A")</f>
        <v/>
      </c>
      <c r="L31" s="12">
        <f>IF($D31="Por Jugar", "", IFERROR(VLOOKUP(K$1&amp;"_"&amp;$A31, Predicciones_Master!$A$4:$Q$2000, 11, FALSE), 0))</f>
        <v/>
      </c>
      <c r="M31" s="8">
        <f>IFERROR(VLOOKUP(M$1&amp;"_"&amp;$A31, Predicciones_Master!$A$4:$Q$2000, 7, FALSE) &amp; " - " &amp; VLOOKUP(M$1&amp;"_"&amp;$A31, Predicciones_Master!$A$4:$Q$2000, 8, FALSE), "N/A")</f>
        <v/>
      </c>
      <c r="N31" s="12">
        <f>IF($D31="Por Jugar", "", IFERROR(VLOOKUP(M$1&amp;"_"&amp;$A31, Predicciones_Master!$A$4:$Q$2000, 11, FALSE), 0))</f>
        <v/>
      </c>
      <c r="O31" s="8">
        <f>IFERROR(VLOOKUP(O$1&amp;"_"&amp;$A31, Predicciones_Master!$A$4:$Q$2000, 7, FALSE) &amp; " - " &amp; VLOOKUP(O$1&amp;"_"&amp;$A31, Predicciones_Master!$A$4:$Q$2000, 8, FALSE), "N/A")</f>
        <v/>
      </c>
      <c r="P31" s="12">
        <f>IF($D31="Por Jugar", "", IFERROR(VLOOKUP(O$1&amp;"_"&amp;$A31, Predicciones_Master!$A$4:$Q$2000, 11, FALSE), 0))</f>
        <v/>
      </c>
      <c r="Q31" s="8">
        <f>IFERROR(VLOOKUP(Q$1&amp;"_"&amp;$A31, Predicciones_Master!$A$4:$Q$2000, 7, FALSE) &amp; " - " &amp; VLOOKUP(Q$1&amp;"_"&amp;$A31, Predicciones_Master!$A$4:$Q$2000, 8, FALSE), "N/A")</f>
        <v/>
      </c>
      <c r="R31" s="12">
        <f>IF($D31="Por Jugar", "", IFERROR(VLOOKUP(Q$1&amp;"_"&amp;$A31, Predicciones_Master!$A$4:$Q$2000, 11, FALSE), 0))</f>
        <v/>
      </c>
      <c r="S31" s="8">
        <f>IFERROR(VLOOKUP(S$1&amp;"_"&amp;$A31, Predicciones_Master!$A$4:$Q$2000, 7, FALSE) &amp; " - " &amp; VLOOKUP(S$1&amp;"_"&amp;$A31, Predicciones_Master!$A$4:$Q$2000, 8, FALSE), "N/A")</f>
        <v/>
      </c>
      <c r="T31" s="12">
        <f>IF($D31="Por Jugar", "", IFERROR(VLOOKUP(S$1&amp;"_"&amp;$A31, Predicciones_Master!$A$4:$Q$2000, 11, FALSE), 0))</f>
        <v/>
      </c>
      <c r="U31" s="8">
        <f>IFERROR(VLOOKUP(U$1&amp;"_"&amp;$A31, Predicciones_Master!$A$4:$Q$2000, 7, FALSE) &amp; " - " &amp; VLOOKUP(U$1&amp;"_"&amp;$A31, Predicciones_Master!$A$4:$Q$2000, 8, FALSE), "N/A")</f>
        <v/>
      </c>
      <c r="V31" s="12">
        <f>IF($D31="Por Jugar", "", IFERROR(VLOOKUP(U$1&amp;"_"&amp;$A31, Predicciones_Master!$A$4:$Q$2000, 11, FALSE), 0))</f>
        <v/>
      </c>
      <c r="W31" s="8">
        <f>IFERROR(VLOOKUP(W$1&amp;"_"&amp;$A31, Predicciones_Master!$A$4:$Q$2000, 7, FALSE) &amp; " - " &amp; VLOOKUP(W$1&amp;"_"&amp;$A31, Predicciones_Master!$A$4:$Q$2000, 8, FALSE), "N/A")</f>
        <v/>
      </c>
      <c r="X31" s="12">
        <f>IF($D31="Por Jugar", "", IFERROR(VLOOKUP(W$1&amp;"_"&amp;$A31, Predicciones_Master!$A$4:$Q$2000, 11, FALSE), 0))</f>
        <v/>
      </c>
    </row>
    <row r="32" ht="20" customHeight="1">
      <c r="A32" s="8">
        <f>Resultados_Reales!A32</f>
        <v/>
      </c>
      <c r="B32" s="8">
        <f>Resultados_Reales!B32</f>
        <v/>
      </c>
      <c r="C32" s="9">
        <f>Resultados_Reales!C32 &amp; " vs " &amp; Resultados_Reales!D32</f>
        <v/>
      </c>
      <c r="D32" s="10">
        <f>IF(OR(Resultados_Reales!E32="", Resultados_Reales!F32=""), "Por Jugar", Resultados_Reales!E32 &amp; " - " &amp; Resultados_Reales!F32)</f>
        <v/>
      </c>
      <c r="E32" s="8">
        <f>IFERROR(VLOOKUP(E$1&amp;"_"&amp;$A32, Predicciones_Master!$A$4:$Q$2000, 7, FALSE) &amp; " - " &amp; VLOOKUP(E$1&amp;"_"&amp;$A32, Predicciones_Master!$A$4:$Q$2000, 8, FALSE), "N/A")</f>
        <v/>
      </c>
      <c r="F32" s="12">
        <f>IF($D32="Por Jugar", "", IFERROR(VLOOKUP(E$1&amp;"_"&amp;$A32, Predicciones_Master!$A$4:$Q$2000, 11, FALSE), 0))</f>
        <v/>
      </c>
      <c r="G32" s="8">
        <f>IFERROR(VLOOKUP(G$1&amp;"_"&amp;$A32, Predicciones_Master!$A$4:$Q$2000, 7, FALSE) &amp; " - " &amp; VLOOKUP(G$1&amp;"_"&amp;$A32, Predicciones_Master!$A$4:$Q$2000, 8, FALSE), "N/A")</f>
        <v/>
      </c>
      <c r="H32" s="12">
        <f>IF($D32="Por Jugar", "", IFERROR(VLOOKUP(G$1&amp;"_"&amp;$A32, Predicciones_Master!$A$4:$Q$2000, 11, FALSE), 0))</f>
        <v/>
      </c>
      <c r="I32" s="8">
        <f>IFERROR(VLOOKUP(I$1&amp;"_"&amp;$A32, Predicciones_Master!$A$4:$Q$2000, 7, FALSE) &amp; " - " &amp; VLOOKUP(I$1&amp;"_"&amp;$A32, Predicciones_Master!$A$4:$Q$2000, 8, FALSE), "N/A")</f>
        <v/>
      </c>
      <c r="J32" s="12">
        <f>IF($D32="Por Jugar", "", IFERROR(VLOOKUP(I$1&amp;"_"&amp;$A32, Predicciones_Master!$A$4:$Q$2000, 11, FALSE), 0))</f>
        <v/>
      </c>
      <c r="K32" s="8">
        <f>IFERROR(VLOOKUP(K$1&amp;"_"&amp;$A32, Predicciones_Master!$A$4:$Q$2000, 7, FALSE) &amp; " - " &amp; VLOOKUP(K$1&amp;"_"&amp;$A32, Predicciones_Master!$A$4:$Q$2000, 8, FALSE), "N/A")</f>
        <v/>
      </c>
      <c r="L32" s="12">
        <f>IF($D32="Por Jugar", "", IFERROR(VLOOKUP(K$1&amp;"_"&amp;$A32, Predicciones_Master!$A$4:$Q$2000, 11, FALSE), 0))</f>
        <v/>
      </c>
      <c r="M32" s="8">
        <f>IFERROR(VLOOKUP(M$1&amp;"_"&amp;$A32, Predicciones_Master!$A$4:$Q$2000, 7, FALSE) &amp; " - " &amp; VLOOKUP(M$1&amp;"_"&amp;$A32, Predicciones_Master!$A$4:$Q$2000, 8, FALSE), "N/A")</f>
        <v/>
      </c>
      <c r="N32" s="12">
        <f>IF($D32="Por Jugar", "", IFERROR(VLOOKUP(M$1&amp;"_"&amp;$A32, Predicciones_Master!$A$4:$Q$2000, 11, FALSE), 0))</f>
        <v/>
      </c>
      <c r="O32" s="8">
        <f>IFERROR(VLOOKUP(O$1&amp;"_"&amp;$A32, Predicciones_Master!$A$4:$Q$2000, 7, FALSE) &amp; " - " &amp; VLOOKUP(O$1&amp;"_"&amp;$A32, Predicciones_Master!$A$4:$Q$2000, 8, FALSE), "N/A")</f>
        <v/>
      </c>
      <c r="P32" s="12">
        <f>IF($D32="Por Jugar", "", IFERROR(VLOOKUP(O$1&amp;"_"&amp;$A32, Predicciones_Master!$A$4:$Q$2000, 11, FALSE), 0))</f>
        <v/>
      </c>
      <c r="Q32" s="8">
        <f>IFERROR(VLOOKUP(Q$1&amp;"_"&amp;$A32, Predicciones_Master!$A$4:$Q$2000, 7, FALSE) &amp; " - " &amp; VLOOKUP(Q$1&amp;"_"&amp;$A32, Predicciones_Master!$A$4:$Q$2000, 8, FALSE), "N/A")</f>
        <v/>
      </c>
      <c r="R32" s="12">
        <f>IF($D32="Por Jugar", "", IFERROR(VLOOKUP(Q$1&amp;"_"&amp;$A32, Predicciones_Master!$A$4:$Q$2000, 11, FALSE), 0))</f>
        <v/>
      </c>
      <c r="S32" s="8">
        <f>IFERROR(VLOOKUP(S$1&amp;"_"&amp;$A32, Predicciones_Master!$A$4:$Q$2000, 7, FALSE) &amp; " - " &amp; VLOOKUP(S$1&amp;"_"&amp;$A32, Predicciones_Master!$A$4:$Q$2000, 8, FALSE), "N/A")</f>
        <v/>
      </c>
      <c r="T32" s="12">
        <f>IF($D32="Por Jugar", "", IFERROR(VLOOKUP(S$1&amp;"_"&amp;$A32, Predicciones_Master!$A$4:$Q$2000, 11, FALSE), 0))</f>
        <v/>
      </c>
      <c r="U32" s="8">
        <f>IFERROR(VLOOKUP(U$1&amp;"_"&amp;$A32, Predicciones_Master!$A$4:$Q$2000, 7, FALSE) &amp; " - " &amp; VLOOKUP(U$1&amp;"_"&amp;$A32, Predicciones_Master!$A$4:$Q$2000, 8, FALSE), "N/A")</f>
        <v/>
      </c>
      <c r="V32" s="12">
        <f>IF($D32="Por Jugar", "", IFERROR(VLOOKUP(U$1&amp;"_"&amp;$A32, Predicciones_Master!$A$4:$Q$2000, 11, FALSE), 0))</f>
        <v/>
      </c>
      <c r="W32" s="8">
        <f>IFERROR(VLOOKUP(W$1&amp;"_"&amp;$A32, Predicciones_Master!$A$4:$Q$2000, 7, FALSE) &amp; " - " &amp; VLOOKUP(W$1&amp;"_"&amp;$A32, Predicciones_Master!$A$4:$Q$2000, 8, FALSE), "N/A")</f>
        <v/>
      </c>
      <c r="X32" s="12">
        <f>IF($D32="Por Jugar", "", IFERROR(VLOOKUP(W$1&amp;"_"&amp;$A32, Predicciones_Master!$A$4:$Q$2000, 11, FALSE), 0))</f>
        <v/>
      </c>
    </row>
    <row r="33" ht="20" customHeight="1">
      <c r="A33" s="8">
        <f>Resultados_Reales!A33</f>
        <v/>
      </c>
      <c r="B33" s="8">
        <f>Resultados_Reales!B33</f>
        <v/>
      </c>
      <c r="C33" s="9">
        <f>Resultados_Reales!C33 &amp; " vs " &amp; Resultados_Reales!D33</f>
        <v/>
      </c>
      <c r="D33" s="10">
        <f>IF(OR(Resultados_Reales!E33="", Resultados_Reales!F33=""), "Por Jugar", Resultados_Reales!E33 &amp; " - " &amp; Resultados_Reales!F33)</f>
        <v/>
      </c>
      <c r="E33" s="8">
        <f>IFERROR(VLOOKUP(E$1&amp;"_"&amp;$A33, Predicciones_Master!$A$4:$Q$2000, 7, FALSE) &amp; " - " &amp; VLOOKUP(E$1&amp;"_"&amp;$A33, Predicciones_Master!$A$4:$Q$2000, 8, FALSE), "N/A")</f>
        <v/>
      </c>
      <c r="F33" s="12">
        <f>IF($D33="Por Jugar", "", IFERROR(VLOOKUP(E$1&amp;"_"&amp;$A33, Predicciones_Master!$A$4:$Q$2000, 11, FALSE), 0))</f>
        <v/>
      </c>
      <c r="G33" s="8">
        <f>IFERROR(VLOOKUP(G$1&amp;"_"&amp;$A33, Predicciones_Master!$A$4:$Q$2000, 7, FALSE) &amp; " - " &amp; VLOOKUP(G$1&amp;"_"&amp;$A33, Predicciones_Master!$A$4:$Q$2000, 8, FALSE), "N/A")</f>
        <v/>
      </c>
      <c r="H33" s="12">
        <f>IF($D33="Por Jugar", "", IFERROR(VLOOKUP(G$1&amp;"_"&amp;$A33, Predicciones_Master!$A$4:$Q$2000, 11, FALSE), 0))</f>
        <v/>
      </c>
      <c r="I33" s="8">
        <f>IFERROR(VLOOKUP(I$1&amp;"_"&amp;$A33, Predicciones_Master!$A$4:$Q$2000, 7, FALSE) &amp; " - " &amp; VLOOKUP(I$1&amp;"_"&amp;$A33, Predicciones_Master!$A$4:$Q$2000, 8, FALSE), "N/A")</f>
        <v/>
      </c>
      <c r="J33" s="12">
        <f>IF($D33="Por Jugar", "", IFERROR(VLOOKUP(I$1&amp;"_"&amp;$A33, Predicciones_Master!$A$4:$Q$2000, 11, FALSE), 0))</f>
        <v/>
      </c>
      <c r="K33" s="8">
        <f>IFERROR(VLOOKUP(K$1&amp;"_"&amp;$A33, Predicciones_Master!$A$4:$Q$2000, 7, FALSE) &amp; " - " &amp; VLOOKUP(K$1&amp;"_"&amp;$A33, Predicciones_Master!$A$4:$Q$2000, 8, FALSE), "N/A")</f>
        <v/>
      </c>
      <c r="L33" s="12">
        <f>IF($D33="Por Jugar", "", IFERROR(VLOOKUP(K$1&amp;"_"&amp;$A33, Predicciones_Master!$A$4:$Q$2000, 11, FALSE), 0))</f>
        <v/>
      </c>
      <c r="M33" s="8">
        <f>IFERROR(VLOOKUP(M$1&amp;"_"&amp;$A33, Predicciones_Master!$A$4:$Q$2000, 7, FALSE) &amp; " - " &amp; VLOOKUP(M$1&amp;"_"&amp;$A33, Predicciones_Master!$A$4:$Q$2000, 8, FALSE), "N/A")</f>
        <v/>
      </c>
      <c r="N33" s="12">
        <f>IF($D33="Por Jugar", "", IFERROR(VLOOKUP(M$1&amp;"_"&amp;$A33, Predicciones_Master!$A$4:$Q$2000, 11, FALSE), 0))</f>
        <v/>
      </c>
      <c r="O33" s="8">
        <f>IFERROR(VLOOKUP(O$1&amp;"_"&amp;$A33, Predicciones_Master!$A$4:$Q$2000, 7, FALSE) &amp; " - " &amp; VLOOKUP(O$1&amp;"_"&amp;$A33, Predicciones_Master!$A$4:$Q$2000, 8, FALSE), "N/A")</f>
        <v/>
      </c>
      <c r="P33" s="12">
        <f>IF($D33="Por Jugar", "", IFERROR(VLOOKUP(O$1&amp;"_"&amp;$A33, Predicciones_Master!$A$4:$Q$2000, 11, FALSE), 0))</f>
        <v/>
      </c>
      <c r="Q33" s="8">
        <f>IFERROR(VLOOKUP(Q$1&amp;"_"&amp;$A33, Predicciones_Master!$A$4:$Q$2000, 7, FALSE) &amp; " - " &amp; VLOOKUP(Q$1&amp;"_"&amp;$A33, Predicciones_Master!$A$4:$Q$2000, 8, FALSE), "N/A")</f>
        <v/>
      </c>
      <c r="R33" s="12">
        <f>IF($D33="Por Jugar", "", IFERROR(VLOOKUP(Q$1&amp;"_"&amp;$A33, Predicciones_Master!$A$4:$Q$2000, 11, FALSE), 0))</f>
        <v/>
      </c>
      <c r="S33" s="8">
        <f>IFERROR(VLOOKUP(S$1&amp;"_"&amp;$A33, Predicciones_Master!$A$4:$Q$2000, 7, FALSE) &amp; " - " &amp; VLOOKUP(S$1&amp;"_"&amp;$A33, Predicciones_Master!$A$4:$Q$2000, 8, FALSE), "N/A")</f>
        <v/>
      </c>
      <c r="T33" s="12">
        <f>IF($D33="Por Jugar", "", IFERROR(VLOOKUP(S$1&amp;"_"&amp;$A33, Predicciones_Master!$A$4:$Q$2000, 11, FALSE), 0))</f>
        <v/>
      </c>
      <c r="U33" s="8">
        <f>IFERROR(VLOOKUP(U$1&amp;"_"&amp;$A33, Predicciones_Master!$A$4:$Q$2000, 7, FALSE) &amp; " - " &amp; VLOOKUP(U$1&amp;"_"&amp;$A33, Predicciones_Master!$A$4:$Q$2000, 8, FALSE), "N/A")</f>
        <v/>
      </c>
      <c r="V33" s="12">
        <f>IF($D33="Por Jugar", "", IFERROR(VLOOKUP(U$1&amp;"_"&amp;$A33, Predicciones_Master!$A$4:$Q$2000, 11, FALSE), 0))</f>
        <v/>
      </c>
      <c r="W33" s="8">
        <f>IFERROR(VLOOKUP(W$1&amp;"_"&amp;$A33, Predicciones_Master!$A$4:$Q$2000, 7, FALSE) &amp; " - " &amp; VLOOKUP(W$1&amp;"_"&amp;$A33, Predicciones_Master!$A$4:$Q$2000, 8, FALSE), "N/A")</f>
        <v/>
      </c>
      <c r="X33" s="12">
        <f>IF($D33="Por Jugar", "", IFERROR(VLOOKUP(W$1&amp;"_"&amp;$A33, Predicciones_Master!$A$4:$Q$2000, 11, FALSE), 0))</f>
        <v/>
      </c>
    </row>
    <row r="34" ht="20" customHeight="1">
      <c r="A34" s="8">
        <f>Resultados_Reales!A34</f>
        <v/>
      </c>
      <c r="B34" s="8">
        <f>Resultados_Reales!B34</f>
        <v/>
      </c>
      <c r="C34" s="9">
        <f>Resultados_Reales!C34 &amp; " vs " &amp; Resultados_Reales!D34</f>
        <v/>
      </c>
      <c r="D34" s="10">
        <f>IF(OR(Resultados_Reales!E34="", Resultados_Reales!F34=""), "Por Jugar", Resultados_Reales!E34 &amp; " - " &amp; Resultados_Reales!F34)</f>
        <v/>
      </c>
      <c r="E34" s="8">
        <f>IFERROR(VLOOKUP(E$1&amp;"_"&amp;$A34, Predicciones_Master!$A$4:$Q$2000, 7, FALSE) &amp; " - " &amp; VLOOKUP(E$1&amp;"_"&amp;$A34, Predicciones_Master!$A$4:$Q$2000, 8, FALSE), "N/A")</f>
        <v/>
      </c>
      <c r="F34" s="12">
        <f>IF($D34="Por Jugar", "", IFERROR(VLOOKUP(E$1&amp;"_"&amp;$A34, Predicciones_Master!$A$4:$Q$2000, 11, FALSE), 0))</f>
        <v/>
      </c>
      <c r="G34" s="8">
        <f>IFERROR(VLOOKUP(G$1&amp;"_"&amp;$A34, Predicciones_Master!$A$4:$Q$2000, 7, FALSE) &amp; " - " &amp; VLOOKUP(G$1&amp;"_"&amp;$A34, Predicciones_Master!$A$4:$Q$2000, 8, FALSE), "N/A")</f>
        <v/>
      </c>
      <c r="H34" s="12">
        <f>IF($D34="Por Jugar", "", IFERROR(VLOOKUP(G$1&amp;"_"&amp;$A34, Predicciones_Master!$A$4:$Q$2000, 11, FALSE), 0))</f>
        <v/>
      </c>
      <c r="I34" s="8">
        <f>IFERROR(VLOOKUP(I$1&amp;"_"&amp;$A34, Predicciones_Master!$A$4:$Q$2000, 7, FALSE) &amp; " - " &amp; VLOOKUP(I$1&amp;"_"&amp;$A34, Predicciones_Master!$A$4:$Q$2000, 8, FALSE), "N/A")</f>
        <v/>
      </c>
      <c r="J34" s="12">
        <f>IF($D34="Por Jugar", "", IFERROR(VLOOKUP(I$1&amp;"_"&amp;$A34, Predicciones_Master!$A$4:$Q$2000, 11, FALSE), 0))</f>
        <v/>
      </c>
      <c r="K34" s="8">
        <f>IFERROR(VLOOKUP(K$1&amp;"_"&amp;$A34, Predicciones_Master!$A$4:$Q$2000, 7, FALSE) &amp; " - " &amp; VLOOKUP(K$1&amp;"_"&amp;$A34, Predicciones_Master!$A$4:$Q$2000, 8, FALSE), "N/A")</f>
        <v/>
      </c>
      <c r="L34" s="12">
        <f>IF($D34="Por Jugar", "", IFERROR(VLOOKUP(K$1&amp;"_"&amp;$A34, Predicciones_Master!$A$4:$Q$2000, 11, FALSE), 0))</f>
        <v/>
      </c>
      <c r="M34" s="8">
        <f>IFERROR(VLOOKUP(M$1&amp;"_"&amp;$A34, Predicciones_Master!$A$4:$Q$2000, 7, FALSE) &amp; " - " &amp; VLOOKUP(M$1&amp;"_"&amp;$A34, Predicciones_Master!$A$4:$Q$2000, 8, FALSE), "N/A")</f>
        <v/>
      </c>
      <c r="N34" s="12">
        <f>IF($D34="Por Jugar", "", IFERROR(VLOOKUP(M$1&amp;"_"&amp;$A34, Predicciones_Master!$A$4:$Q$2000, 11, FALSE), 0))</f>
        <v/>
      </c>
      <c r="O34" s="8">
        <f>IFERROR(VLOOKUP(O$1&amp;"_"&amp;$A34, Predicciones_Master!$A$4:$Q$2000, 7, FALSE) &amp; " - " &amp; VLOOKUP(O$1&amp;"_"&amp;$A34, Predicciones_Master!$A$4:$Q$2000, 8, FALSE), "N/A")</f>
        <v/>
      </c>
      <c r="P34" s="12">
        <f>IF($D34="Por Jugar", "", IFERROR(VLOOKUP(O$1&amp;"_"&amp;$A34, Predicciones_Master!$A$4:$Q$2000, 11, FALSE), 0))</f>
        <v/>
      </c>
      <c r="Q34" s="8">
        <f>IFERROR(VLOOKUP(Q$1&amp;"_"&amp;$A34, Predicciones_Master!$A$4:$Q$2000, 7, FALSE) &amp; " - " &amp; VLOOKUP(Q$1&amp;"_"&amp;$A34, Predicciones_Master!$A$4:$Q$2000, 8, FALSE), "N/A")</f>
        <v/>
      </c>
      <c r="R34" s="12">
        <f>IF($D34="Por Jugar", "", IFERROR(VLOOKUP(Q$1&amp;"_"&amp;$A34, Predicciones_Master!$A$4:$Q$2000, 11, FALSE), 0))</f>
        <v/>
      </c>
      <c r="S34" s="8">
        <f>IFERROR(VLOOKUP(S$1&amp;"_"&amp;$A34, Predicciones_Master!$A$4:$Q$2000, 7, FALSE) &amp; " - " &amp; VLOOKUP(S$1&amp;"_"&amp;$A34, Predicciones_Master!$A$4:$Q$2000, 8, FALSE), "N/A")</f>
        <v/>
      </c>
      <c r="T34" s="12">
        <f>IF($D34="Por Jugar", "", IFERROR(VLOOKUP(S$1&amp;"_"&amp;$A34, Predicciones_Master!$A$4:$Q$2000, 11, FALSE), 0))</f>
        <v/>
      </c>
      <c r="U34" s="8">
        <f>IFERROR(VLOOKUP(U$1&amp;"_"&amp;$A34, Predicciones_Master!$A$4:$Q$2000, 7, FALSE) &amp; " - " &amp; VLOOKUP(U$1&amp;"_"&amp;$A34, Predicciones_Master!$A$4:$Q$2000, 8, FALSE), "N/A")</f>
        <v/>
      </c>
      <c r="V34" s="12">
        <f>IF($D34="Por Jugar", "", IFERROR(VLOOKUP(U$1&amp;"_"&amp;$A34, Predicciones_Master!$A$4:$Q$2000, 11, FALSE), 0))</f>
        <v/>
      </c>
      <c r="W34" s="8">
        <f>IFERROR(VLOOKUP(W$1&amp;"_"&amp;$A34, Predicciones_Master!$A$4:$Q$2000, 7, FALSE) &amp; " - " &amp; VLOOKUP(W$1&amp;"_"&amp;$A34, Predicciones_Master!$A$4:$Q$2000, 8, FALSE), "N/A")</f>
        <v/>
      </c>
      <c r="X34" s="12">
        <f>IF($D34="Por Jugar", "", IFERROR(VLOOKUP(W$1&amp;"_"&amp;$A34, Predicciones_Master!$A$4:$Q$2000, 11, FALSE), 0))</f>
        <v/>
      </c>
    </row>
    <row r="35" ht="20" customHeight="1">
      <c r="A35" s="8">
        <f>Resultados_Reales!A35</f>
        <v/>
      </c>
      <c r="B35" s="8">
        <f>Resultados_Reales!B35</f>
        <v/>
      </c>
      <c r="C35" s="9">
        <f>Resultados_Reales!C35 &amp; " vs " &amp; Resultados_Reales!D35</f>
        <v/>
      </c>
      <c r="D35" s="10">
        <f>IF(OR(Resultados_Reales!E35="", Resultados_Reales!F35=""), "Por Jugar", Resultados_Reales!E35 &amp; " - " &amp; Resultados_Reales!F35)</f>
        <v/>
      </c>
      <c r="E35" s="8">
        <f>IFERROR(VLOOKUP(E$1&amp;"_"&amp;$A35, Predicciones_Master!$A$4:$Q$2000, 7, FALSE) &amp; " - " &amp; VLOOKUP(E$1&amp;"_"&amp;$A35, Predicciones_Master!$A$4:$Q$2000, 8, FALSE), "N/A")</f>
        <v/>
      </c>
      <c r="F35" s="12">
        <f>IF($D35="Por Jugar", "", IFERROR(VLOOKUP(E$1&amp;"_"&amp;$A35, Predicciones_Master!$A$4:$Q$2000, 11, FALSE), 0))</f>
        <v/>
      </c>
      <c r="G35" s="8">
        <f>IFERROR(VLOOKUP(G$1&amp;"_"&amp;$A35, Predicciones_Master!$A$4:$Q$2000, 7, FALSE) &amp; " - " &amp; VLOOKUP(G$1&amp;"_"&amp;$A35, Predicciones_Master!$A$4:$Q$2000, 8, FALSE), "N/A")</f>
        <v/>
      </c>
      <c r="H35" s="12">
        <f>IF($D35="Por Jugar", "", IFERROR(VLOOKUP(G$1&amp;"_"&amp;$A35, Predicciones_Master!$A$4:$Q$2000, 11, FALSE), 0))</f>
        <v/>
      </c>
      <c r="I35" s="8">
        <f>IFERROR(VLOOKUP(I$1&amp;"_"&amp;$A35, Predicciones_Master!$A$4:$Q$2000, 7, FALSE) &amp; " - " &amp; VLOOKUP(I$1&amp;"_"&amp;$A35, Predicciones_Master!$A$4:$Q$2000, 8, FALSE), "N/A")</f>
        <v/>
      </c>
      <c r="J35" s="12">
        <f>IF($D35="Por Jugar", "", IFERROR(VLOOKUP(I$1&amp;"_"&amp;$A35, Predicciones_Master!$A$4:$Q$2000, 11, FALSE), 0))</f>
        <v/>
      </c>
      <c r="K35" s="8">
        <f>IFERROR(VLOOKUP(K$1&amp;"_"&amp;$A35, Predicciones_Master!$A$4:$Q$2000, 7, FALSE) &amp; " - " &amp; VLOOKUP(K$1&amp;"_"&amp;$A35, Predicciones_Master!$A$4:$Q$2000, 8, FALSE), "N/A")</f>
        <v/>
      </c>
      <c r="L35" s="12">
        <f>IF($D35="Por Jugar", "", IFERROR(VLOOKUP(K$1&amp;"_"&amp;$A35, Predicciones_Master!$A$4:$Q$2000, 11, FALSE), 0))</f>
        <v/>
      </c>
      <c r="M35" s="8">
        <f>IFERROR(VLOOKUP(M$1&amp;"_"&amp;$A35, Predicciones_Master!$A$4:$Q$2000, 7, FALSE) &amp; " - " &amp; VLOOKUP(M$1&amp;"_"&amp;$A35, Predicciones_Master!$A$4:$Q$2000, 8, FALSE), "N/A")</f>
        <v/>
      </c>
      <c r="N35" s="12">
        <f>IF($D35="Por Jugar", "", IFERROR(VLOOKUP(M$1&amp;"_"&amp;$A35, Predicciones_Master!$A$4:$Q$2000, 11, FALSE), 0))</f>
        <v/>
      </c>
      <c r="O35" s="8">
        <f>IFERROR(VLOOKUP(O$1&amp;"_"&amp;$A35, Predicciones_Master!$A$4:$Q$2000, 7, FALSE) &amp; " - " &amp; VLOOKUP(O$1&amp;"_"&amp;$A35, Predicciones_Master!$A$4:$Q$2000, 8, FALSE), "N/A")</f>
        <v/>
      </c>
      <c r="P35" s="12">
        <f>IF($D35="Por Jugar", "", IFERROR(VLOOKUP(O$1&amp;"_"&amp;$A35, Predicciones_Master!$A$4:$Q$2000, 11, FALSE), 0))</f>
        <v/>
      </c>
      <c r="Q35" s="8">
        <f>IFERROR(VLOOKUP(Q$1&amp;"_"&amp;$A35, Predicciones_Master!$A$4:$Q$2000, 7, FALSE) &amp; " - " &amp; VLOOKUP(Q$1&amp;"_"&amp;$A35, Predicciones_Master!$A$4:$Q$2000, 8, FALSE), "N/A")</f>
        <v/>
      </c>
      <c r="R35" s="12">
        <f>IF($D35="Por Jugar", "", IFERROR(VLOOKUP(Q$1&amp;"_"&amp;$A35, Predicciones_Master!$A$4:$Q$2000, 11, FALSE), 0))</f>
        <v/>
      </c>
      <c r="S35" s="8">
        <f>IFERROR(VLOOKUP(S$1&amp;"_"&amp;$A35, Predicciones_Master!$A$4:$Q$2000, 7, FALSE) &amp; " - " &amp; VLOOKUP(S$1&amp;"_"&amp;$A35, Predicciones_Master!$A$4:$Q$2000, 8, FALSE), "N/A")</f>
        <v/>
      </c>
      <c r="T35" s="12">
        <f>IF($D35="Por Jugar", "", IFERROR(VLOOKUP(S$1&amp;"_"&amp;$A35, Predicciones_Master!$A$4:$Q$2000, 11, FALSE), 0))</f>
        <v/>
      </c>
      <c r="U35" s="8">
        <f>IFERROR(VLOOKUP(U$1&amp;"_"&amp;$A35, Predicciones_Master!$A$4:$Q$2000, 7, FALSE) &amp; " - " &amp; VLOOKUP(U$1&amp;"_"&amp;$A35, Predicciones_Master!$A$4:$Q$2000, 8, FALSE), "N/A")</f>
        <v/>
      </c>
      <c r="V35" s="12">
        <f>IF($D35="Por Jugar", "", IFERROR(VLOOKUP(U$1&amp;"_"&amp;$A35, Predicciones_Master!$A$4:$Q$2000, 11, FALSE), 0))</f>
        <v/>
      </c>
      <c r="W35" s="8">
        <f>IFERROR(VLOOKUP(W$1&amp;"_"&amp;$A35, Predicciones_Master!$A$4:$Q$2000, 7, FALSE) &amp; " - " &amp; VLOOKUP(W$1&amp;"_"&amp;$A35, Predicciones_Master!$A$4:$Q$2000, 8, FALSE), "N/A")</f>
        <v/>
      </c>
      <c r="X35" s="12">
        <f>IF($D35="Por Jugar", "", IFERROR(VLOOKUP(W$1&amp;"_"&amp;$A35, Predicciones_Master!$A$4:$Q$2000, 11, FALSE), 0))</f>
        <v/>
      </c>
    </row>
    <row r="36" ht="20" customHeight="1">
      <c r="A36" s="8">
        <f>Resultados_Reales!A36</f>
        <v/>
      </c>
      <c r="B36" s="8">
        <f>Resultados_Reales!B36</f>
        <v/>
      </c>
      <c r="C36" s="9">
        <f>Resultados_Reales!C36 &amp; " vs " &amp; Resultados_Reales!D36</f>
        <v/>
      </c>
      <c r="D36" s="10">
        <f>IF(OR(Resultados_Reales!E36="", Resultados_Reales!F36=""), "Por Jugar", Resultados_Reales!E36 &amp; " - " &amp; Resultados_Reales!F36)</f>
        <v/>
      </c>
      <c r="E36" s="8">
        <f>IFERROR(VLOOKUP(E$1&amp;"_"&amp;$A36, Predicciones_Master!$A$4:$Q$2000, 7, FALSE) &amp; " - " &amp; VLOOKUP(E$1&amp;"_"&amp;$A36, Predicciones_Master!$A$4:$Q$2000, 8, FALSE), "N/A")</f>
        <v/>
      </c>
      <c r="F36" s="12">
        <f>IF($D36="Por Jugar", "", IFERROR(VLOOKUP(E$1&amp;"_"&amp;$A36, Predicciones_Master!$A$4:$Q$2000, 11, FALSE), 0))</f>
        <v/>
      </c>
      <c r="G36" s="8">
        <f>IFERROR(VLOOKUP(G$1&amp;"_"&amp;$A36, Predicciones_Master!$A$4:$Q$2000, 7, FALSE) &amp; " - " &amp; VLOOKUP(G$1&amp;"_"&amp;$A36, Predicciones_Master!$A$4:$Q$2000, 8, FALSE), "N/A")</f>
        <v/>
      </c>
      <c r="H36" s="12">
        <f>IF($D36="Por Jugar", "", IFERROR(VLOOKUP(G$1&amp;"_"&amp;$A36, Predicciones_Master!$A$4:$Q$2000, 11, FALSE), 0))</f>
        <v/>
      </c>
      <c r="I36" s="8">
        <f>IFERROR(VLOOKUP(I$1&amp;"_"&amp;$A36, Predicciones_Master!$A$4:$Q$2000, 7, FALSE) &amp; " - " &amp; VLOOKUP(I$1&amp;"_"&amp;$A36, Predicciones_Master!$A$4:$Q$2000, 8, FALSE), "N/A")</f>
        <v/>
      </c>
      <c r="J36" s="12">
        <f>IF($D36="Por Jugar", "", IFERROR(VLOOKUP(I$1&amp;"_"&amp;$A36, Predicciones_Master!$A$4:$Q$2000, 11, FALSE), 0))</f>
        <v/>
      </c>
      <c r="K36" s="8">
        <f>IFERROR(VLOOKUP(K$1&amp;"_"&amp;$A36, Predicciones_Master!$A$4:$Q$2000, 7, FALSE) &amp; " - " &amp; VLOOKUP(K$1&amp;"_"&amp;$A36, Predicciones_Master!$A$4:$Q$2000, 8, FALSE), "N/A")</f>
        <v/>
      </c>
      <c r="L36" s="12">
        <f>IF($D36="Por Jugar", "", IFERROR(VLOOKUP(K$1&amp;"_"&amp;$A36, Predicciones_Master!$A$4:$Q$2000, 11, FALSE), 0))</f>
        <v/>
      </c>
      <c r="M36" s="8">
        <f>IFERROR(VLOOKUP(M$1&amp;"_"&amp;$A36, Predicciones_Master!$A$4:$Q$2000, 7, FALSE) &amp; " - " &amp; VLOOKUP(M$1&amp;"_"&amp;$A36, Predicciones_Master!$A$4:$Q$2000, 8, FALSE), "N/A")</f>
        <v/>
      </c>
      <c r="N36" s="12">
        <f>IF($D36="Por Jugar", "", IFERROR(VLOOKUP(M$1&amp;"_"&amp;$A36, Predicciones_Master!$A$4:$Q$2000, 11, FALSE), 0))</f>
        <v/>
      </c>
      <c r="O36" s="8">
        <f>IFERROR(VLOOKUP(O$1&amp;"_"&amp;$A36, Predicciones_Master!$A$4:$Q$2000, 7, FALSE) &amp; " - " &amp; VLOOKUP(O$1&amp;"_"&amp;$A36, Predicciones_Master!$A$4:$Q$2000, 8, FALSE), "N/A")</f>
        <v/>
      </c>
      <c r="P36" s="12">
        <f>IF($D36="Por Jugar", "", IFERROR(VLOOKUP(O$1&amp;"_"&amp;$A36, Predicciones_Master!$A$4:$Q$2000, 11, FALSE), 0))</f>
        <v/>
      </c>
      <c r="Q36" s="8">
        <f>IFERROR(VLOOKUP(Q$1&amp;"_"&amp;$A36, Predicciones_Master!$A$4:$Q$2000, 7, FALSE) &amp; " - " &amp; VLOOKUP(Q$1&amp;"_"&amp;$A36, Predicciones_Master!$A$4:$Q$2000, 8, FALSE), "N/A")</f>
        <v/>
      </c>
      <c r="R36" s="12">
        <f>IF($D36="Por Jugar", "", IFERROR(VLOOKUP(Q$1&amp;"_"&amp;$A36, Predicciones_Master!$A$4:$Q$2000, 11, FALSE), 0))</f>
        <v/>
      </c>
      <c r="S36" s="8">
        <f>IFERROR(VLOOKUP(S$1&amp;"_"&amp;$A36, Predicciones_Master!$A$4:$Q$2000, 7, FALSE) &amp; " - " &amp; VLOOKUP(S$1&amp;"_"&amp;$A36, Predicciones_Master!$A$4:$Q$2000, 8, FALSE), "N/A")</f>
        <v/>
      </c>
      <c r="T36" s="12">
        <f>IF($D36="Por Jugar", "", IFERROR(VLOOKUP(S$1&amp;"_"&amp;$A36, Predicciones_Master!$A$4:$Q$2000, 11, FALSE), 0))</f>
        <v/>
      </c>
      <c r="U36" s="8">
        <f>IFERROR(VLOOKUP(U$1&amp;"_"&amp;$A36, Predicciones_Master!$A$4:$Q$2000, 7, FALSE) &amp; " - " &amp; VLOOKUP(U$1&amp;"_"&amp;$A36, Predicciones_Master!$A$4:$Q$2000, 8, FALSE), "N/A")</f>
        <v/>
      </c>
      <c r="V36" s="12">
        <f>IF($D36="Por Jugar", "", IFERROR(VLOOKUP(U$1&amp;"_"&amp;$A36, Predicciones_Master!$A$4:$Q$2000, 11, FALSE), 0))</f>
        <v/>
      </c>
      <c r="W36" s="8">
        <f>IFERROR(VLOOKUP(W$1&amp;"_"&amp;$A36, Predicciones_Master!$A$4:$Q$2000, 7, FALSE) &amp; " - " &amp; VLOOKUP(W$1&amp;"_"&amp;$A36, Predicciones_Master!$A$4:$Q$2000, 8, FALSE), "N/A")</f>
        <v/>
      </c>
      <c r="X36" s="12">
        <f>IF($D36="Por Jugar", "", IFERROR(VLOOKUP(W$1&amp;"_"&amp;$A36, Predicciones_Master!$A$4:$Q$2000, 11, FALSE), 0))</f>
        <v/>
      </c>
    </row>
    <row r="37" ht="20" customHeight="1">
      <c r="A37" s="8">
        <f>Resultados_Reales!A37</f>
        <v/>
      </c>
      <c r="B37" s="8">
        <f>Resultados_Reales!B37</f>
        <v/>
      </c>
      <c r="C37" s="9">
        <f>Resultados_Reales!C37 &amp; " vs " &amp; Resultados_Reales!D37</f>
        <v/>
      </c>
      <c r="D37" s="10">
        <f>IF(OR(Resultados_Reales!E37="", Resultados_Reales!F37=""), "Por Jugar", Resultados_Reales!E37 &amp; " - " &amp; Resultados_Reales!F37)</f>
        <v/>
      </c>
      <c r="E37" s="8">
        <f>IFERROR(VLOOKUP(E$1&amp;"_"&amp;$A37, Predicciones_Master!$A$4:$Q$2000, 7, FALSE) &amp; " - " &amp; VLOOKUP(E$1&amp;"_"&amp;$A37, Predicciones_Master!$A$4:$Q$2000, 8, FALSE), "N/A")</f>
        <v/>
      </c>
      <c r="F37" s="12">
        <f>IF($D37="Por Jugar", "", IFERROR(VLOOKUP(E$1&amp;"_"&amp;$A37, Predicciones_Master!$A$4:$Q$2000, 11, FALSE), 0))</f>
        <v/>
      </c>
      <c r="G37" s="8">
        <f>IFERROR(VLOOKUP(G$1&amp;"_"&amp;$A37, Predicciones_Master!$A$4:$Q$2000, 7, FALSE) &amp; " - " &amp; VLOOKUP(G$1&amp;"_"&amp;$A37, Predicciones_Master!$A$4:$Q$2000, 8, FALSE), "N/A")</f>
        <v/>
      </c>
      <c r="H37" s="12">
        <f>IF($D37="Por Jugar", "", IFERROR(VLOOKUP(G$1&amp;"_"&amp;$A37, Predicciones_Master!$A$4:$Q$2000, 11, FALSE), 0))</f>
        <v/>
      </c>
      <c r="I37" s="8">
        <f>IFERROR(VLOOKUP(I$1&amp;"_"&amp;$A37, Predicciones_Master!$A$4:$Q$2000, 7, FALSE) &amp; " - " &amp; VLOOKUP(I$1&amp;"_"&amp;$A37, Predicciones_Master!$A$4:$Q$2000, 8, FALSE), "N/A")</f>
        <v/>
      </c>
      <c r="J37" s="12">
        <f>IF($D37="Por Jugar", "", IFERROR(VLOOKUP(I$1&amp;"_"&amp;$A37, Predicciones_Master!$A$4:$Q$2000, 11, FALSE), 0))</f>
        <v/>
      </c>
      <c r="K37" s="8">
        <f>IFERROR(VLOOKUP(K$1&amp;"_"&amp;$A37, Predicciones_Master!$A$4:$Q$2000, 7, FALSE) &amp; " - " &amp; VLOOKUP(K$1&amp;"_"&amp;$A37, Predicciones_Master!$A$4:$Q$2000, 8, FALSE), "N/A")</f>
        <v/>
      </c>
      <c r="L37" s="12">
        <f>IF($D37="Por Jugar", "", IFERROR(VLOOKUP(K$1&amp;"_"&amp;$A37, Predicciones_Master!$A$4:$Q$2000, 11, FALSE), 0))</f>
        <v/>
      </c>
      <c r="M37" s="8">
        <f>IFERROR(VLOOKUP(M$1&amp;"_"&amp;$A37, Predicciones_Master!$A$4:$Q$2000, 7, FALSE) &amp; " - " &amp; VLOOKUP(M$1&amp;"_"&amp;$A37, Predicciones_Master!$A$4:$Q$2000, 8, FALSE), "N/A")</f>
        <v/>
      </c>
      <c r="N37" s="12">
        <f>IF($D37="Por Jugar", "", IFERROR(VLOOKUP(M$1&amp;"_"&amp;$A37, Predicciones_Master!$A$4:$Q$2000, 11, FALSE), 0))</f>
        <v/>
      </c>
      <c r="O37" s="8">
        <f>IFERROR(VLOOKUP(O$1&amp;"_"&amp;$A37, Predicciones_Master!$A$4:$Q$2000, 7, FALSE) &amp; " - " &amp; VLOOKUP(O$1&amp;"_"&amp;$A37, Predicciones_Master!$A$4:$Q$2000, 8, FALSE), "N/A")</f>
        <v/>
      </c>
      <c r="P37" s="12">
        <f>IF($D37="Por Jugar", "", IFERROR(VLOOKUP(O$1&amp;"_"&amp;$A37, Predicciones_Master!$A$4:$Q$2000, 11, FALSE), 0))</f>
        <v/>
      </c>
      <c r="Q37" s="8">
        <f>IFERROR(VLOOKUP(Q$1&amp;"_"&amp;$A37, Predicciones_Master!$A$4:$Q$2000, 7, FALSE) &amp; " - " &amp; VLOOKUP(Q$1&amp;"_"&amp;$A37, Predicciones_Master!$A$4:$Q$2000, 8, FALSE), "N/A")</f>
        <v/>
      </c>
      <c r="R37" s="12">
        <f>IF($D37="Por Jugar", "", IFERROR(VLOOKUP(Q$1&amp;"_"&amp;$A37, Predicciones_Master!$A$4:$Q$2000, 11, FALSE), 0))</f>
        <v/>
      </c>
      <c r="S37" s="8">
        <f>IFERROR(VLOOKUP(S$1&amp;"_"&amp;$A37, Predicciones_Master!$A$4:$Q$2000, 7, FALSE) &amp; " - " &amp; VLOOKUP(S$1&amp;"_"&amp;$A37, Predicciones_Master!$A$4:$Q$2000, 8, FALSE), "N/A")</f>
        <v/>
      </c>
      <c r="T37" s="12">
        <f>IF($D37="Por Jugar", "", IFERROR(VLOOKUP(S$1&amp;"_"&amp;$A37, Predicciones_Master!$A$4:$Q$2000, 11, FALSE), 0))</f>
        <v/>
      </c>
      <c r="U37" s="8">
        <f>IFERROR(VLOOKUP(U$1&amp;"_"&amp;$A37, Predicciones_Master!$A$4:$Q$2000, 7, FALSE) &amp; " - " &amp; VLOOKUP(U$1&amp;"_"&amp;$A37, Predicciones_Master!$A$4:$Q$2000, 8, FALSE), "N/A")</f>
        <v/>
      </c>
      <c r="V37" s="12">
        <f>IF($D37="Por Jugar", "", IFERROR(VLOOKUP(U$1&amp;"_"&amp;$A37, Predicciones_Master!$A$4:$Q$2000, 11, FALSE), 0))</f>
        <v/>
      </c>
      <c r="W37" s="8">
        <f>IFERROR(VLOOKUP(W$1&amp;"_"&amp;$A37, Predicciones_Master!$A$4:$Q$2000, 7, FALSE) &amp; " - " &amp; VLOOKUP(W$1&amp;"_"&amp;$A37, Predicciones_Master!$A$4:$Q$2000, 8, FALSE), "N/A")</f>
        <v/>
      </c>
      <c r="X37" s="12">
        <f>IF($D37="Por Jugar", "", IFERROR(VLOOKUP(W$1&amp;"_"&amp;$A37, Predicciones_Master!$A$4:$Q$2000, 11, FALSE), 0))</f>
        <v/>
      </c>
    </row>
    <row r="38" ht="20" customHeight="1">
      <c r="A38" s="8">
        <f>Resultados_Reales!A38</f>
        <v/>
      </c>
      <c r="B38" s="8">
        <f>Resultados_Reales!B38</f>
        <v/>
      </c>
      <c r="C38" s="9">
        <f>Resultados_Reales!C38 &amp; " vs " &amp; Resultados_Reales!D38</f>
        <v/>
      </c>
      <c r="D38" s="10">
        <f>IF(OR(Resultados_Reales!E38="", Resultados_Reales!F38=""), "Por Jugar", Resultados_Reales!E38 &amp; " - " &amp; Resultados_Reales!F38)</f>
        <v/>
      </c>
      <c r="E38" s="8">
        <f>IFERROR(VLOOKUP(E$1&amp;"_"&amp;$A38, Predicciones_Master!$A$4:$Q$2000, 7, FALSE) &amp; " - " &amp; VLOOKUP(E$1&amp;"_"&amp;$A38, Predicciones_Master!$A$4:$Q$2000, 8, FALSE), "N/A")</f>
        <v/>
      </c>
      <c r="F38" s="12">
        <f>IF($D38="Por Jugar", "", IFERROR(VLOOKUP(E$1&amp;"_"&amp;$A38, Predicciones_Master!$A$4:$Q$2000, 11, FALSE), 0))</f>
        <v/>
      </c>
      <c r="G38" s="8">
        <f>IFERROR(VLOOKUP(G$1&amp;"_"&amp;$A38, Predicciones_Master!$A$4:$Q$2000, 7, FALSE) &amp; " - " &amp; VLOOKUP(G$1&amp;"_"&amp;$A38, Predicciones_Master!$A$4:$Q$2000, 8, FALSE), "N/A")</f>
        <v/>
      </c>
      <c r="H38" s="12">
        <f>IF($D38="Por Jugar", "", IFERROR(VLOOKUP(G$1&amp;"_"&amp;$A38, Predicciones_Master!$A$4:$Q$2000, 11, FALSE), 0))</f>
        <v/>
      </c>
      <c r="I38" s="8">
        <f>IFERROR(VLOOKUP(I$1&amp;"_"&amp;$A38, Predicciones_Master!$A$4:$Q$2000, 7, FALSE) &amp; " - " &amp; VLOOKUP(I$1&amp;"_"&amp;$A38, Predicciones_Master!$A$4:$Q$2000, 8, FALSE), "N/A")</f>
        <v/>
      </c>
      <c r="J38" s="12">
        <f>IF($D38="Por Jugar", "", IFERROR(VLOOKUP(I$1&amp;"_"&amp;$A38, Predicciones_Master!$A$4:$Q$2000, 11, FALSE), 0))</f>
        <v/>
      </c>
      <c r="K38" s="8">
        <f>IFERROR(VLOOKUP(K$1&amp;"_"&amp;$A38, Predicciones_Master!$A$4:$Q$2000, 7, FALSE) &amp; " - " &amp; VLOOKUP(K$1&amp;"_"&amp;$A38, Predicciones_Master!$A$4:$Q$2000, 8, FALSE), "N/A")</f>
        <v/>
      </c>
      <c r="L38" s="12">
        <f>IF($D38="Por Jugar", "", IFERROR(VLOOKUP(K$1&amp;"_"&amp;$A38, Predicciones_Master!$A$4:$Q$2000, 11, FALSE), 0))</f>
        <v/>
      </c>
      <c r="M38" s="8">
        <f>IFERROR(VLOOKUP(M$1&amp;"_"&amp;$A38, Predicciones_Master!$A$4:$Q$2000, 7, FALSE) &amp; " - " &amp; VLOOKUP(M$1&amp;"_"&amp;$A38, Predicciones_Master!$A$4:$Q$2000, 8, FALSE), "N/A")</f>
        <v/>
      </c>
      <c r="N38" s="12">
        <f>IF($D38="Por Jugar", "", IFERROR(VLOOKUP(M$1&amp;"_"&amp;$A38, Predicciones_Master!$A$4:$Q$2000, 11, FALSE), 0))</f>
        <v/>
      </c>
      <c r="O38" s="8">
        <f>IFERROR(VLOOKUP(O$1&amp;"_"&amp;$A38, Predicciones_Master!$A$4:$Q$2000, 7, FALSE) &amp; " - " &amp; VLOOKUP(O$1&amp;"_"&amp;$A38, Predicciones_Master!$A$4:$Q$2000, 8, FALSE), "N/A")</f>
        <v/>
      </c>
      <c r="P38" s="12">
        <f>IF($D38="Por Jugar", "", IFERROR(VLOOKUP(O$1&amp;"_"&amp;$A38, Predicciones_Master!$A$4:$Q$2000, 11, FALSE), 0))</f>
        <v/>
      </c>
      <c r="Q38" s="8">
        <f>IFERROR(VLOOKUP(Q$1&amp;"_"&amp;$A38, Predicciones_Master!$A$4:$Q$2000, 7, FALSE) &amp; " - " &amp; VLOOKUP(Q$1&amp;"_"&amp;$A38, Predicciones_Master!$A$4:$Q$2000, 8, FALSE), "N/A")</f>
        <v/>
      </c>
      <c r="R38" s="12">
        <f>IF($D38="Por Jugar", "", IFERROR(VLOOKUP(Q$1&amp;"_"&amp;$A38, Predicciones_Master!$A$4:$Q$2000, 11, FALSE), 0))</f>
        <v/>
      </c>
      <c r="S38" s="8">
        <f>IFERROR(VLOOKUP(S$1&amp;"_"&amp;$A38, Predicciones_Master!$A$4:$Q$2000, 7, FALSE) &amp; " - " &amp; VLOOKUP(S$1&amp;"_"&amp;$A38, Predicciones_Master!$A$4:$Q$2000, 8, FALSE), "N/A")</f>
        <v/>
      </c>
      <c r="T38" s="12">
        <f>IF($D38="Por Jugar", "", IFERROR(VLOOKUP(S$1&amp;"_"&amp;$A38, Predicciones_Master!$A$4:$Q$2000, 11, FALSE), 0))</f>
        <v/>
      </c>
      <c r="U38" s="8">
        <f>IFERROR(VLOOKUP(U$1&amp;"_"&amp;$A38, Predicciones_Master!$A$4:$Q$2000, 7, FALSE) &amp; " - " &amp; VLOOKUP(U$1&amp;"_"&amp;$A38, Predicciones_Master!$A$4:$Q$2000, 8, FALSE), "N/A")</f>
        <v/>
      </c>
      <c r="V38" s="12">
        <f>IF($D38="Por Jugar", "", IFERROR(VLOOKUP(U$1&amp;"_"&amp;$A38, Predicciones_Master!$A$4:$Q$2000, 11, FALSE), 0))</f>
        <v/>
      </c>
      <c r="W38" s="8">
        <f>IFERROR(VLOOKUP(W$1&amp;"_"&amp;$A38, Predicciones_Master!$A$4:$Q$2000, 7, FALSE) &amp; " - " &amp; VLOOKUP(W$1&amp;"_"&amp;$A38, Predicciones_Master!$A$4:$Q$2000, 8, FALSE), "N/A")</f>
        <v/>
      </c>
      <c r="X38" s="12">
        <f>IF($D38="Por Jugar", "", IFERROR(VLOOKUP(W$1&amp;"_"&amp;$A38, Predicciones_Master!$A$4:$Q$2000, 11, FALSE), 0))</f>
        <v/>
      </c>
    </row>
    <row r="39" ht="20" customHeight="1">
      <c r="A39" s="8">
        <f>Resultados_Reales!A39</f>
        <v/>
      </c>
      <c r="B39" s="8">
        <f>Resultados_Reales!B39</f>
        <v/>
      </c>
      <c r="C39" s="9">
        <f>Resultados_Reales!C39 &amp; " vs " &amp; Resultados_Reales!D39</f>
        <v/>
      </c>
      <c r="D39" s="10">
        <f>IF(OR(Resultados_Reales!E39="", Resultados_Reales!F39=""), "Por Jugar", Resultados_Reales!E39 &amp; " - " &amp; Resultados_Reales!F39)</f>
        <v/>
      </c>
      <c r="E39" s="8">
        <f>IFERROR(VLOOKUP(E$1&amp;"_"&amp;$A39, Predicciones_Master!$A$4:$Q$2000, 7, FALSE) &amp; " - " &amp; VLOOKUP(E$1&amp;"_"&amp;$A39, Predicciones_Master!$A$4:$Q$2000, 8, FALSE), "N/A")</f>
        <v/>
      </c>
      <c r="F39" s="12">
        <f>IF($D39="Por Jugar", "", IFERROR(VLOOKUP(E$1&amp;"_"&amp;$A39, Predicciones_Master!$A$4:$Q$2000, 11, FALSE), 0))</f>
        <v/>
      </c>
      <c r="G39" s="8">
        <f>IFERROR(VLOOKUP(G$1&amp;"_"&amp;$A39, Predicciones_Master!$A$4:$Q$2000, 7, FALSE) &amp; " - " &amp; VLOOKUP(G$1&amp;"_"&amp;$A39, Predicciones_Master!$A$4:$Q$2000, 8, FALSE), "N/A")</f>
        <v/>
      </c>
      <c r="H39" s="12">
        <f>IF($D39="Por Jugar", "", IFERROR(VLOOKUP(G$1&amp;"_"&amp;$A39, Predicciones_Master!$A$4:$Q$2000, 11, FALSE), 0))</f>
        <v/>
      </c>
      <c r="I39" s="8">
        <f>IFERROR(VLOOKUP(I$1&amp;"_"&amp;$A39, Predicciones_Master!$A$4:$Q$2000, 7, FALSE) &amp; " - " &amp; VLOOKUP(I$1&amp;"_"&amp;$A39, Predicciones_Master!$A$4:$Q$2000, 8, FALSE), "N/A")</f>
        <v/>
      </c>
      <c r="J39" s="12">
        <f>IF($D39="Por Jugar", "", IFERROR(VLOOKUP(I$1&amp;"_"&amp;$A39, Predicciones_Master!$A$4:$Q$2000, 11, FALSE), 0))</f>
        <v/>
      </c>
      <c r="K39" s="8">
        <f>IFERROR(VLOOKUP(K$1&amp;"_"&amp;$A39, Predicciones_Master!$A$4:$Q$2000, 7, FALSE) &amp; " - " &amp; VLOOKUP(K$1&amp;"_"&amp;$A39, Predicciones_Master!$A$4:$Q$2000, 8, FALSE), "N/A")</f>
        <v/>
      </c>
      <c r="L39" s="12">
        <f>IF($D39="Por Jugar", "", IFERROR(VLOOKUP(K$1&amp;"_"&amp;$A39, Predicciones_Master!$A$4:$Q$2000, 11, FALSE), 0))</f>
        <v/>
      </c>
      <c r="M39" s="8">
        <f>IFERROR(VLOOKUP(M$1&amp;"_"&amp;$A39, Predicciones_Master!$A$4:$Q$2000, 7, FALSE) &amp; " - " &amp; VLOOKUP(M$1&amp;"_"&amp;$A39, Predicciones_Master!$A$4:$Q$2000, 8, FALSE), "N/A")</f>
        <v/>
      </c>
      <c r="N39" s="12">
        <f>IF($D39="Por Jugar", "", IFERROR(VLOOKUP(M$1&amp;"_"&amp;$A39, Predicciones_Master!$A$4:$Q$2000, 11, FALSE), 0))</f>
        <v/>
      </c>
      <c r="O39" s="8">
        <f>IFERROR(VLOOKUP(O$1&amp;"_"&amp;$A39, Predicciones_Master!$A$4:$Q$2000, 7, FALSE) &amp; " - " &amp; VLOOKUP(O$1&amp;"_"&amp;$A39, Predicciones_Master!$A$4:$Q$2000, 8, FALSE), "N/A")</f>
        <v/>
      </c>
      <c r="P39" s="12">
        <f>IF($D39="Por Jugar", "", IFERROR(VLOOKUP(O$1&amp;"_"&amp;$A39, Predicciones_Master!$A$4:$Q$2000, 11, FALSE), 0))</f>
        <v/>
      </c>
      <c r="Q39" s="8">
        <f>IFERROR(VLOOKUP(Q$1&amp;"_"&amp;$A39, Predicciones_Master!$A$4:$Q$2000, 7, FALSE) &amp; " - " &amp; VLOOKUP(Q$1&amp;"_"&amp;$A39, Predicciones_Master!$A$4:$Q$2000, 8, FALSE), "N/A")</f>
        <v/>
      </c>
      <c r="R39" s="12">
        <f>IF($D39="Por Jugar", "", IFERROR(VLOOKUP(Q$1&amp;"_"&amp;$A39, Predicciones_Master!$A$4:$Q$2000, 11, FALSE), 0))</f>
        <v/>
      </c>
      <c r="S39" s="8">
        <f>IFERROR(VLOOKUP(S$1&amp;"_"&amp;$A39, Predicciones_Master!$A$4:$Q$2000, 7, FALSE) &amp; " - " &amp; VLOOKUP(S$1&amp;"_"&amp;$A39, Predicciones_Master!$A$4:$Q$2000, 8, FALSE), "N/A")</f>
        <v/>
      </c>
      <c r="T39" s="12">
        <f>IF($D39="Por Jugar", "", IFERROR(VLOOKUP(S$1&amp;"_"&amp;$A39, Predicciones_Master!$A$4:$Q$2000, 11, FALSE), 0))</f>
        <v/>
      </c>
      <c r="U39" s="8">
        <f>IFERROR(VLOOKUP(U$1&amp;"_"&amp;$A39, Predicciones_Master!$A$4:$Q$2000, 7, FALSE) &amp; " - " &amp; VLOOKUP(U$1&amp;"_"&amp;$A39, Predicciones_Master!$A$4:$Q$2000, 8, FALSE), "N/A")</f>
        <v/>
      </c>
      <c r="V39" s="12">
        <f>IF($D39="Por Jugar", "", IFERROR(VLOOKUP(U$1&amp;"_"&amp;$A39, Predicciones_Master!$A$4:$Q$2000, 11, FALSE), 0))</f>
        <v/>
      </c>
      <c r="W39" s="8">
        <f>IFERROR(VLOOKUP(W$1&amp;"_"&amp;$A39, Predicciones_Master!$A$4:$Q$2000, 7, FALSE) &amp; " - " &amp; VLOOKUP(W$1&amp;"_"&amp;$A39, Predicciones_Master!$A$4:$Q$2000, 8, FALSE), "N/A")</f>
        <v/>
      </c>
      <c r="X39" s="12">
        <f>IF($D39="Por Jugar", "", IFERROR(VLOOKUP(W$1&amp;"_"&amp;$A39, Predicciones_Master!$A$4:$Q$2000, 11, FALSE), 0))</f>
        <v/>
      </c>
    </row>
    <row r="40" ht="20" customHeight="1">
      <c r="A40" s="8">
        <f>Resultados_Reales!A40</f>
        <v/>
      </c>
      <c r="B40" s="8">
        <f>Resultados_Reales!B40</f>
        <v/>
      </c>
      <c r="C40" s="9">
        <f>Resultados_Reales!C40 &amp; " vs " &amp; Resultados_Reales!D40</f>
        <v/>
      </c>
      <c r="D40" s="10">
        <f>IF(OR(Resultados_Reales!E40="", Resultados_Reales!F40=""), "Por Jugar", Resultados_Reales!E40 &amp; " - " &amp; Resultados_Reales!F40)</f>
        <v/>
      </c>
      <c r="E40" s="8">
        <f>IFERROR(VLOOKUP(E$1&amp;"_"&amp;$A40, Predicciones_Master!$A$4:$Q$2000, 7, FALSE) &amp; " - " &amp; VLOOKUP(E$1&amp;"_"&amp;$A40, Predicciones_Master!$A$4:$Q$2000, 8, FALSE), "N/A")</f>
        <v/>
      </c>
      <c r="F40" s="12">
        <f>IF($D40="Por Jugar", "", IFERROR(VLOOKUP(E$1&amp;"_"&amp;$A40, Predicciones_Master!$A$4:$Q$2000, 11, FALSE), 0))</f>
        <v/>
      </c>
      <c r="G40" s="8">
        <f>IFERROR(VLOOKUP(G$1&amp;"_"&amp;$A40, Predicciones_Master!$A$4:$Q$2000, 7, FALSE) &amp; " - " &amp; VLOOKUP(G$1&amp;"_"&amp;$A40, Predicciones_Master!$A$4:$Q$2000, 8, FALSE), "N/A")</f>
        <v/>
      </c>
      <c r="H40" s="12">
        <f>IF($D40="Por Jugar", "", IFERROR(VLOOKUP(G$1&amp;"_"&amp;$A40, Predicciones_Master!$A$4:$Q$2000, 11, FALSE), 0))</f>
        <v/>
      </c>
      <c r="I40" s="8">
        <f>IFERROR(VLOOKUP(I$1&amp;"_"&amp;$A40, Predicciones_Master!$A$4:$Q$2000, 7, FALSE) &amp; " - " &amp; VLOOKUP(I$1&amp;"_"&amp;$A40, Predicciones_Master!$A$4:$Q$2000, 8, FALSE), "N/A")</f>
        <v/>
      </c>
      <c r="J40" s="12">
        <f>IF($D40="Por Jugar", "", IFERROR(VLOOKUP(I$1&amp;"_"&amp;$A40, Predicciones_Master!$A$4:$Q$2000, 11, FALSE), 0))</f>
        <v/>
      </c>
      <c r="K40" s="8">
        <f>IFERROR(VLOOKUP(K$1&amp;"_"&amp;$A40, Predicciones_Master!$A$4:$Q$2000, 7, FALSE) &amp; " - " &amp; VLOOKUP(K$1&amp;"_"&amp;$A40, Predicciones_Master!$A$4:$Q$2000, 8, FALSE), "N/A")</f>
        <v/>
      </c>
      <c r="L40" s="12">
        <f>IF($D40="Por Jugar", "", IFERROR(VLOOKUP(K$1&amp;"_"&amp;$A40, Predicciones_Master!$A$4:$Q$2000, 11, FALSE), 0))</f>
        <v/>
      </c>
      <c r="M40" s="8">
        <f>IFERROR(VLOOKUP(M$1&amp;"_"&amp;$A40, Predicciones_Master!$A$4:$Q$2000, 7, FALSE) &amp; " - " &amp; VLOOKUP(M$1&amp;"_"&amp;$A40, Predicciones_Master!$A$4:$Q$2000, 8, FALSE), "N/A")</f>
        <v/>
      </c>
      <c r="N40" s="12">
        <f>IF($D40="Por Jugar", "", IFERROR(VLOOKUP(M$1&amp;"_"&amp;$A40, Predicciones_Master!$A$4:$Q$2000, 11, FALSE), 0))</f>
        <v/>
      </c>
      <c r="O40" s="8">
        <f>IFERROR(VLOOKUP(O$1&amp;"_"&amp;$A40, Predicciones_Master!$A$4:$Q$2000, 7, FALSE) &amp; " - " &amp; VLOOKUP(O$1&amp;"_"&amp;$A40, Predicciones_Master!$A$4:$Q$2000, 8, FALSE), "N/A")</f>
        <v/>
      </c>
      <c r="P40" s="12">
        <f>IF($D40="Por Jugar", "", IFERROR(VLOOKUP(O$1&amp;"_"&amp;$A40, Predicciones_Master!$A$4:$Q$2000, 11, FALSE), 0))</f>
        <v/>
      </c>
      <c r="Q40" s="8">
        <f>IFERROR(VLOOKUP(Q$1&amp;"_"&amp;$A40, Predicciones_Master!$A$4:$Q$2000, 7, FALSE) &amp; " - " &amp; VLOOKUP(Q$1&amp;"_"&amp;$A40, Predicciones_Master!$A$4:$Q$2000, 8, FALSE), "N/A")</f>
        <v/>
      </c>
      <c r="R40" s="12">
        <f>IF($D40="Por Jugar", "", IFERROR(VLOOKUP(Q$1&amp;"_"&amp;$A40, Predicciones_Master!$A$4:$Q$2000, 11, FALSE), 0))</f>
        <v/>
      </c>
      <c r="S40" s="8">
        <f>IFERROR(VLOOKUP(S$1&amp;"_"&amp;$A40, Predicciones_Master!$A$4:$Q$2000, 7, FALSE) &amp; " - " &amp; VLOOKUP(S$1&amp;"_"&amp;$A40, Predicciones_Master!$A$4:$Q$2000, 8, FALSE), "N/A")</f>
        <v/>
      </c>
      <c r="T40" s="12">
        <f>IF($D40="Por Jugar", "", IFERROR(VLOOKUP(S$1&amp;"_"&amp;$A40, Predicciones_Master!$A$4:$Q$2000, 11, FALSE), 0))</f>
        <v/>
      </c>
      <c r="U40" s="8">
        <f>IFERROR(VLOOKUP(U$1&amp;"_"&amp;$A40, Predicciones_Master!$A$4:$Q$2000, 7, FALSE) &amp; " - " &amp; VLOOKUP(U$1&amp;"_"&amp;$A40, Predicciones_Master!$A$4:$Q$2000, 8, FALSE), "N/A")</f>
        <v/>
      </c>
      <c r="V40" s="12">
        <f>IF($D40="Por Jugar", "", IFERROR(VLOOKUP(U$1&amp;"_"&amp;$A40, Predicciones_Master!$A$4:$Q$2000, 11, FALSE), 0))</f>
        <v/>
      </c>
      <c r="W40" s="8">
        <f>IFERROR(VLOOKUP(W$1&amp;"_"&amp;$A40, Predicciones_Master!$A$4:$Q$2000, 7, FALSE) &amp; " - " &amp; VLOOKUP(W$1&amp;"_"&amp;$A40, Predicciones_Master!$A$4:$Q$2000, 8, FALSE), "N/A")</f>
        <v/>
      </c>
      <c r="X40" s="12">
        <f>IF($D40="Por Jugar", "", IFERROR(VLOOKUP(W$1&amp;"_"&amp;$A40, Predicciones_Master!$A$4:$Q$2000, 11, FALSE), 0))</f>
        <v/>
      </c>
    </row>
    <row r="41" ht="20" customHeight="1">
      <c r="A41" s="8">
        <f>Resultados_Reales!A41</f>
        <v/>
      </c>
      <c r="B41" s="8">
        <f>Resultados_Reales!B41</f>
        <v/>
      </c>
      <c r="C41" s="9">
        <f>Resultados_Reales!C41 &amp; " vs " &amp; Resultados_Reales!D41</f>
        <v/>
      </c>
      <c r="D41" s="10">
        <f>IF(OR(Resultados_Reales!E41="", Resultados_Reales!F41=""), "Por Jugar", Resultados_Reales!E41 &amp; " - " &amp; Resultados_Reales!F41)</f>
        <v/>
      </c>
      <c r="E41" s="8">
        <f>IFERROR(VLOOKUP(E$1&amp;"_"&amp;$A41, Predicciones_Master!$A$4:$Q$2000, 7, FALSE) &amp; " - " &amp; VLOOKUP(E$1&amp;"_"&amp;$A41, Predicciones_Master!$A$4:$Q$2000, 8, FALSE), "N/A")</f>
        <v/>
      </c>
      <c r="F41" s="12">
        <f>IF($D41="Por Jugar", "", IFERROR(VLOOKUP(E$1&amp;"_"&amp;$A41, Predicciones_Master!$A$4:$Q$2000, 11, FALSE), 0))</f>
        <v/>
      </c>
      <c r="G41" s="8">
        <f>IFERROR(VLOOKUP(G$1&amp;"_"&amp;$A41, Predicciones_Master!$A$4:$Q$2000, 7, FALSE) &amp; " - " &amp; VLOOKUP(G$1&amp;"_"&amp;$A41, Predicciones_Master!$A$4:$Q$2000, 8, FALSE), "N/A")</f>
        <v/>
      </c>
      <c r="H41" s="12">
        <f>IF($D41="Por Jugar", "", IFERROR(VLOOKUP(G$1&amp;"_"&amp;$A41, Predicciones_Master!$A$4:$Q$2000, 11, FALSE), 0))</f>
        <v/>
      </c>
      <c r="I41" s="8">
        <f>IFERROR(VLOOKUP(I$1&amp;"_"&amp;$A41, Predicciones_Master!$A$4:$Q$2000, 7, FALSE) &amp; " - " &amp; VLOOKUP(I$1&amp;"_"&amp;$A41, Predicciones_Master!$A$4:$Q$2000, 8, FALSE), "N/A")</f>
        <v/>
      </c>
      <c r="J41" s="12">
        <f>IF($D41="Por Jugar", "", IFERROR(VLOOKUP(I$1&amp;"_"&amp;$A41, Predicciones_Master!$A$4:$Q$2000, 11, FALSE), 0))</f>
        <v/>
      </c>
      <c r="K41" s="8">
        <f>IFERROR(VLOOKUP(K$1&amp;"_"&amp;$A41, Predicciones_Master!$A$4:$Q$2000, 7, FALSE) &amp; " - " &amp; VLOOKUP(K$1&amp;"_"&amp;$A41, Predicciones_Master!$A$4:$Q$2000, 8, FALSE), "N/A")</f>
        <v/>
      </c>
      <c r="L41" s="12">
        <f>IF($D41="Por Jugar", "", IFERROR(VLOOKUP(K$1&amp;"_"&amp;$A41, Predicciones_Master!$A$4:$Q$2000, 11, FALSE), 0))</f>
        <v/>
      </c>
      <c r="M41" s="8">
        <f>IFERROR(VLOOKUP(M$1&amp;"_"&amp;$A41, Predicciones_Master!$A$4:$Q$2000, 7, FALSE) &amp; " - " &amp; VLOOKUP(M$1&amp;"_"&amp;$A41, Predicciones_Master!$A$4:$Q$2000, 8, FALSE), "N/A")</f>
        <v/>
      </c>
      <c r="N41" s="12">
        <f>IF($D41="Por Jugar", "", IFERROR(VLOOKUP(M$1&amp;"_"&amp;$A41, Predicciones_Master!$A$4:$Q$2000, 11, FALSE), 0))</f>
        <v/>
      </c>
      <c r="O41" s="8">
        <f>IFERROR(VLOOKUP(O$1&amp;"_"&amp;$A41, Predicciones_Master!$A$4:$Q$2000, 7, FALSE) &amp; " - " &amp; VLOOKUP(O$1&amp;"_"&amp;$A41, Predicciones_Master!$A$4:$Q$2000, 8, FALSE), "N/A")</f>
        <v/>
      </c>
      <c r="P41" s="12">
        <f>IF($D41="Por Jugar", "", IFERROR(VLOOKUP(O$1&amp;"_"&amp;$A41, Predicciones_Master!$A$4:$Q$2000, 11, FALSE), 0))</f>
        <v/>
      </c>
      <c r="Q41" s="8">
        <f>IFERROR(VLOOKUP(Q$1&amp;"_"&amp;$A41, Predicciones_Master!$A$4:$Q$2000, 7, FALSE) &amp; " - " &amp; VLOOKUP(Q$1&amp;"_"&amp;$A41, Predicciones_Master!$A$4:$Q$2000, 8, FALSE), "N/A")</f>
        <v/>
      </c>
      <c r="R41" s="12">
        <f>IF($D41="Por Jugar", "", IFERROR(VLOOKUP(Q$1&amp;"_"&amp;$A41, Predicciones_Master!$A$4:$Q$2000, 11, FALSE), 0))</f>
        <v/>
      </c>
      <c r="S41" s="8">
        <f>IFERROR(VLOOKUP(S$1&amp;"_"&amp;$A41, Predicciones_Master!$A$4:$Q$2000, 7, FALSE) &amp; " - " &amp; VLOOKUP(S$1&amp;"_"&amp;$A41, Predicciones_Master!$A$4:$Q$2000, 8, FALSE), "N/A")</f>
        <v/>
      </c>
      <c r="T41" s="12">
        <f>IF($D41="Por Jugar", "", IFERROR(VLOOKUP(S$1&amp;"_"&amp;$A41, Predicciones_Master!$A$4:$Q$2000, 11, FALSE), 0))</f>
        <v/>
      </c>
      <c r="U41" s="8">
        <f>IFERROR(VLOOKUP(U$1&amp;"_"&amp;$A41, Predicciones_Master!$A$4:$Q$2000, 7, FALSE) &amp; " - " &amp; VLOOKUP(U$1&amp;"_"&amp;$A41, Predicciones_Master!$A$4:$Q$2000, 8, FALSE), "N/A")</f>
        <v/>
      </c>
      <c r="V41" s="12">
        <f>IF($D41="Por Jugar", "", IFERROR(VLOOKUP(U$1&amp;"_"&amp;$A41, Predicciones_Master!$A$4:$Q$2000, 11, FALSE), 0))</f>
        <v/>
      </c>
      <c r="W41" s="8">
        <f>IFERROR(VLOOKUP(W$1&amp;"_"&amp;$A41, Predicciones_Master!$A$4:$Q$2000, 7, FALSE) &amp; " - " &amp; VLOOKUP(W$1&amp;"_"&amp;$A41, Predicciones_Master!$A$4:$Q$2000, 8, FALSE), "N/A")</f>
        <v/>
      </c>
      <c r="X41" s="12">
        <f>IF($D41="Por Jugar", "", IFERROR(VLOOKUP(W$1&amp;"_"&amp;$A41, Predicciones_Master!$A$4:$Q$2000, 11, FALSE), 0))</f>
        <v/>
      </c>
    </row>
    <row r="42" ht="20" customHeight="1">
      <c r="A42" s="8">
        <f>Resultados_Reales!A42</f>
        <v/>
      </c>
      <c r="B42" s="8">
        <f>Resultados_Reales!B42</f>
        <v/>
      </c>
      <c r="C42" s="9">
        <f>Resultados_Reales!C42 &amp; " vs " &amp; Resultados_Reales!D42</f>
        <v/>
      </c>
      <c r="D42" s="10">
        <f>IF(OR(Resultados_Reales!E42="", Resultados_Reales!F42=""), "Por Jugar", Resultados_Reales!E42 &amp; " - " &amp; Resultados_Reales!F42)</f>
        <v/>
      </c>
      <c r="E42" s="8">
        <f>IFERROR(VLOOKUP(E$1&amp;"_"&amp;$A42, Predicciones_Master!$A$4:$Q$2000, 7, FALSE) &amp; " - " &amp; VLOOKUP(E$1&amp;"_"&amp;$A42, Predicciones_Master!$A$4:$Q$2000, 8, FALSE), "N/A")</f>
        <v/>
      </c>
      <c r="F42" s="12">
        <f>IF($D42="Por Jugar", "", IFERROR(VLOOKUP(E$1&amp;"_"&amp;$A42, Predicciones_Master!$A$4:$Q$2000, 11, FALSE), 0))</f>
        <v/>
      </c>
      <c r="G42" s="8">
        <f>IFERROR(VLOOKUP(G$1&amp;"_"&amp;$A42, Predicciones_Master!$A$4:$Q$2000, 7, FALSE) &amp; " - " &amp; VLOOKUP(G$1&amp;"_"&amp;$A42, Predicciones_Master!$A$4:$Q$2000, 8, FALSE), "N/A")</f>
        <v/>
      </c>
      <c r="H42" s="12">
        <f>IF($D42="Por Jugar", "", IFERROR(VLOOKUP(G$1&amp;"_"&amp;$A42, Predicciones_Master!$A$4:$Q$2000, 11, FALSE), 0))</f>
        <v/>
      </c>
      <c r="I42" s="8">
        <f>IFERROR(VLOOKUP(I$1&amp;"_"&amp;$A42, Predicciones_Master!$A$4:$Q$2000, 7, FALSE) &amp; " - " &amp; VLOOKUP(I$1&amp;"_"&amp;$A42, Predicciones_Master!$A$4:$Q$2000, 8, FALSE), "N/A")</f>
        <v/>
      </c>
      <c r="J42" s="12">
        <f>IF($D42="Por Jugar", "", IFERROR(VLOOKUP(I$1&amp;"_"&amp;$A42, Predicciones_Master!$A$4:$Q$2000, 11, FALSE), 0))</f>
        <v/>
      </c>
      <c r="K42" s="8">
        <f>IFERROR(VLOOKUP(K$1&amp;"_"&amp;$A42, Predicciones_Master!$A$4:$Q$2000, 7, FALSE) &amp; " - " &amp; VLOOKUP(K$1&amp;"_"&amp;$A42, Predicciones_Master!$A$4:$Q$2000, 8, FALSE), "N/A")</f>
        <v/>
      </c>
      <c r="L42" s="12">
        <f>IF($D42="Por Jugar", "", IFERROR(VLOOKUP(K$1&amp;"_"&amp;$A42, Predicciones_Master!$A$4:$Q$2000, 11, FALSE), 0))</f>
        <v/>
      </c>
      <c r="M42" s="8">
        <f>IFERROR(VLOOKUP(M$1&amp;"_"&amp;$A42, Predicciones_Master!$A$4:$Q$2000, 7, FALSE) &amp; " - " &amp; VLOOKUP(M$1&amp;"_"&amp;$A42, Predicciones_Master!$A$4:$Q$2000, 8, FALSE), "N/A")</f>
        <v/>
      </c>
      <c r="N42" s="12">
        <f>IF($D42="Por Jugar", "", IFERROR(VLOOKUP(M$1&amp;"_"&amp;$A42, Predicciones_Master!$A$4:$Q$2000, 11, FALSE), 0))</f>
        <v/>
      </c>
      <c r="O42" s="8">
        <f>IFERROR(VLOOKUP(O$1&amp;"_"&amp;$A42, Predicciones_Master!$A$4:$Q$2000, 7, FALSE) &amp; " - " &amp; VLOOKUP(O$1&amp;"_"&amp;$A42, Predicciones_Master!$A$4:$Q$2000, 8, FALSE), "N/A")</f>
        <v/>
      </c>
      <c r="P42" s="12">
        <f>IF($D42="Por Jugar", "", IFERROR(VLOOKUP(O$1&amp;"_"&amp;$A42, Predicciones_Master!$A$4:$Q$2000, 11, FALSE), 0))</f>
        <v/>
      </c>
      <c r="Q42" s="8">
        <f>IFERROR(VLOOKUP(Q$1&amp;"_"&amp;$A42, Predicciones_Master!$A$4:$Q$2000, 7, FALSE) &amp; " - " &amp; VLOOKUP(Q$1&amp;"_"&amp;$A42, Predicciones_Master!$A$4:$Q$2000, 8, FALSE), "N/A")</f>
        <v/>
      </c>
      <c r="R42" s="12">
        <f>IF($D42="Por Jugar", "", IFERROR(VLOOKUP(Q$1&amp;"_"&amp;$A42, Predicciones_Master!$A$4:$Q$2000, 11, FALSE), 0))</f>
        <v/>
      </c>
      <c r="S42" s="8">
        <f>IFERROR(VLOOKUP(S$1&amp;"_"&amp;$A42, Predicciones_Master!$A$4:$Q$2000, 7, FALSE) &amp; " - " &amp; VLOOKUP(S$1&amp;"_"&amp;$A42, Predicciones_Master!$A$4:$Q$2000, 8, FALSE), "N/A")</f>
        <v/>
      </c>
      <c r="T42" s="12">
        <f>IF($D42="Por Jugar", "", IFERROR(VLOOKUP(S$1&amp;"_"&amp;$A42, Predicciones_Master!$A$4:$Q$2000, 11, FALSE), 0))</f>
        <v/>
      </c>
      <c r="U42" s="8">
        <f>IFERROR(VLOOKUP(U$1&amp;"_"&amp;$A42, Predicciones_Master!$A$4:$Q$2000, 7, FALSE) &amp; " - " &amp; VLOOKUP(U$1&amp;"_"&amp;$A42, Predicciones_Master!$A$4:$Q$2000, 8, FALSE), "N/A")</f>
        <v/>
      </c>
      <c r="V42" s="12">
        <f>IF($D42="Por Jugar", "", IFERROR(VLOOKUP(U$1&amp;"_"&amp;$A42, Predicciones_Master!$A$4:$Q$2000, 11, FALSE), 0))</f>
        <v/>
      </c>
      <c r="W42" s="8">
        <f>IFERROR(VLOOKUP(W$1&amp;"_"&amp;$A42, Predicciones_Master!$A$4:$Q$2000, 7, FALSE) &amp; " - " &amp; VLOOKUP(W$1&amp;"_"&amp;$A42, Predicciones_Master!$A$4:$Q$2000, 8, FALSE), "N/A")</f>
        <v/>
      </c>
      <c r="X42" s="12">
        <f>IF($D42="Por Jugar", "", IFERROR(VLOOKUP(W$1&amp;"_"&amp;$A42, Predicciones_Master!$A$4:$Q$2000, 11, FALSE), 0))</f>
        <v/>
      </c>
    </row>
    <row r="43" ht="20" customHeight="1">
      <c r="A43" s="8">
        <f>Resultados_Reales!A43</f>
        <v/>
      </c>
      <c r="B43" s="8">
        <f>Resultados_Reales!B43</f>
        <v/>
      </c>
      <c r="C43" s="9">
        <f>Resultados_Reales!C43 &amp; " vs " &amp; Resultados_Reales!D43</f>
        <v/>
      </c>
      <c r="D43" s="10">
        <f>IF(OR(Resultados_Reales!E43="", Resultados_Reales!F43=""), "Por Jugar", Resultados_Reales!E43 &amp; " - " &amp; Resultados_Reales!F43)</f>
        <v/>
      </c>
      <c r="E43" s="8">
        <f>IFERROR(VLOOKUP(E$1&amp;"_"&amp;$A43, Predicciones_Master!$A$4:$Q$2000, 7, FALSE) &amp; " - " &amp; VLOOKUP(E$1&amp;"_"&amp;$A43, Predicciones_Master!$A$4:$Q$2000, 8, FALSE), "N/A")</f>
        <v/>
      </c>
      <c r="F43" s="12">
        <f>IF($D43="Por Jugar", "", IFERROR(VLOOKUP(E$1&amp;"_"&amp;$A43, Predicciones_Master!$A$4:$Q$2000, 11, FALSE), 0))</f>
        <v/>
      </c>
      <c r="G43" s="8">
        <f>IFERROR(VLOOKUP(G$1&amp;"_"&amp;$A43, Predicciones_Master!$A$4:$Q$2000, 7, FALSE) &amp; " - " &amp; VLOOKUP(G$1&amp;"_"&amp;$A43, Predicciones_Master!$A$4:$Q$2000, 8, FALSE), "N/A")</f>
        <v/>
      </c>
      <c r="H43" s="12">
        <f>IF($D43="Por Jugar", "", IFERROR(VLOOKUP(G$1&amp;"_"&amp;$A43, Predicciones_Master!$A$4:$Q$2000, 11, FALSE), 0))</f>
        <v/>
      </c>
      <c r="I43" s="8">
        <f>IFERROR(VLOOKUP(I$1&amp;"_"&amp;$A43, Predicciones_Master!$A$4:$Q$2000, 7, FALSE) &amp; " - " &amp; VLOOKUP(I$1&amp;"_"&amp;$A43, Predicciones_Master!$A$4:$Q$2000, 8, FALSE), "N/A")</f>
        <v/>
      </c>
      <c r="J43" s="12">
        <f>IF($D43="Por Jugar", "", IFERROR(VLOOKUP(I$1&amp;"_"&amp;$A43, Predicciones_Master!$A$4:$Q$2000, 11, FALSE), 0))</f>
        <v/>
      </c>
      <c r="K43" s="8">
        <f>IFERROR(VLOOKUP(K$1&amp;"_"&amp;$A43, Predicciones_Master!$A$4:$Q$2000, 7, FALSE) &amp; " - " &amp; VLOOKUP(K$1&amp;"_"&amp;$A43, Predicciones_Master!$A$4:$Q$2000, 8, FALSE), "N/A")</f>
        <v/>
      </c>
      <c r="L43" s="12">
        <f>IF($D43="Por Jugar", "", IFERROR(VLOOKUP(K$1&amp;"_"&amp;$A43, Predicciones_Master!$A$4:$Q$2000, 11, FALSE), 0))</f>
        <v/>
      </c>
      <c r="M43" s="8">
        <f>IFERROR(VLOOKUP(M$1&amp;"_"&amp;$A43, Predicciones_Master!$A$4:$Q$2000, 7, FALSE) &amp; " - " &amp; VLOOKUP(M$1&amp;"_"&amp;$A43, Predicciones_Master!$A$4:$Q$2000, 8, FALSE), "N/A")</f>
        <v/>
      </c>
      <c r="N43" s="12">
        <f>IF($D43="Por Jugar", "", IFERROR(VLOOKUP(M$1&amp;"_"&amp;$A43, Predicciones_Master!$A$4:$Q$2000, 11, FALSE), 0))</f>
        <v/>
      </c>
      <c r="O43" s="8">
        <f>IFERROR(VLOOKUP(O$1&amp;"_"&amp;$A43, Predicciones_Master!$A$4:$Q$2000, 7, FALSE) &amp; " - " &amp; VLOOKUP(O$1&amp;"_"&amp;$A43, Predicciones_Master!$A$4:$Q$2000, 8, FALSE), "N/A")</f>
        <v/>
      </c>
      <c r="P43" s="12">
        <f>IF($D43="Por Jugar", "", IFERROR(VLOOKUP(O$1&amp;"_"&amp;$A43, Predicciones_Master!$A$4:$Q$2000, 11, FALSE), 0))</f>
        <v/>
      </c>
      <c r="Q43" s="8">
        <f>IFERROR(VLOOKUP(Q$1&amp;"_"&amp;$A43, Predicciones_Master!$A$4:$Q$2000, 7, FALSE) &amp; " - " &amp; VLOOKUP(Q$1&amp;"_"&amp;$A43, Predicciones_Master!$A$4:$Q$2000, 8, FALSE), "N/A")</f>
        <v/>
      </c>
      <c r="R43" s="12">
        <f>IF($D43="Por Jugar", "", IFERROR(VLOOKUP(Q$1&amp;"_"&amp;$A43, Predicciones_Master!$A$4:$Q$2000, 11, FALSE), 0))</f>
        <v/>
      </c>
      <c r="S43" s="8">
        <f>IFERROR(VLOOKUP(S$1&amp;"_"&amp;$A43, Predicciones_Master!$A$4:$Q$2000, 7, FALSE) &amp; " - " &amp; VLOOKUP(S$1&amp;"_"&amp;$A43, Predicciones_Master!$A$4:$Q$2000, 8, FALSE), "N/A")</f>
        <v/>
      </c>
      <c r="T43" s="12">
        <f>IF($D43="Por Jugar", "", IFERROR(VLOOKUP(S$1&amp;"_"&amp;$A43, Predicciones_Master!$A$4:$Q$2000, 11, FALSE), 0))</f>
        <v/>
      </c>
      <c r="U43" s="8">
        <f>IFERROR(VLOOKUP(U$1&amp;"_"&amp;$A43, Predicciones_Master!$A$4:$Q$2000, 7, FALSE) &amp; " - " &amp; VLOOKUP(U$1&amp;"_"&amp;$A43, Predicciones_Master!$A$4:$Q$2000, 8, FALSE), "N/A")</f>
        <v/>
      </c>
      <c r="V43" s="12">
        <f>IF($D43="Por Jugar", "", IFERROR(VLOOKUP(U$1&amp;"_"&amp;$A43, Predicciones_Master!$A$4:$Q$2000, 11, FALSE), 0))</f>
        <v/>
      </c>
      <c r="W43" s="8">
        <f>IFERROR(VLOOKUP(W$1&amp;"_"&amp;$A43, Predicciones_Master!$A$4:$Q$2000, 7, FALSE) &amp; " - " &amp; VLOOKUP(W$1&amp;"_"&amp;$A43, Predicciones_Master!$A$4:$Q$2000, 8, FALSE), "N/A")</f>
        <v/>
      </c>
      <c r="X43" s="12">
        <f>IF($D43="Por Jugar", "", IFERROR(VLOOKUP(W$1&amp;"_"&amp;$A43, Predicciones_Master!$A$4:$Q$2000, 11, FALSE), 0))</f>
        <v/>
      </c>
    </row>
    <row r="44" ht="20" customHeight="1">
      <c r="A44" s="8">
        <f>Resultados_Reales!A44</f>
        <v/>
      </c>
      <c r="B44" s="8">
        <f>Resultados_Reales!B44</f>
        <v/>
      </c>
      <c r="C44" s="9">
        <f>Resultados_Reales!C44 &amp; " vs " &amp; Resultados_Reales!D44</f>
        <v/>
      </c>
      <c r="D44" s="10">
        <f>IF(OR(Resultados_Reales!E44="", Resultados_Reales!F44=""), "Por Jugar", Resultados_Reales!E44 &amp; " - " &amp; Resultados_Reales!F44)</f>
        <v/>
      </c>
      <c r="E44" s="8">
        <f>IFERROR(VLOOKUP(E$1&amp;"_"&amp;$A44, Predicciones_Master!$A$4:$Q$2000, 7, FALSE) &amp; " - " &amp; VLOOKUP(E$1&amp;"_"&amp;$A44, Predicciones_Master!$A$4:$Q$2000, 8, FALSE), "N/A")</f>
        <v/>
      </c>
      <c r="F44" s="12">
        <f>IF($D44="Por Jugar", "", IFERROR(VLOOKUP(E$1&amp;"_"&amp;$A44, Predicciones_Master!$A$4:$Q$2000, 11, FALSE), 0))</f>
        <v/>
      </c>
      <c r="G44" s="8">
        <f>IFERROR(VLOOKUP(G$1&amp;"_"&amp;$A44, Predicciones_Master!$A$4:$Q$2000, 7, FALSE) &amp; " - " &amp; VLOOKUP(G$1&amp;"_"&amp;$A44, Predicciones_Master!$A$4:$Q$2000, 8, FALSE), "N/A")</f>
        <v/>
      </c>
      <c r="H44" s="12">
        <f>IF($D44="Por Jugar", "", IFERROR(VLOOKUP(G$1&amp;"_"&amp;$A44, Predicciones_Master!$A$4:$Q$2000, 11, FALSE), 0))</f>
        <v/>
      </c>
      <c r="I44" s="8">
        <f>IFERROR(VLOOKUP(I$1&amp;"_"&amp;$A44, Predicciones_Master!$A$4:$Q$2000, 7, FALSE) &amp; " - " &amp; VLOOKUP(I$1&amp;"_"&amp;$A44, Predicciones_Master!$A$4:$Q$2000, 8, FALSE), "N/A")</f>
        <v/>
      </c>
      <c r="J44" s="12">
        <f>IF($D44="Por Jugar", "", IFERROR(VLOOKUP(I$1&amp;"_"&amp;$A44, Predicciones_Master!$A$4:$Q$2000, 11, FALSE), 0))</f>
        <v/>
      </c>
      <c r="K44" s="8">
        <f>IFERROR(VLOOKUP(K$1&amp;"_"&amp;$A44, Predicciones_Master!$A$4:$Q$2000, 7, FALSE) &amp; " - " &amp; VLOOKUP(K$1&amp;"_"&amp;$A44, Predicciones_Master!$A$4:$Q$2000, 8, FALSE), "N/A")</f>
        <v/>
      </c>
      <c r="L44" s="12">
        <f>IF($D44="Por Jugar", "", IFERROR(VLOOKUP(K$1&amp;"_"&amp;$A44, Predicciones_Master!$A$4:$Q$2000, 11, FALSE), 0))</f>
        <v/>
      </c>
      <c r="M44" s="8">
        <f>IFERROR(VLOOKUP(M$1&amp;"_"&amp;$A44, Predicciones_Master!$A$4:$Q$2000, 7, FALSE) &amp; " - " &amp; VLOOKUP(M$1&amp;"_"&amp;$A44, Predicciones_Master!$A$4:$Q$2000, 8, FALSE), "N/A")</f>
        <v/>
      </c>
      <c r="N44" s="12">
        <f>IF($D44="Por Jugar", "", IFERROR(VLOOKUP(M$1&amp;"_"&amp;$A44, Predicciones_Master!$A$4:$Q$2000, 11, FALSE), 0))</f>
        <v/>
      </c>
      <c r="O44" s="8">
        <f>IFERROR(VLOOKUP(O$1&amp;"_"&amp;$A44, Predicciones_Master!$A$4:$Q$2000, 7, FALSE) &amp; " - " &amp; VLOOKUP(O$1&amp;"_"&amp;$A44, Predicciones_Master!$A$4:$Q$2000, 8, FALSE), "N/A")</f>
        <v/>
      </c>
      <c r="P44" s="12">
        <f>IF($D44="Por Jugar", "", IFERROR(VLOOKUP(O$1&amp;"_"&amp;$A44, Predicciones_Master!$A$4:$Q$2000, 11, FALSE), 0))</f>
        <v/>
      </c>
      <c r="Q44" s="8">
        <f>IFERROR(VLOOKUP(Q$1&amp;"_"&amp;$A44, Predicciones_Master!$A$4:$Q$2000, 7, FALSE) &amp; " - " &amp; VLOOKUP(Q$1&amp;"_"&amp;$A44, Predicciones_Master!$A$4:$Q$2000, 8, FALSE), "N/A")</f>
        <v/>
      </c>
      <c r="R44" s="12">
        <f>IF($D44="Por Jugar", "", IFERROR(VLOOKUP(Q$1&amp;"_"&amp;$A44, Predicciones_Master!$A$4:$Q$2000, 11, FALSE), 0))</f>
        <v/>
      </c>
      <c r="S44" s="8">
        <f>IFERROR(VLOOKUP(S$1&amp;"_"&amp;$A44, Predicciones_Master!$A$4:$Q$2000, 7, FALSE) &amp; " - " &amp; VLOOKUP(S$1&amp;"_"&amp;$A44, Predicciones_Master!$A$4:$Q$2000, 8, FALSE), "N/A")</f>
        <v/>
      </c>
      <c r="T44" s="12">
        <f>IF($D44="Por Jugar", "", IFERROR(VLOOKUP(S$1&amp;"_"&amp;$A44, Predicciones_Master!$A$4:$Q$2000, 11, FALSE), 0))</f>
        <v/>
      </c>
      <c r="U44" s="8">
        <f>IFERROR(VLOOKUP(U$1&amp;"_"&amp;$A44, Predicciones_Master!$A$4:$Q$2000, 7, FALSE) &amp; " - " &amp; VLOOKUP(U$1&amp;"_"&amp;$A44, Predicciones_Master!$A$4:$Q$2000, 8, FALSE), "N/A")</f>
        <v/>
      </c>
      <c r="V44" s="12">
        <f>IF($D44="Por Jugar", "", IFERROR(VLOOKUP(U$1&amp;"_"&amp;$A44, Predicciones_Master!$A$4:$Q$2000, 11, FALSE), 0))</f>
        <v/>
      </c>
      <c r="W44" s="8">
        <f>IFERROR(VLOOKUP(W$1&amp;"_"&amp;$A44, Predicciones_Master!$A$4:$Q$2000, 7, FALSE) &amp; " - " &amp; VLOOKUP(W$1&amp;"_"&amp;$A44, Predicciones_Master!$A$4:$Q$2000, 8, FALSE), "N/A")</f>
        <v/>
      </c>
      <c r="X44" s="12">
        <f>IF($D44="Por Jugar", "", IFERROR(VLOOKUP(W$1&amp;"_"&amp;$A44, Predicciones_Master!$A$4:$Q$2000, 11, FALSE), 0))</f>
        <v/>
      </c>
    </row>
    <row r="45" ht="20" customHeight="1">
      <c r="A45" s="8">
        <f>Resultados_Reales!A45</f>
        <v/>
      </c>
      <c r="B45" s="8">
        <f>Resultados_Reales!B45</f>
        <v/>
      </c>
      <c r="C45" s="9">
        <f>Resultados_Reales!C45 &amp; " vs " &amp; Resultados_Reales!D45</f>
        <v/>
      </c>
      <c r="D45" s="10">
        <f>IF(OR(Resultados_Reales!E45="", Resultados_Reales!F45=""), "Por Jugar", Resultados_Reales!E45 &amp; " - " &amp; Resultados_Reales!F45)</f>
        <v/>
      </c>
      <c r="E45" s="8">
        <f>IFERROR(VLOOKUP(E$1&amp;"_"&amp;$A45, Predicciones_Master!$A$4:$Q$2000, 7, FALSE) &amp; " - " &amp; VLOOKUP(E$1&amp;"_"&amp;$A45, Predicciones_Master!$A$4:$Q$2000, 8, FALSE), "N/A")</f>
        <v/>
      </c>
      <c r="F45" s="12">
        <f>IF($D45="Por Jugar", "", IFERROR(VLOOKUP(E$1&amp;"_"&amp;$A45, Predicciones_Master!$A$4:$Q$2000, 11, FALSE), 0))</f>
        <v/>
      </c>
      <c r="G45" s="8">
        <f>IFERROR(VLOOKUP(G$1&amp;"_"&amp;$A45, Predicciones_Master!$A$4:$Q$2000, 7, FALSE) &amp; " - " &amp; VLOOKUP(G$1&amp;"_"&amp;$A45, Predicciones_Master!$A$4:$Q$2000, 8, FALSE), "N/A")</f>
        <v/>
      </c>
      <c r="H45" s="12">
        <f>IF($D45="Por Jugar", "", IFERROR(VLOOKUP(G$1&amp;"_"&amp;$A45, Predicciones_Master!$A$4:$Q$2000, 11, FALSE), 0))</f>
        <v/>
      </c>
      <c r="I45" s="8">
        <f>IFERROR(VLOOKUP(I$1&amp;"_"&amp;$A45, Predicciones_Master!$A$4:$Q$2000, 7, FALSE) &amp; " - " &amp; VLOOKUP(I$1&amp;"_"&amp;$A45, Predicciones_Master!$A$4:$Q$2000, 8, FALSE), "N/A")</f>
        <v/>
      </c>
      <c r="J45" s="12">
        <f>IF($D45="Por Jugar", "", IFERROR(VLOOKUP(I$1&amp;"_"&amp;$A45, Predicciones_Master!$A$4:$Q$2000, 11, FALSE), 0))</f>
        <v/>
      </c>
      <c r="K45" s="8">
        <f>IFERROR(VLOOKUP(K$1&amp;"_"&amp;$A45, Predicciones_Master!$A$4:$Q$2000, 7, FALSE) &amp; " - " &amp; VLOOKUP(K$1&amp;"_"&amp;$A45, Predicciones_Master!$A$4:$Q$2000, 8, FALSE), "N/A")</f>
        <v/>
      </c>
      <c r="L45" s="12">
        <f>IF($D45="Por Jugar", "", IFERROR(VLOOKUP(K$1&amp;"_"&amp;$A45, Predicciones_Master!$A$4:$Q$2000, 11, FALSE), 0))</f>
        <v/>
      </c>
      <c r="M45" s="8">
        <f>IFERROR(VLOOKUP(M$1&amp;"_"&amp;$A45, Predicciones_Master!$A$4:$Q$2000, 7, FALSE) &amp; " - " &amp; VLOOKUP(M$1&amp;"_"&amp;$A45, Predicciones_Master!$A$4:$Q$2000, 8, FALSE), "N/A")</f>
        <v/>
      </c>
      <c r="N45" s="12">
        <f>IF($D45="Por Jugar", "", IFERROR(VLOOKUP(M$1&amp;"_"&amp;$A45, Predicciones_Master!$A$4:$Q$2000, 11, FALSE), 0))</f>
        <v/>
      </c>
      <c r="O45" s="8">
        <f>IFERROR(VLOOKUP(O$1&amp;"_"&amp;$A45, Predicciones_Master!$A$4:$Q$2000, 7, FALSE) &amp; " - " &amp; VLOOKUP(O$1&amp;"_"&amp;$A45, Predicciones_Master!$A$4:$Q$2000, 8, FALSE), "N/A")</f>
        <v/>
      </c>
      <c r="P45" s="12">
        <f>IF($D45="Por Jugar", "", IFERROR(VLOOKUP(O$1&amp;"_"&amp;$A45, Predicciones_Master!$A$4:$Q$2000, 11, FALSE), 0))</f>
        <v/>
      </c>
      <c r="Q45" s="8">
        <f>IFERROR(VLOOKUP(Q$1&amp;"_"&amp;$A45, Predicciones_Master!$A$4:$Q$2000, 7, FALSE) &amp; " - " &amp; VLOOKUP(Q$1&amp;"_"&amp;$A45, Predicciones_Master!$A$4:$Q$2000, 8, FALSE), "N/A")</f>
        <v/>
      </c>
      <c r="R45" s="12">
        <f>IF($D45="Por Jugar", "", IFERROR(VLOOKUP(Q$1&amp;"_"&amp;$A45, Predicciones_Master!$A$4:$Q$2000, 11, FALSE), 0))</f>
        <v/>
      </c>
      <c r="S45" s="8">
        <f>IFERROR(VLOOKUP(S$1&amp;"_"&amp;$A45, Predicciones_Master!$A$4:$Q$2000, 7, FALSE) &amp; " - " &amp; VLOOKUP(S$1&amp;"_"&amp;$A45, Predicciones_Master!$A$4:$Q$2000, 8, FALSE), "N/A")</f>
        <v/>
      </c>
      <c r="T45" s="12">
        <f>IF($D45="Por Jugar", "", IFERROR(VLOOKUP(S$1&amp;"_"&amp;$A45, Predicciones_Master!$A$4:$Q$2000, 11, FALSE), 0))</f>
        <v/>
      </c>
      <c r="U45" s="8">
        <f>IFERROR(VLOOKUP(U$1&amp;"_"&amp;$A45, Predicciones_Master!$A$4:$Q$2000, 7, FALSE) &amp; " - " &amp; VLOOKUP(U$1&amp;"_"&amp;$A45, Predicciones_Master!$A$4:$Q$2000, 8, FALSE), "N/A")</f>
        <v/>
      </c>
      <c r="V45" s="12">
        <f>IF($D45="Por Jugar", "", IFERROR(VLOOKUP(U$1&amp;"_"&amp;$A45, Predicciones_Master!$A$4:$Q$2000, 11, FALSE), 0))</f>
        <v/>
      </c>
      <c r="W45" s="8">
        <f>IFERROR(VLOOKUP(W$1&amp;"_"&amp;$A45, Predicciones_Master!$A$4:$Q$2000, 7, FALSE) &amp; " - " &amp; VLOOKUP(W$1&amp;"_"&amp;$A45, Predicciones_Master!$A$4:$Q$2000, 8, FALSE), "N/A")</f>
        <v/>
      </c>
      <c r="X45" s="12">
        <f>IF($D45="Por Jugar", "", IFERROR(VLOOKUP(W$1&amp;"_"&amp;$A45, Predicciones_Master!$A$4:$Q$2000, 11, FALSE), 0))</f>
        <v/>
      </c>
    </row>
    <row r="46" ht="20" customHeight="1">
      <c r="A46" s="8">
        <f>Resultados_Reales!A46</f>
        <v/>
      </c>
      <c r="B46" s="8">
        <f>Resultados_Reales!B46</f>
        <v/>
      </c>
      <c r="C46" s="9">
        <f>Resultados_Reales!C46 &amp; " vs " &amp; Resultados_Reales!D46</f>
        <v/>
      </c>
      <c r="D46" s="10">
        <f>IF(OR(Resultados_Reales!E46="", Resultados_Reales!F46=""), "Por Jugar", Resultados_Reales!E46 &amp; " - " &amp; Resultados_Reales!F46)</f>
        <v/>
      </c>
      <c r="E46" s="8">
        <f>IFERROR(VLOOKUP(E$1&amp;"_"&amp;$A46, Predicciones_Master!$A$4:$Q$2000, 7, FALSE) &amp; " - " &amp; VLOOKUP(E$1&amp;"_"&amp;$A46, Predicciones_Master!$A$4:$Q$2000, 8, FALSE), "N/A")</f>
        <v/>
      </c>
      <c r="F46" s="12">
        <f>IF($D46="Por Jugar", "", IFERROR(VLOOKUP(E$1&amp;"_"&amp;$A46, Predicciones_Master!$A$4:$Q$2000, 11, FALSE), 0))</f>
        <v/>
      </c>
      <c r="G46" s="8">
        <f>IFERROR(VLOOKUP(G$1&amp;"_"&amp;$A46, Predicciones_Master!$A$4:$Q$2000, 7, FALSE) &amp; " - " &amp; VLOOKUP(G$1&amp;"_"&amp;$A46, Predicciones_Master!$A$4:$Q$2000, 8, FALSE), "N/A")</f>
        <v/>
      </c>
      <c r="H46" s="12">
        <f>IF($D46="Por Jugar", "", IFERROR(VLOOKUP(G$1&amp;"_"&amp;$A46, Predicciones_Master!$A$4:$Q$2000, 11, FALSE), 0))</f>
        <v/>
      </c>
      <c r="I46" s="8">
        <f>IFERROR(VLOOKUP(I$1&amp;"_"&amp;$A46, Predicciones_Master!$A$4:$Q$2000, 7, FALSE) &amp; " - " &amp; VLOOKUP(I$1&amp;"_"&amp;$A46, Predicciones_Master!$A$4:$Q$2000, 8, FALSE), "N/A")</f>
        <v/>
      </c>
      <c r="J46" s="12">
        <f>IF($D46="Por Jugar", "", IFERROR(VLOOKUP(I$1&amp;"_"&amp;$A46, Predicciones_Master!$A$4:$Q$2000, 11, FALSE), 0))</f>
        <v/>
      </c>
      <c r="K46" s="8">
        <f>IFERROR(VLOOKUP(K$1&amp;"_"&amp;$A46, Predicciones_Master!$A$4:$Q$2000, 7, FALSE) &amp; " - " &amp; VLOOKUP(K$1&amp;"_"&amp;$A46, Predicciones_Master!$A$4:$Q$2000, 8, FALSE), "N/A")</f>
        <v/>
      </c>
      <c r="L46" s="12">
        <f>IF($D46="Por Jugar", "", IFERROR(VLOOKUP(K$1&amp;"_"&amp;$A46, Predicciones_Master!$A$4:$Q$2000, 11, FALSE), 0))</f>
        <v/>
      </c>
      <c r="M46" s="8">
        <f>IFERROR(VLOOKUP(M$1&amp;"_"&amp;$A46, Predicciones_Master!$A$4:$Q$2000, 7, FALSE) &amp; " - " &amp; VLOOKUP(M$1&amp;"_"&amp;$A46, Predicciones_Master!$A$4:$Q$2000, 8, FALSE), "N/A")</f>
        <v/>
      </c>
      <c r="N46" s="12">
        <f>IF($D46="Por Jugar", "", IFERROR(VLOOKUP(M$1&amp;"_"&amp;$A46, Predicciones_Master!$A$4:$Q$2000, 11, FALSE), 0))</f>
        <v/>
      </c>
      <c r="O46" s="8">
        <f>IFERROR(VLOOKUP(O$1&amp;"_"&amp;$A46, Predicciones_Master!$A$4:$Q$2000, 7, FALSE) &amp; " - " &amp; VLOOKUP(O$1&amp;"_"&amp;$A46, Predicciones_Master!$A$4:$Q$2000, 8, FALSE), "N/A")</f>
        <v/>
      </c>
      <c r="P46" s="12">
        <f>IF($D46="Por Jugar", "", IFERROR(VLOOKUP(O$1&amp;"_"&amp;$A46, Predicciones_Master!$A$4:$Q$2000, 11, FALSE), 0))</f>
        <v/>
      </c>
      <c r="Q46" s="8">
        <f>IFERROR(VLOOKUP(Q$1&amp;"_"&amp;$A46, Predicciones_Master!$A$4:$Q$2000, 7, FALSE) &amp; " - " &amp; VLOOKUP(Q$1&amp;"_"&amp;$A46, Predicciones_Master!$A$4:$Q$2000, 8, FALSE), "N/A")</f>
        <v/>
      </c>
      <c r="R46" s="12">
        <f>IF($D46="Por Jugar", "", IFERROR(VLOOKUP(Q$1&amp;"_"&amp;$A46, Predicciones_Master!$A$4:$Q$2000, 11, FALSE), 0))</f>
        <v/>
      </c>
      <c r="S46" s="8">
        <f>IFERROR(VLOOKUP(S$1&amp;"_"&amp;$A46, Predicciones_Master!$A$4:$Q$2000, 7, FALSE) &amp; " - " &amp; VLOOKUP(S$1&amp;"_"&amp;$A46, Predicciones_Master!$A$4:$Q$2000, 8, FALSE), "N/A")</f>
        <v/>
      </c>
      <c r="T46" s="12">
        <f>IF($D46="Por Jugar", "", IFERROR(VLOOKUP(S$1&amp;"_"&amp;$A46, Predicciones_Master!$A$4:$Q$2000, 11, FALSE), 0))</f>
        <v/>
      </c>
      <c r="U46" s="8">
        <f>IFERROR(VLOOKUP(U$1&amp;"_"&amp;$A46, Predicciones_Master!$A$4:$Q$2000, 7, FALSE) &amp; " - " &amp; VLOOKUP(U$1&amp;"_"&amp;$A46, Predicciones_Master!$A$4:$Q$2000, 8, FALSE), "N/A")</f>
        <v/>
      </c>
      <c r="V46" s="12">
        <f>IF($D46="Por Jugar", "", IFERROR(VLOOKUP(U$1&amp;"_"&amp;$A46, Predicciones_Master!$A$4:$Q$2000, 11, FALSE), 0))</f>
        <v/>
      </c>
      <c r="W46" s="8">
        <f>IFERROR(VLOOKUP(W$1&amp;"_"&amp;$A46, Predicciones_Master!$A$4:$Q$2000, 7, FALSE) &amp; " - " &amp; VLOOKUP(W$1&amp;"_"&amp;$A46, Predicciones_Master!$A$4:$Q$2000, 8, FALSE), "N/A")</f>
        <v/>
      </c>
      <c r="X46" s="12">
        <f>IF($D46="Por Jugar", "", IFERROR(VLOOKUP(W$1&amp;"_"&amp;$A46, Predicciones_Master!$A$4:$Q$2000, 11, FALSE), 0))</f>
        <v/>
      </c>
    </row>
    <row r="47" ht="20" customHeight="1">
      <c r="A47" s="8">
        <f>Resultados_Reales!A47</f>
        <v/>
      </c>
      <c r="B47" s="8">
        <f>Resultados_Reales!B47</f>
        <v/>
      </c>
      <c r="C47" s="9">
        <f>Resultados_Reales!C47 &amp; " vs " &amp; Resultados_Reales!D47</f>
        <v/>
      </c>
      <c r="D47" s="10">
        <f>IF(OR(Resultados_Reales!E47="", Resultados_Reales!F47=""), "Por Jugar", Resultados_Reales!E47 &amp; " - " &amp; Resultados_Reales!F47)</f>
        <v/>
      </c>
      <c r="E47" s="8">
        <f>IFERROR(VLOOKUP(E$1&amp;"_"&amp;$A47, Predicciones_Master!$A$4:$Q$2000, 7, FALSE) &amp; " - " &amp; VLOOKUP(E$1&amp;"_"&amp;$A47, Predicciones_Master!$A$4:$Q$2000, 8, FALSE), "N/A")</f>
        <v/>
      </c>
      <c r="F47" s="12">
        <f>IF($D47="Por Jugar", "", IFERROR(VLOOKUP(E$1&amp;"_"&amp;$A47, Predicciones_Master!$A$4:$Q$2000, 11, FALSE), 0))</f>
        <v/>
      </c>
      <c r="G47" s="8">
        <f>IFERROR(VLOOKUP(G$1&amp;"_"&amp;$A47, Predicciones_Master!$A$4:$Q$2000, 7, FALSE) &amp; " - " &amp; VLOOKUP(G$1&amp;"_"&amp;$A47, Predicciones_Master!$A$4:$Q$2000, 8, FALSE), "N/A")</f>
        <v/>
      </c>
      <c r="H47" s="12">
        <f>IF($D47="Por Jugar", "", IFERROR(VLOOKUP(G$1&amp;"_"&amp;$A47, Predicciones_Master!$A$4:$Q$2000, 11, FALSE), 0))</f>
        <v/>
      </c>
      <c r="I47" s="8">
        <f>IFERROR(VLOOKUP(I$1&amp;"_"&amp;$A47, Predicciones_Master!$A$4:$Q$2000, 7, FALSE) &amp; " - " &amp; VLOOKUP(I$1&amp;"_"&amp;$A47, Predicciones_Master!$A$4:$Q$2000, 8, FALSE), "N/A")</f>
        <v/>
      </c>
      <c r="J47" s="12">
        <f>IF($D47="Por Jugar", "", IFERROR(VLOOKUP(I$1&amp;"_"&amp;$A47, Predicciones_Master!$A$4:$Q$2000, 11, FALSE), 0))</f>
        <v/>
      </c>
      <c r="K47" s="8">
        <f>IFERROR(VLOOKUP(K$1&amp;"_"&amp;$A47, Predicciones_Master!$A$4:$Q$2000, 7, FALSE) &amp; " - " &amp; VLOOKUP(K$1&amp;"_"&amp;$A47, Predicciones_Master!$A$4:$Q$2000, 8, FALSE), "N/A")</f>
        <v/>
      </c>
      <c r="L47" s="12">
        <f>IF($D47="Por Jugar", "", IFERROR(VLOOKUP(K$1&amp;"_"&amp;$A47, Predicciones_Master!$A$4:$Q$2000, 11, FALSE), 0))</f>
        <v/>
      </c>
      <c r="M47" s="8">
        <f>IFERROR(VLOOKUP(M$1&amp;"_"&amp;$A47, Predicciones_Master!$A$4:$Q$2000, 7, FALSE) &amp; " - " &amp; VLOOKUP(M$1&amp;"_"&amp;$A47, Predicciones_Master!$A$4:$Q$2000, 8, FALSE), "N/A")</f>
        <v/>
      </c>
      <c r="N47" s="12">
        <f>IF($D47="Por Jugar", "", IFERROR(VLOOKUP(M$1&amp;"_"&amp;$A47, Predicciones_Master!$A$4:$Q$2000, 11, FALSE), 0))</f>
        <v/>
      </c>
      <c r="O47" s="8">
        <f>IFERROR(VLOOKUP(O$1&amp;"_"&amp;$A47, Predicciones_Master!$A$4:$Q$2000, 7, FALSE) &amp; " - " &amp; VLOOKUP(O$1&amp;"_"&amp;$A47, Predicciones_Master!$A$4:$Q$2000, 8, FALSE), "N/A")</f>
        <v/>
      </c>
      <c r="P47" s="12">
        <f>IF($D47="Por Jugar", "", IFERROR(VLOOKUP(O$1&amp;"_"&amp;$A47, Predicciones_Master!$A$4:$Q$2000, 11, FALSE), 0))</f>
        <v/>
      </c>
      <c r="Q47" s="8">
        <f>IFERROR(VLOOKUP(Q$1&amp;"_"&amp;$A47, Predicciones_Master!$A$4:$Q$2000, 7, FALSE) &amp; " - " &amp; VLOOKUP(Q$1&amp;"_"&amp;$A47, Predicciones_Master!$A$4:$Q$2000, 8, FALSE), "N/A")</f>
        <v/>
      </c>
      <c r="R47" s="12">
        <f>IF($D47="Por Jugar", "", IFERROR(VLOOKUP(Q$1&amp;"_"&amp;$A47, Predicciones_Master!$A$4:$Q$2000, 11, FALSE), 0))</f>
        <v/>
      </c>
      <c r="S47" s="8">
        <f>IFERROR(VLOOKUP(S$1&amp;"_"&amp;$A47, Predicciones_Master!$A$4:$Q$2000, 7, FALSE) &amp; " - " &amp; VLOOKUP(S$1&amp;"_"&amp;$A47, Predicciones_Master!$A$4:$Q$2000, 8, FALSE), "N/A")</f>
        <v/>
      </c>
      <c r="T47" s="12">
        <f>IF($D47="Por Jugar", "", IFERROR(VLOOKUP(S$1&amp;"_"&amp;$A47, Predicciones_Master!$A$4:$Q$2000, 11, FALSE), 0))</f>
        <v/>
      </c>
      <c r="U47" s="8">
        <f>IFERROR(VLOOKUP(U$1&amp;"_"&amp;$A47, Predicciones_Master!$A$4:$Q$2000, 7, FALSE) &amp; " - " &amp; VLOOKUP(U$1&amp;"_"&amp;$A47, Predicciones_Master!$A$4:$Q$2000, 8, FALSE), "N/A")</f>
        <v/>
      </c>
      <c r="V47" s="12">
        <f>IF($D47="Por Jugar", "", IFERROR(VLOOKUP(U$1&amp;"_"&amp;$A47, Predicciones_Master!$A$4:$Q$2000, 11, FALSE), 0))</f>
        <v/>
      </c>
      <c r="W47" s="8">
        <f>IFERROR(VLOOKUP(W$1&amp;"_"&amp;$A47, Predicciones_Master!$A$4:$Q$2000, 7, FALSE) &amp; " - " &amp; VLOOKUP(W$1&amp;"_"&amp;$A47, Predicciones_Master!$A$4:$Q$2000, 8, FALSE), "N/A")</f>
        <v/>
      </c>
      <c r="X47" s="12">
        <f>IF($D47="Por Jugar", "", IFERROR(VLOOKUP(W$1&amp;"_"&amp;$A47, Predicciones_Master!$A$4:$Q$2000, 11, FALSE), 0))</f>
        <v/>
      </c>
    </row>
    <row r="48" ht="20" customHeight="1">
      <c r="A48" s="8">
        <f>Resultados_Reales!A48</f>
        <v/>
      </c>
      <c r="B48" s="8">
        <f>Resultados_Reales!B48</f>
        <v/>
      </c>
      <c r="C48" s="9">
        <f>Resultados_Reales!C48 &amp; " vs " &amp; Resultados_Reales!D48</f>
        <v/>
      </c>
      <c r="D48" s="10">
        <f>IF(OR(Resultados_Reales!E48="", Resultados_Reales!F48=""), "Por Jugar", Resultados_Reales!E48 &amp; " - " &amp; Resultados_Reales!F48)</f>
        <v/>
      </c>
      <c r="E48" s="8">
        <f>IFERROR(VLOOKUP(E$1&amp;"_"&amp;$A48, Predicciones_Master!$A$4:$Q$2000, 7, FALSE) &amp; " - " &amp; VLOOKUP(E$1&amp;"_"&amp;$A48, Predicciones_Master!$A$4:$Q$2000, 8, FALSE), "N/A")</f>
        <v/>
      </c>
      <c r="F48" s="12">
        <f>IF($D48="Por Jugar", "", IFERROR(VLOOKUP(E$1&amp;"_"&amp;$A48, Predicciones_Master!$A$4:$Q$2000, 11, FALSE), 0))</f>
        <v/>
      </c>
      <c r="G48" s="8">
        <f>IFERROR(VLOOKUP(G$1&amp;"_"&amp;$A48, Predicciones_Master!$A$4:$Q$2000, 7, FALSE) &amp; " - " &amp; VLOOKUP(G$1&amp;"_"&amp;$A48, Predicciones_Master!$A$4:$Q$2000, 8, FALSE), "N/A")</f>
        <v/>
      </c>
      <c r="H48" s="12">
        <f>IF($D48="Por Jugar", "", IFERROR(VLOOKUP(G$1&amp;"_"&amp;$A48, Predicciones_Master!$A$4:$Q$2000, 11, FALSE), 0))</f>
        <v/>
      </c>
      <c r="I48" s="8">
        <f>IFERROR(VLOOKUP(I$1&amp;"_"&amp;$A48, Predicciones_Master!$A$4:$Q$2000, 7, FALSE) &amp; " - " &amp; VLOOKUP(I$1&amp;"_"&amp;$A48, Predicciones_Master!$A$4:$Q$2000, 8, FALSE), "N/A")</f>
        <v/>
      </c>
      <c r="J48" s="12">
        <f>IF($D48="Por Jugar", "", IFERROR(VLOOKUP(I$1&amp;"_"&amp;$A48, Predicciones_Master!$A$4:$Q$2000, 11, FALSE), 0))</f>
        <v/>
      </c>
      <c r="K48" s="8">
        <f>IFERROR(VLOOKUP(K$1&amp;"_"&amp;$A48, Predicciones_Master!$A$4:$Q$2000, 7, FALSE) &amp; " - " &amp; VLOOKUP(K$1&amp;"_"&amp;$A48, Predicciones_Master!$A$4:$Q$2000, 8, FALSE), "N/A")</f>
        <v/>
      </c>
      <c r="L48" s="12">
        <f>IF($D48="Por Jugar", "", IFERROR(VLOOKUP(K$1&amp;"_"&amp;$A48, Predicciones_Master!$A$4:$Q$2000, 11, FALSE), 0))</f>
        <v/>
      </c>
      <c r="M48" s="8">
        <f>IFERROR(VLOOKUP(M$1&amp;"_"&amp;$A48, Predicciones_Master!$A$4:$Q$2000, 7, FALSE) &amp; " - " &amp; VLOOKUP(M$1&amp;"_"&amp;$A48, Predicciones_Master!$A$4:$Q$2000, 8, FALSE), "N/A")</f>
        <v/>
      </c>
      <c r="N48" s="12">
        <f>IF($D48="Por Jugar", "", IFERROR(VLOOKUP(M$1&amp;"_"&amp;$A48, Predicciones_Master!$A$4:$Q$2000, 11, FALSE), 0))</f>
        <v/>
      </c>
      <c r="O48" s="8">
        <f>IFERROR(VLOOKUP(O$1&amp;"_"&amp;$A48, Predicciones_Master!$A$4:$Q$2000, 7, FALSE) &amp; " - " &amp; VLOOKUP(O$1&amp;"_"&amp;$A48, Predicciones_Master!$A$4:$Q$2000, 8, FALSE), "N/A")</f>
        <v/>
      </c>
      <c r="P48" s="12">
        <f>IF($D48="Por Jugar", "", IFERROR(VLOOKUP(O$1&amp;"_"&amp;$A48, Predicciones_Master!$A$4:$Q$2000, 11, FALSE), 0))</f>
        <v/>
      </c>
      <c r="Q48" s="8">
        <f>IFERROR(VLOOKUP(Q$1&amp;"_"&amp;$A48, Predicciones_Master!$A$4:$Q$2000, 7, FALSE) &amp; " - " &amp; VLOOKUP(Q$1&amp;"_"&amp;$A48, Predicciones_Master!$A$4:$Q$2000, 8, FALSE), "N/A")</f>
        <v/>
      </c>
      <c r="R48" s="12">
        <f>IF($D48="Por Jugar", "", IFERROR(VLOOKUP(Q$1&amp;"_"&amp;$A48, Predicciones_Master!$A$4:$Q$2000, 11, FALSE), 0))</f>
        <v/>
      </c>
      <c r="S48" s="8">
        <f>IFERROR(VLOOKUP(S$1&amp;"_"&amp;$A48, Predicciones_Master!$A$4:$Q$2000, 7, FALSE) &amp; " - " &amp; VLOOKUP(S$1&amp;"_"&amp;$A48, Predicciones_Master!$A$4:$Q$2000, 8, FALSE), "N/A")</f>
        <v/>
      </c>
      <c r="T48" s="12">
        <f>IF($D48="Por Jugar", "", IFERROR(VLOOKUP(S$1&amp;"_"&amp;$A48, Predicciones_Master!$A$4:$Q$2000, 11, FALSE), 0))</f>
        <v/>
      </c>
      <c r="U48" s="8">
        <f>IFERROR(VLOOKUP(U$1&amp;"_"&amp;$A48, Predicciones_Master!$A$4:$Q$2000, 7, FALSE) &amp; " - " &amp; VLOOKUP(U$1&amp;"_"&amp;$A48, Predicciones_Master!$A$4:$Q$2000, 8, FALSE), "N/A")</f>
        <v/>
      </c>
      <c r="V48" s="12">
        <f>IF($D48="Por Jugar", "", IFERROR(VLOOKUP(U$1&amp;"_"&amp;$A48, Predicciones_Master!$A$4:$Q$2000, 11, FALSE), 0))</f>
        <v/>
      </c>
      <c r="W48" s="8">
        <f>IFERROR(VLOOKUP(W$1&amp;"_"&amp;$A48, Predicciones_Master!$A$4:$Q$2000, 7, FALSE) &amp; " - " &amp; VLOOKUP(W$1&amp;"_"&amp;$A48, Predicciones_Master!$A$4:$Q$2000, 8, FALSE), "N/A")</f>
        <v/>
      </c>
      <c r="X48" s="12">
        <f>IF($D48="Por Jugar", "", IFERROR(VLOOKUP(W$1&amp;"_"&amp;$A48, Predicciones_Master!$A$4:$Q$2000, 11, FALSE), 0))</f>
        <v/>
      </c>
    </row>
    <row r="49" ht="20" customHeight="1">
      <c r="A49" s="8">
        <f>Resultados_Reales!A49</f>
        <v/>
      </c>
      <c r="B49" s="8">
        <f>Resultados_Reales!B49</f>
        <v/>
      </c>
      <c r="C49" s="9">
        <f>Resultados_Reales!C49 &amp; " vs " &amp; Resultados_Reales!D49</f>
        <v/>
      </c>
      <c r="D49" s="10">
        <f>IF(OR(Resultados_Reales!E49="", Resultados_Reales!F49=""), "Por Jugar", Resultados_Reales!E49 &amp; " - " &amp; Resultados_Reales!F49)</f>
        <v/>
      </c>
      <c r="E49" s="8">
        <f>IFERROR(VLOOKUP(E$1&amp;"_"&amp;$A49, Predicciones_Master!$A$4:$Q$2000, 7, FALSE) &amp; " - " &amp; VLOOKUP(E$1&amp;"_"&amp;$A49, Predicciones_Master!$A$4:$Q$2000, 8, FALSE), "N/A")</f>
        <v/>
      </c>
      <c r="F49" s="12">
        <f>IF($D49="Por Jugar", "", IFERROR(VLOOKUP(E$1&amp;"_"&amp;$A49, Predicciones_Master!$A$4:$Q$2000, 11, FALSE), 0))</f>
        <v/>
      </c>
      <c r="G49" s="8">
        <f>IFERROR(VLOOKUP(G$1&amp;"_"&amp;$A49, Predicciones_Master!$A$4:$Q$2000, 7, FALSE) &amp; " - " &amp; VLOOKUP(G$1&amp;"_"&amp;$A49, Predicciones_Master!$A$4:$Q$2000, 8, FALSE), "N/A")</f>
        <v/>
      </c>
      <c r="H49" s="12">
        <f>IF($D49="Por Jugar", "", IFERROR(VLOOKUP(G$1&amp;"_"&amp;$A49, Predicciones_Master!$A$4:$Q$2000, 11, FALSE), 0))</f>
        <v/>
      </c>
      <c r="I49" s="8">
        <f>IFERROR(VLOOKUP(I$1&amp;"_"&amp;$A49, Predicciones_Master!$A$4:$Q$2000, 7, FALSE) &amp; " - " &amp; VLOOKUP(I$1&amp;"_"&amp;$A49, Predicciones_Master!$A$4:$Q$2000, 8, FALSE), "N/A")</f>
        <v/>
      </c>
      <c r="J49" s="12">
        <f>IF($D49="Por Jugar", "", IFERROR(VLOOKUP(I$1&amp;"_"&amp;$A49, Predicciones_Master!$A$4:$Q$2000, 11, FALSE), 0))</f>
        <v/>
      </c>
      <c r="K49" s="8">
        <f>IFERROR(VLOOKUP(K$1&amp;"_"&amp;$A49, Predicciones_Master!$A$4:$Q$2000, 7, FALSE) &amp; " - " &amp; VLOOKUP(K$1&amp;"_"&amp;$A49, Predicciones_Master!$A$4:$Q$2000, 8, FALSE), "N/A")</f>
        <v/>
      </c>
      <c r="L49" s="12">
        <f>IF($D49="Por Jugar", "", IFERROR(VLOOKUP(K$1&amp;"_"&amp;$A49, Predicciones_Master!$A$4:$Q$2000, 11, FALSE), 0))</f>
        <v/>
      </c>
      <c r="M49" s="8">
        <f>IFERROR(VLOOKUP(M$1&amp;"_"&amp;$A49, Predicciones_Master!$A$4:$Q$2000, 7, FALSE) &amp; " - " &amp; VLOOKUP(M$1&amp;"_"&amp;$A49, Predicciones_Master!$A$4:$Q$2000, 8, FALSE), "N/A")</f>
        <v/>
      </c>
      <c r="N49" s="12">
        <f>IF($D49="Por Jugar", "", IFERROR(VLOOKUP(M$1&amp;"_"&amp;$A49, Predicciones_Master!$A$4:$Q$2000, 11, FALSE), 0))</f>
        <v/>
      </c>
      <c r="O49" s="8">
        <f>IFERROR(VLOOKUP(O$1&amp;"_"&amp;$A49, Predicciones_Master!$A$4:$Q$2000, 7, FALSE) &amp; " - " &amp; VLOOKUP(O$1&amp;"_"&amp;$A49, Predicciones_Master!$A$4:$Q$2000, 8, FALSE), "N/A")</f>
        <v/>
      </c>
      <c r="P49" s="12">
        <f>IF($D49="Por Jugar", "", IFERROR(VLOOKUP(O$1&amp;"_"&amp;$A49, Predicciones_Master!$A$4:$Q$2000, 11, FALSE), 0))</f>
        <v/>
      </c>
      <c r="Q49" s="8">
        <f>IFERROR(VLOOKUP(Q$1&amp;"_"&amp;$A49, Predicciones_Master!$A$4:$Q$2000, 7, FALSE) &amp; " - " &amp; VLOOKUP(Q$1&amp;"_"&amp;$A49, Predicciones_Master!$A$4:$Q$2000, 8, FALSE), "N/A")</f>
        <v/>
      </c>
      <c r="R49" s="12">
        <f>IF($D49="Por Jugar", "", IFERROR(VLOOKUP(Q$1&amp;"_"&amp;$A49, Predicciones_Master!$A$4:$Q$2000, 11, FALSE), 0))</f>
        <v/>
      </c>
      <c r="S49" s="8">
        <f>IFERROR(VLOOKUP(S$1&amp;"_"&amp;$A49, Predicciones_Master!$A$4:$Q$2000, 7, FALSE) &amp; " - " &amp; VLOOKUP(S$1&amp;"_"&amp;$A49, Predicciones_Master!$A$4:$Q$2000, 8, FALSE), "N/A")</f>
        <v/>
      </c>
      <c r="T49" s="12">
        <f>IF($D49="Por Jugar", "", IFERROR(VLOOKUP(S$1&amp;"_"&amp;$A49, Predicciones_Master!$A$4:$Q$2000, 11, FALSE), 0))</f>
        <v/>
      </c>
      <c r="U49" s="8">
        <f>IFERROR(VLOOKUP(U$1&amp;"_"&amp;$A49, Predicciones_Master!$A$4:$Q$2000, 7, FALSE) &amp; " - " &amp; VLOOKUP(U$1&amp;"_"&amp;$A49, Predicciones_Master!$A$4:$Q$2000, 8, FALSE), "N/A")</f>
        <v/>
      </c>
      <c r="V49" s="12">
        <f>IF($D49="Por Jugar", "", IFERROR(VLOOKUP(U$1&amp;"_"&amp;$A49, Predicciones_Master!$A$4:$Q$2000, 11, FALSE), 0))</f>
        <v/>
      </c>
      <c r="W49" s="8">
        <f>IFERROR(VLOOKUP(W$1&amp;"_"&amp;$A49, Predicciones_Master!$A$4:$Q$2000, 7, FALSE) &amp; " - " &amp; VLOOKUP(W$1&amp;"_"&amp;$A49, Predicciones_Master!$A$4:$Q$2000, 8, FALSE), "N/A")</f>
        <v/>
      </c>
      <c r="X49" s="12">
        <f>IF($D49="Por Jugar", "", IFERROR(VLOOKUP(W$1&amp;"_"&amp;$A49, Predicciones_Master!$A$4:$Q$2000, 11, FALSE), 0))</f>
        <v/>
      </c>
    </row>
    <row r="50" ht="20" customHeight="1">
      <c r="A50" s="8">
        <f>Resultados_Reales!A50</f>
        <v/>
      </c>
      <c r="B50" s="8">
        <f>Resultados_Reales!B50</f>
        <v/>
      </c>
      <c r="C50" s="9">
        <f>Resultados_Reales!C50 &amp; " vs " &amp; Resultados_Reales!D50</f>
        <v/>
      </c>
      <c r="D50" s="10">
        <f>IF(OR(Resultados_Reales!E50="", Resultados_Reales!F50=""), "Por Jugar", Resultados_Reales!E50 &amp; " - " &amp; Resultados_Reales!F50)</f>
        <v/>
      </c>
      <c r="E50" s="8">
        <f>IFERROR(VLOOKUP(E$1&amp;"_"&amp;$A50, Predicciones_Master!$A$4:$Q$2000, 7, FALSE) &amp; " - " &amp; VLOOKUP(E$1&amp;"_"&amp;$A50, Predicciones_Master!$A$4:$Q$2000, 8, FALSE), "N/A")</f>
        <v/>
      </c>
      <c r="F50" s="12">
        <f>IF($D50="Por Jugar", "", IFERROR(VLOOKUP(E$1&amp;"_"&amp;$A50, Predicciones_Master!$A$4:$Q$2000, 11, FALSE), 0))</f>
        <v/>
      </c>
      <c r="G50" s="8">
        <f>IFERROR(VLOOKUP(G$1&amp;"_"&amp;$A50, Predicciones_Master!$A$4:$Q$2000, 7, FALSE) &amp; " - " &amp; VLOOKUP(G$1&amp;"_"&amp;$A50, Predicciones_Master!$A$4:$Q$2000, 8, FALSE), "N/A")</f>
        <v/>
      </c>
      <c r="H50" s="12">
        <f>IF($D50="Por Jugar", "", IFERROR(VLOOKUP(G$1&amp;"_"&amp;$A50, Predicciones_Master!$A$4:$Q$2000, 11, FALSE), 0))</f>
        <v/>
      </c>
      <c r="I50" s="8">
        <f>IFERROR(VLOOKUP(I$1&amp;"_"&amp;$A50, Predicciones_Master!$A$4:$Q$2000, 7, FALSE) &amp; " - " &amp; VLOOKUP(I$1&amp;"_"&amp;$A50, Predicciones_Master!$A$4:$Q$2000, 8, FALSE), "N/A")</f>
        <v/>
      </c>
      <c r="J50" s="12">
        <f>IF($D50="Por Jugar", "", IFERROR(VLOOKUP(I$1&amp;"_"&amp;$A50, Predicciones_Master!$A$4:$Q$2000, 11, FALSE), 0))</f>
        <v/>
      </c>
      <c r="K50" s="8">
        <f>IFERROR(VLOOKUP(K$1&amp;"_"&amp;$A50, Predicciones_Master!$A$4:$Q$2000, 7, FALSE) &amp; " - " &amp; VLOOKUP(K$1&amp;"_"&amp;$A50, Predicciones_Master!$A$4:$Q$2000, 8, FALSE), "N/A")</f>
        <v/>
      </c>
      <c r="L50" s="12">
        <f>IF($D50="Por Jugar", "", IFERROR(VLOOKUP(K$1&amp;"_"&amp;$A50, Predicciones_Master!$A$4:$Q$2000, 11, FALSE), 0))</f>
        <v/>
      </c>
      <c r="M50" s="8">
        <f>IFERROR(VLOOKUP(M$1&amp;"_"&amp;$A50, Predicciones_Master!$A$4:$Q$2000, 7, FALSE) &amp; " - " &amp; VLOOKUP(M$1&amp;"_"&amp;$A50, Predicciones_Master!$A$4:$Q$2000, 8, FALSE), "N/A")</f>
        <v/>
      </c>
      <c r="N50" s="12">
        <f>IF($D50="Por Jugar", "", IFERROR(VLOOKUP(M$1&amp;"_"&amp;$A50, Predicciones_Master!$A$4:$Q$2000, 11, FALSE), 0))</f>
        <v/>
      </c>
      <c r="O50" s="8">
        <f>IFERROR(VLOOKUP(O$1&amp;"_"&amp;$A50, Predicciones_Master!$A$4:$Q$2000, 7, FALSE) &amp; " - " &amp; VLOOKUP(O$1&amp;"_"&amp;$A50, Predicciones_Master!$A$4:$Q$2000, 8, FALSE), "N/A")</f>
        <v/>
      </c>
      <c r="P50" s="12">
        <f>IF($D50="Por Jugar", "", IFERROR(VLOOKUP(O$1&amp;"_"&amp;$A50, Predicciones_Master!$A$4:$Q$2000, 11, FALSE), 0))</f>
        <v/>
      </c>
      <c r="Q50" s="8">
        <f>IFERROR(VLOOKUP(Q$1&amp;"_"&amp;$A50, Predicciones_Master!$A$4:$Q$2000, 7, FALSE) &amp; " - " &amp; VLOOKUP(Q$1&amp;"_"&amp;$A50, Predicciones_Master!$A$4:$Q$2000, 8, FALSE), "N/A")</f>
        <v/>
      </c>
      <c r="R50" s="12">
        <f>IF($D50="Por Jugar", "", IFERROR(VLOOKUP(Q$1&amp;"_"&amp;$A50, Predicciones_Master!$A$4:$Q$2000, 11, FALSE), 0))</f>
        <v/>
      </c>
      <c r="S50" s="8">
        <f>IFERROR(VLOOKUP(S$1&amp;"_"&amp;$A50, Predicciones_Master!$A$4:$Q$2000, 7, FALSE) &amp; " - " &amp; VLOOKUP(S$1&amp;"_"&amp;$A50, Predicciones_Master!$A$4:$Q$2000, 8, FALSE), "N/A")</f>
        <v/>
      </c>
      <c r="T50" s="12">
        <f>IF($D50="Por Jugar", "", IFERROR(VLOOKUP(S$1&amp;"_"&amp;$A50, Predicciones_Master!$A$4:$Q$2000, 11, FALSE), 0))</f>
        <v/>
      </c>
      <c r="U50" s="8">
        <f>IFERROR(VLOOKUP(U$1&amp;"_"&amp;$A50, Predicciones_Master!$A$4:$Q$2000, 7, FALSE) &amp; " - " &amp; VLOOKUP(U$1&amp;"_"&amp;$A50, Predicciones_Master!$A$4:$Q$2000, 8, FALSE), "N/A")</f>
        <v/>
      </c>
      <c r="V50" s="12">
        <f>IF($D50="Por Jugar", "", IFERROR(VLOOKUP(U$1&amp;"_"&amp;$A50, Predicciones_Master!$A$4:$Q$2000, 11, FALSE), 0))</f>
        <v/>
      </c>
      <c r="W50" s="8">
        <f>IFERROR(VLOOKUP(W$1&amp;"_"&amp;$A50, Predicciones_Master!$A$4:$Q$2000, 7, FALSE) &amp; " - " &amp; VLOOKUP(W$1&amp;"_"&amp;$A50, Predicciones_Master!$A$4:$Q$2000, 8, FALSE), "N/A")</f>
        <v/>
      </c>
      <c r="X50" s="12">
        <f>IF($D50="Por Jugar", "", IFERROR(VLOOKUP(W$1&amp;"_"&amp;$A50, Predicciones_Master!$A$4:$Q$2000, 11, FALSE), 0))</f>
        <v/>
      </c>
    </row>
    <row r="51" ht="20" customHeight="1">
      <c r="A51" s="8">
        <f>Resultados_Reales!A51</f>
        <v/>
      </c>
      <c r="B51" s="8">
        <f>Resultados_Reales!B51</f>
        <v/>
      </c>
      <c r="C51" s="9">
        <f>Resultados_Reales!C51 &amp; " vs " &amp; Resultados_Reales!D51</f>
        <v/>
      </c>
      <c r="D51" s="10">
        <f>IF(OR(Resultados_Reales!E51="", Resultados_Reales!F51=""), "Por Jugar", Resultados_Reales!E51 &amp; " - " &amp; Resultados_Reales!F51)</f>
        <v/>
      </c>
      <c r="E51" s="8">
        <f>IFERROR(VLOOKUP(E$1&amp;"_"&amp;$A51, Predicciones_Master!$A$4:$Q$2000, 7, FALSE) &amp; " - " &amp; VLOOKUP(E$1&amp;"_"&amp;$A51, Predicciones_Master!$A$4:$Q$2000, 8, FALSE), "N/A")</f>
        <v/>
      </c>
      <c r="F51" s="12">
        <f>IF($D51="Por Jugar", "", IFERROR(VLOOKUP(E$1&amp;"_"&amp;$A51, Predicciones_Master!$A$4:$Q$2000, 11, FALSE), 0))</f>
        <v/>
      </c>
      <c r="G51" s="8">
        <f>IFERROR(VLOOKUP(G$1&amp;"_"&amp;$A51, Predicciones_Master!$A$4:$Q$2000, 7, FALSE) &amp; " - " &amp; VLOOKUP(G$1&amp;"_"&amp;$A51, Predicciones_Master!$A$4:$Q$2000, 8, FALSE), "N/A")</f>
        <v/>
      </c>
      <c r="H51" s="12">
        <f>IF($D51="Por Jugar", "", IFERROR(VLOOKUP(G$1&amp;"_"&amp;$A51, Predicciones_Master!$A$4:$Q$2000, 11, FALSE), 0))</f>
        <v/>
      </c>
      <c r="I51" s="8">
        <f>IFERROR(VLOOKUP(I$1&amp;"_"&amp;$A51, Predicciones_Master!$A$4:$Q$2000, 7, FALSE) &amp; " - " &amp; VLOOKUP(I$1&amp;"_"&amp;$A51, Predicciones_Master!$A$4:$Q$2000, 8, FALSE), "N/A")</f>
        <v/>
      </c>
      <c r="J51" s="12">
        <f>IF($D51="Por Jugar", "", IFERROR(VLOOKUP(I$1&amp;"_"&amp;$A51, Predicciones_Master!$A$4:$Q$2000, 11, FALSE), 0))</f>
        <v/>
      </c>
      <c r="K51" s="8">
        <f>IFERROR(VLOOKUP(K$1&amp;"_"&amp;$A51, Predicciones_Master!$A$4:$Q$2000, 7, FALSE) &amp; " - " &amp; VLOOKUP(K$1&amp;"_"&amp;$A51, Predicciones_Master!$A$4:$Q$2000, 8, FALSE), "N/A")</f>
        <v/>
      </c>
      <c r="L51" s="12">
        <f>IF($D51="Por Jugar", "", IFERROR(VLOOKUP(K$1&amp;"_"&amp;$A51, Predicciones_Master!$A$4:$Q$2000, 11, FALSE), 0))</f>
        <v/>
      </c>
      <c r="M51" s="8">
        <f>IFERROR(VLOOKUP(M$1&amp;"_"&amp;$A51, Predicciones_Master!$A$4:$Q$2000, 7, FALSE) &amp; " - " &amp; VLOOKUP(M$1&amp;"_"&amp;$A51, Predicciones_Master!$A$4:$Q$2000, 8, FALSE), "N/A")</f>
        <v/>
      </c>
      <c r="N51" s="12">
        <f>IF($D51="Por Jugar", "", IFERROR(VLOOKUP(M$1&amp;"_"&amp;$A51, Predicciones_Master!$A$4:$Q$2000, 11, FALSE), 0))</f>
        <v/>
      </c>
      <c r="O51" s="8">
        <f>IFERROR(VLOOKUP(O$1&amp;"_"&amp;$A51, Predicciones_Master!$A$4:$Q$2000, 7, FALSE) &amp; " - " &amp; VLOOKUP(O$1&amp;"_"&amp;$A51, Predicciones_Master!$A$4:$Q$2000, 8, FALSE), "N/A")</f>
        <v/>
      </c>
      <c r="P51" s="12">
        <f>IF($D51="Por Jugar", "", IFERROR(VLOOKUP(O$1&amp;"_"&amp;$A51, Predicciones_Master!$A$4:$Q$2000, 11, FALSE), 0))</f>
        <v/>
      </c>
      <c r="Q51" s="8">
        <f>IFERROR(VLOOKUP(Q$1&amp;"_"&amp;$A51, Predicciones_Master!$A$4:$Q$2000, 7, FALSE) &amp; " - " &amp; VLOOKUP(Q$1&amp;"_"&amp;$A51, Predicciones_Master!$A$4:$Q$2000, 8, FALSE), "N/A")</f>
        <v/>
      </c>
      <c r="R51" s="12">
        <f>IF($D51="Por Jugar", "", IFERROR(VLOOKUP(Q$1&amp;"_"&amp;$A51, Predicciones_Master!$A$4:$Q$2000, 11, FALSE), 0))</f>
        <v/>
      </c>
      <c r="S51" s="8">
        <f>IFERROR(VLOOKUP(S$1&amp;"_"&amp;$A51, Predicciones_Master!$A$4:$Q$2000, 7, FALSE) &amp; " - " &amp; VLOOKUP(S$1&amp;"_"&amp;$A51, Predicciones_Master!$A$4:$Q$2000, 8, FALSE), "N/A")</f>
        <v/>
      </c>
      <c r="T51" s="12">
        <f>IF($D51="Por Jugar", "", IFERROR(VLOOKUP(S$1&amp;"_"&amp;$A51, Predicciones_Master!$A$4:$Q$2000, 11, FALSE), 0))</f>
        <v/>
      </c>
      <c r="U51" s="8">
        <f>IFERROR(VLOOKUP(U$1&amp;"_"&amp;$A51, Predicciones_Master!$A$4:$Q$2000, 7, FALSE) &amp; " - " &amp; VLOOKUP(U$1&amp;"_"&amp;$A51, Predicciones_Master!$A$4:$Q$2000, 8, FALSE), "N/A")</f>
        <v/>
      </c>
      <c r="V51" s="12">
        <f>IF($D51="Por Jugar", "", IFERROR(VLOOKUP(U$1&amp;"_"&amp;$A51, Predicciones_Master!$A$4:$Q$2000, 11, FALSE), 0))</f>
        <v/>
      </c>
      <c r="W51" s="8">
        <f>IFERROR(VLOOKUP(W$1&amp;"_"&amp;$A51, Predicciones_Master!$A$4:$Q$2000, 7, FALSE) &amp; " - " &amp; VLOOKUP(W$1&amp;"_"&amp;$A51, Predicciones_Master!$A$4:$Q$2000, 8, FALSE), "N/A")</f>
        <v/>
      </c>
      <c r="X51" s="12">
        <f>IF($D51="Por Jugar", "", IFERROR(VLOOKUP(W$1&amp;"_"&amp;$A51, Predicciones_Master!$A$4:$Q$2000, 11, FALSE), 0))</f>
        <v/>
      </c>
    </row>
    <row r="52" ht="20" customHeight="1">
      <c r="A52" s="8">
        <f>Resultados_Reales!A52</f>
        <v/>
      </c>
      <c r="B52" s="8">
        <f>Resultados_Reales!B52</f>
        <v/>
      </c>
      <c r="C52" s="9">
        <f>Resultados_Reales!C52 &amp; " vs " &amp; Resultados_Reales!D52</f>
        <v/>
      </c>
      <c r="D52" s="10">
        <f>IF(OR(Resultados_Reales!E52="", Resultados_Reales!F52=""), "Por Jugar", Resultados_Reales!E52 &amp; " - " &amp; Resultados_Reales!F52)</f>
        <v/>
      </c>
      <c r="E52" s="8">
        <f>IFERROR(VLOOKUP(E$1&amp;"_"&amp;$A52, Predicciones_Master!$A$4:$Q$2000, 7, FALSE) &amp; " - " &amp; VLOOKUP(E$1&amp;"_"&amp;$A52, Predicciones_Master!$A$4:$Q$2000, 8, FALSE), "N/A")</f>
        <v/>
      </c>
      <c r="F52" s="12">
        <f>IF($D52="Por Jugar", "", IFERROR(VLOOKUP(E$1&amp;"_"&amp;$A52, Predicciones_Master!$A$4:$Q$2000, 11, FALSE), 0))</f>
        <v/>
      </c>
      <c r="G52" s="8">
        <f>IFERROR(VLOOKUP(G$1&amp;"_"&amp;$A52, Predicciones_Master!$A$4:$Q$2000, 7, FALSE) &amp; " - " &amp; VLOOKUP(G$1&amp;"_"&amp;$A52, Predicciones_Master!$A$4:$Q$2000, 8, FALSE), "N/A")</f>
        <v/>
      </c>
      <c r="H52" s="12">
        <f>IF($D52="Por Jugar", "", IFERROR(VLOOKUP(G$1&amp;"_"&amp;$A52, Predicciones_Master!$A$4:$Q$2000, 11, FALSE), 0))</f>
        <v/>
      </c>
      <c r="I52" s="8">
        <f>IFERROR(VLOOKUP(I$1&amp;"_"&amp;$A52, Predicciones_Master!$A$4:$Q$2000, 7, FALSE) &amp; " - " &amp; VLOOKUP(I$1&amp;"_"&amp;$A52, Predicciones_Master!$A$4:$Q$2000, 8, FALSE), "N/A")</f>
        <v/>
      </c>
      <c r="J52" s="12">
        <f>IF($D52="Por Jugar", "", IFERROR(VLOOKUP(I$1&amp;"_"&amp;$A52, Predicciones_Master!$A$4:$Q$2000, 11, FALSE), 0))</f>
        <v/>
      </c>
      <c r="K52" s="8">
        <f>IFERROR(VLOOKUP(K$1&amp;"_"&amp;$A52, Predicciones_Master!$A$4:$Q$2000, 7, FALSE) &amp; " - " &amp; VLOOKUP(K$1&amp;"_"&amp;$A52, Predicciones_Master!$A$4:$Q$2000, 8, FALSE), "N/A")</f>
        <v/>
      </c>
      <c r="L52" s="12">
        <f>IF($D52="Por Jugar", "", IFERROR(VLOOKUP(K$1&amp;"_"&amp;$A52, Predicciones_Master!$A$4:$Q$2000, 11, FALSE), 0))</f>
        <v/>
      </c>
      <c r="M52" s="8">
        <f>IFERROR(VLOOKUP(M$1&amp;"_"&amp;$A52, Predicciones_Master!$A$4:$Q$2000, 7, FALSE) &amp; " - " &amp; VLOOKUP(M$1&amp;"_"&amp;$A52, Predicciones_Master!$A$4:$Q$2000, 8, FALSE), "N/A")</f>
        <v/>
      </c>
      <c r="N52" s="12">
        <f>IF($D52="Por Jugar", "", IFERROR(VLOOKUP(M$1&amp;"_"&amp;$A52, Predicciones_Master!$A$4:$Q$2000, 11, FALSE), 0))</f>
        <v/>
      </c>
      <c r="O52" s="8">
        <f>IFERROR(VLOOKUP(O$1&amp;"_"&amp;$A52, Predicciones_Master!$A$4:$Q$2000, 7, FALSE) &amp; " - " &amp; VLOOKUP(O$1&amp;"_"&amp;$A52, Predicciones_Master!$A$4:$Q$2000, 8, FALSE), "N/A")</f>
        <v/>
      </c>
      <c r="P52" s="12">
        <f>IF($D52="Por Jugar", "", IFERROR(VLOOKUP(O$1&amp;"_"&amp;$A52, Predicciones_Master!$A$4:$Q$2000, 11, FALSE), 0))</f>
        <v/>
      </c>
      <c r="Q52" s="8">
        <f>IFERROR(VLOOKUP(Q$1&amp;"_"&amp;$A52, Predicciones_Master!$A$4:$Q$2000, 7, FALSE) &amp; " - " &amp; VLOOKUP(Q$1&amp;"_"&amp;$A52, Predicciones_Master!$A$4:$Q$2000, 8, FALSE), "N/A")</f>
        <v/>
      </c>
      <c r="R52" s="12">
        <f>IF($D52="Por Jugar", "", IFERROR(VLOOKUP(Q$1&amp;"_"&amp;$A52, Predicciones_Master!$A$4:$Q$2000, 11, FALSE), 0))</f>
        <v/>
      </c>
      <c r="S52" s="8">
        <f>IFERROR(VLOOKUP(S$1&amp;"_"&amp;$A52, Predicciones_Master!$A$4:$Q$2000, 7, FALSE) &amp; " - " &amp; VLOOKUP(S$1&amp;"_"&amp;$A52, Predicciones_Master!$A$4:$Q$2000, 8, FALSE), "N/A")</f>
        <v/>
      </c>
      <c r="T52" s="12">
        <f>IF($D52="Por Jugar", "", IFERROR(VLOOKUP(S$1&amp;"_"&amp;$A52, Predicciones_Master!$A$4:$Q$2000, 11, FALSE), 0))</f>
        <v/>
      </c>
      <c r="U52" s="8">
        <f>IFERROR(VLOOKUP(U$1&amp;"_"&amp;$A52, Predicciones_Master!$A$4:$Q$2000, 7, FALSE) &amp; " - " &amp; VLOOKUP(U$1&amp;"_"&amp;$A52, Predicciones_Master!$A$4:$Q$2000, 8, FALSE), "N/A")</f>
        <v/>
      </c>
      <c r="V52" s="12">
        <f>IF($D52="Por Jugar", "", IFERROR(VLOOKUP(U$1&amp;"_"&amp;$A52, Predicciones_Master!$A$4:$Q$2000, 11, FALSE), 0))</f>
        <v/>
      </c>
      <c r="W52" s="8">
        <f>IFERROR(VLOOKUP(W$1&amp;"_"&amp;$A52, Predicciones_Master!$A$4:$Q$2000, 7, FALSE) &amp; " - " &amp; VLOOKUP(W$1&amp;"_"&amp;$A52, Predicciones_Master!$A$4:$Q$2000, 8, FALSE), "N/A")</f>
        <v/>
      </c>
      <c r="X52" s="12">
        <f>IF($D52="Por Jugar", "", IFERROR(VLOOKUP(W$1&amp;"_"&amp;$A52, Predicciones_Master!$A$4:$Q$2000, 11, FALSE), 0))</f>
        <v/>
      </c>
    </row>
    <row r="53" ht="20" customHeight="1">
      <c r="A53" s="8">
        <f>Resultados_Reales!A53</f>
        <v/>
      </c>
      <c r="B53" s="8">
        <f>Resultados_Reales!B53</f>
        <v/>
      </c>
      <c r="C53" s="9">
        <f>Resultados_Reales!C53 &amp; " vs " &amp; Resultados_Reales!D53</f>
        <v/>
      </c>
      <c r="D53" s="10">
        <f>IF(OR(Resultados_Reales!E53="", Resultados_Reales!F53=""), "Por Jugar", Resultados_Reales!E53 &amp; " - " &amp; Resultados_Reales!F53)</f>
        <v/>
      </c>
      <c r="E53" s="8">
        <f>IFERROR(VLOOKUP(E$1&amp;"_"&amp;$A53, Predicciones_Master!$A$4:$Q$2000, 7, FALSE) &amp; " - " &amp; VLOOKUP(E$1&amp;"_"&amp;$A53, Predicciones_Master!$A$4:$Q$2000, 8, FALSE), "N/A")</f>
        <v/>
      </c>
      <c r="F53" s="12">
        <f>IF($D53="Por Jugar", "", IFERROR(VLOOKUP(E$1&amp;"_"&amp;$A53, Predicciones_Master!$A$4:$Q$2000, 11, FALSE), 0))</f>
        <v/>
      </c>
      <c r="G53" s="8">
        <f>IFERROR(VLOOKUP(G$1&amp;"_"&amp;$A53, Predicciones_Master!$A$4:$Q$2000, 7, FALSE) &amp; " - " &amp; VLOOKUP(G$1&amp;"_"&amp;$A53, Predicciones_Master!$A$4:$Q$2000, 8, FALSE), "N/A")</f>
        <v/>
      </c>
      <c r="H53" s="12">
        <f>IF($D53="Por Jugar", "", IFERROR(VLOOKUP(G$1&amp;"_"&amp;$A53, Predicciones_Master!$A$4:$Q$2000, 11, FALSE), 0))</f>
        <v/>
      </c>
      <c r="I53" s="8">
        <f>IFERROR(VLOOKUP(I$1&amp;"_"&amp;$A53, Predicciones_Master!$A$4:$Q$2000, 7, FALSE) &amp; " - " &amp; VLOOKUP(I$1&amp;"_"&amp;$A53, Predicciones_Master!$A$4:$Q$2000, 8, FALSE), "N/A")</f>
        <v/>
      </c>
      <c r="J53" s="12">
        <f>IF($D53="Por Jugar", "", IFERROR(VLOOKUP(I$1&amp;"_"&amp;$A53, Predicciones_Master!$A$4:$Q$2000, 11, FALSE), 0))</f>
        <v/>
      </c>
      <c r="K53" s="8">
        <f>IFERROR(VLOOKUP(K$1&amp;"_"&amp;$A53, Predicciones_Master!$A$4:$Q$2000, 7, FALSE) &amp; " - " &amp; VLOOKUP(K$1&amp;"_"&amp;$A53, Predicciones_Master!$A$4:$Q$2000, 8, FALSE), "N/A")</f>
        <v/>
      </c>
      <c r="L53" s="12">
        <f>IF($D53="Por Jugar", "", IFERROR(VLOOKUP(K$1&amp;"_"&amp;$A53, Predicciones_Master!$A$4:$Q$2000, 11, FALSE), 0))</f>
        <v/>
      </c>
      <c r="M53" s="8">
        <f>IFERROR(VLOOKUP(M$1&amp;"_"&amp;$A53, Predicciones_Master!$A$4:$Q$2000, 7, FALSE) &amp; " - " &amp; VLOOKUP(M$1&amp;"_"&amp;$A53, Predicciones_Master!$A$4:$Q$2000, 8, FALSE), "N/A")</f>
        <v/>
      </c>
      <c r="N53" s="12">
        <f>IF($D53="Por Jugar", "", IFERROR(VLOOKUP(M$1&amp;"_"&amp;$A53, Predicciones_Master!$A$4:$Q$2000, 11, FALSE), 0))</f>
        <v/>
      </c>
      <c r="O53" s="8">
        <f>IFERROR(VLOOKUP(O$1&amp;"_"&amp;$A53, Predicciones_Master!$A$4:$Q$2000, 7, FALSE) &amp; " - " &amp; VLOOKUP(O$1&amp;"_"&amp;$A53, Predicciones_Master!$A$4:$Q$2000, 8, FALSE), "N/A")</f>
        <v/>
      </c>
      <c r="P53" s="12">
        <f>IF($D53="Por Jugar", "", IFERROR(VLOOKUP(O$1&amp;"_"&amp;$A53, Predicciones_Master!$A$4:$Q$2000, 11, FALSE), 0))</f>
        <v/>
      </c>
      <c r="Q53" s="8">
        <f>IFERROR(VLOOKUP(Q$1&amp;"_"&amp;$A53, Predicciones_Master!$A$4:$Q$2000, 7, FALSE) &amp; " - " &amp; VLOOKUP(Q$1&amp;"_"&amp;$A53, Predicciones_Master!$A$4:$Q$2000, 8, FALSE), "N/A")</f>
        <v/>
      </c>
      <c r="R53" s="12">
        <f>IF($D53="Por Jugar", "", IFERROR(VLOOKUP(Q$1&amp;"_"&amp;$A53, Predicciones_Master!$A$4:$Q$2000, 11, FALSE), 0))</f>
        <v/>
      </c>
      <c r="S53" s="8">
        <f>IFERROR(VLOOKUP(S$1&amp;"_"&amp;$A53, Predicciones_Master!$A$4:$Q$2000, 7, FALSE) &amp; " - " &amp; VLOOKUP(S$1&amp;"_"&amp;$A53, Predicciones_Master!$A$4:$Q$2000, 8, FALSE), "N/A")</f>
        <v/>
      </c>
      <c r="T53" s="12">
        <f>IF($D53="Por Jugar", "", IFERROR(VLOOKUP(S$1&amp;"_"&amp;$A53, Predicciones_Master!$A$4:$Q$2000, 11, FALSE), 0))</f>
        <v/>
      </c>
      <c r="U53" s="8">
        <f>IFERROR(VLOOKUP(U$1&amp;"_"&amp;$A53, Predicciones_Master!$A$4:$Q$2000, 7, FALSE) &amp; " - " &amp; VLOOKUP(U$1&amp;"_"&amp;$A53, Predicciones_Master!$A$4:$Q$2000, 8, FALSE), "N/A")</f>
        <v/>
      </c>
      <c r="V53" s="12">
        <f>IF($D53="Por Jugar", "", IFERROR(VLOOKUP(U$1&amp;"_"&amp;$A53, Predicciones_Master!$A$4:$Q$2000, 11, FALSE), 0))</f>
        <v/>
      </c>
      <c r="W53" s="8">
        <f>IFERROR(VLOOKUP(W$1&amp;"_"&amp;$A53, Predicciones_Master!$A$4:$Q$2000, 7, FALSE) &amp; " - " &amp; VLOOKUP(W$1&amp;"_"&amp;$A53, Predicciones_Master!$A$4:$Q$2000, 8, FALSE), "N/A")</f>
        <v/>
      </c>
      <c r="X53" s="12">
        <f>IF($D53="Por Jugar", "", IFERROR(VLOOKUP(W$1&amp;"_"&amp;$A53, Predicciones_Master!$A$4:$Q$2000, 11, FALSE), 0))</f>
        <v/>
      </c>
    </row>
    <row r="54" ht="20" customHeight="1">
      <c r="A54" s="8">
        <f>Resultados_Reales!A54</f>
        <v/>
      </c>
      <c r="B54" s="8">
        <f>Resultados_Reales!B54</f>
        <v/>
      </c>
      <c r="C54" s="9">
        <f>Resultados_Reales!C54 &amp; " vs " &amp; Resultados_Reales!D54</f>
        <v/>
      </c>
      <c r="D54" s="10">
        <f>IF(OR(Resultados_Reales!E54="", Resultados_Reales!F54=""), "Por Jugar", Resultados_Reales!E54 &amp; " - " &amp; Resultados_Reales!F54)</f>
        <v/>
      </c>
      <c r="E54" s="8">
        <f>IFERROR(VLOOKUP(E$1&amp;"_"&amp;$A54, Predicciones_Master!$A$4:$Q$2000, 7, FALSE) &amp; " - " &amp; VLOOKUP(E$1&amp;"_"&amp;$A54, Predicciones_Master!$A$4:$Q$2000, 8, FALSE), "N/A")</f>
        <v/>
      </c>
      <c r="F54" s="12">
        <f>IF($D54="Por Jugar", "", IFERROR(VLOOKUP(E$1&amp;"_"&amp;$A54, Predicciones_Master!$A$4:$Q$2000, 11, FALSE), 0))</f>
        <v/>
      </c>
      <c r="G54" s="8">
        <f>IFERROR(VLOOKUP(G$1&amp;"_"&amp;$A54, Predicciones_Master!$A$4:$Q$2000, 7, FALSE) &amp; " - " &amp; VLOOKUP(G$1&amp;"_"&amp;$A54, Predicciones_Master!$A$4:$Q$2000, 8, FALSE), "N/A")</f>
        <v/>
      </c>
      <c r="H54" s="12">
        <f>IF($D54="Por Jugar", "", IFERROR(VLOOKUP(G$1&amp;"_"&amp;$A54, Predicciones_Master!$A$4:$Q$2000, 11, FALSE), 0))</f>
        <v/>
      </c>
      <c r="I54" s="8">
        <f>IFERROR(VLOOKUP(I$1&amp;"_"&amp;$A54, Predicciones_Master!$A$4:$Q$2000, 7, FALSE) &amp; " - " &amp; VLOOKUP(I$1&amp;"_"&amp;$A54, Predicciones_Master!$A$4:$Q$2000, 8, FALSE), "N/A")</f>
        <v/>
      </c>
      <c r="J54" s="12">
        <f>IF($D54="Por Jugar", "", IFERROR(VLOOKUP(I$1&amp;"_"&amp;$A54, Predicciones_Master!$A$4:$Q$2000, 11, FALSE), 0))</f>
        <v/>
      </c>
      <c r="K54" s="8">
        <f>IFERROR(VLOOKUP(K$1&amp;"_"&amp;$A54, Predicciones_Master!$A$4:$Q$2000, 7, FALSE) &amp; " - " &amp; VLOOKUP(K$1&amp;"_"&amp;$A54, Predicciones_Master!$A$4:$Q$2000, 8, FALSE), "N/A")</f>
        <v/>
      </c>
      <c r="L54" s="12">
        <f>IF($D54="Por Jugar", "", IFERROR(VLOOKUP(K$1&amp;"_"&amp;$A54, Predicciones_Master!$A$4:$Q$2000, 11, FALSE), 0))</f>
        <v/>
      </c>
      <c r="M54" s="8">
        <f>IFERROR(VLOOKUP(M$1&amp;"_"&amp;$A54, Predicciones_Master!$A$4:$Q$2000, 7, FALSE) &amp; " - " &amp; VLOOKUP(M$1&amp;"_"&amp;$A54, Predicciones_Master!$A$4:$Q$2000, 8, FALSE), "N/A")</f>
        <v/>
      </c>
      <c r="N54" s="12">
        <f>IF($D54="Por Jugar", "", IFERROR(VLOOKUP(M$1&amp;"_"&amp;$A54, Predicciones_Master!$A$4:$Q$2000, 11, FALSE), 0))</f>
        <v/>
      </c>
      <c r="O54" s="8">
        <f>IFERROR(VLOOKUP(O$1&amp;"_"&amp;$A54, Predicciones_Master!$A$4:$Q$2000, 7, FALSE) &amp; " - " &amp; VLOOKUP(O$1&amp;"_"&amp;$A54, Predicciones_Master!$A$4:$Q$2000, 8, FALSE), "N/A")</f>
        <v/>
      </c>
      <c r="P54" s="12">
        <f>IF($D54="Por Jugar", "", IFERROR(VLOOKUP(O$1&amp;"_"&amp;$A54, Predicciones_Master!$A$4:$Q$2000, 11, FALSE), 0))</f>
        <v/>
      </c>
      <c r="Q54" s="8">
        <f>IFERROR(VLOOKUP(Q$1&amp;"_"&amp;$A54, Predicciones_Master!$A$4:$Q$2000, 7, FALSE) &amp; " - " &amp; VLOOKUP(Q$1&amp;"_"&amp;$A54, Predicciones_Master!$A$4:$Q$2000, 8, FALSE), "N/A")</f>
        <v/>
      </c>
      <c r="R54" s="12">
        <f>IF($D54="Por Jugar", "", IFERROR(VLOOKUP(Q$1&amp;"_"&amp;$A54, Predicciones_Master!$A$4:$Q$2000, 11, FALSE), 0))</f>
        <v/>
      </c>
      <c r="S54" s="8">
        <f>IFERROR(VLOOKUP(S$1&amp;"_"&amp;$A54, Predicciones_Master!$A$4:$Q$2000, 7, FALSE) &amp; " - " &amp; VLOOKUP(S$1&amp;"_"&amp;$A54, Predicciones_Master!$A$4:$Q$2000, 8, FALSE), "N/A")</f>
        <v/>
      </c>
      <c r="T54" s="12">
        <f>IF($D54="Por Jugar", "", IFERROR(VLOOKUP(S$1&amp;"_"&amp;$A54, Predicciones_Master!$A$4:$Q$2000, 11, FALSE), 0))</f>
        <v/>
      </c>
      <c r="U54" s="8">
        <f>IFERROR(VLOOKUP(U$1&amp;"_"&amp;$A54, Predicciones_Master!$A$4:$Q$2000, 7, FALSE) &amp; " - " &amp; VLOOKUP(U$1&amp;"_"&amp;$A54, Predicciones_Master!$A$4:$Q$2000, 8, FALSE), "N/A")</f>
        <v/>
      </c>
      <c r="V54" s="12">
        <f>IF($D54="Por Jugar", "", IFERROR(VLOOKUP(U$1&amp;"_"&amp;$A54, Predicciones_Master!$A$4:$Q$2000, 11, FALSE), 0))</f>
        <v/>
      </c>
      <c r="W54" s="8">
        <f>IFERROR(VLOOKUP(W$1&amp;"_"&amp;$A54, Predicciones_Master!$A$4:$Q$2000, 7, FALSE) &amp; " - " &amp; VLOOKUP(W$1&amp;"_"&amp;$A54, Predicciones_Master!$A$4:$Q$2000, 8, FALSE), "N/A")</f>
        <v/>
      </c>
      <c r="X54" s="12">
        <f>IF($D54="Por Jugar", "", IFERROR(VLOOKUP(W$1&amp;"_"&amp;$A54, Predicciones_Master!$A$4:$Q$2000, 11, FALSE), 0))</f>
        <v/>
      </c>
    </row>
    <row r="55" ht="20" customHeight="1">
      <c r="A55" s="8">
        <f>Resultados_Reales!A55</f>
        <v/>
      </c>
      <c r="B55" s="8">
        <f>Resultados_Reales!B55</f>
        <v/>
      </c>
      <c r="C55" s="9">
        <f>Resultados_Reales!C55 &amp; " vs " &amp; Resultados_Reales!D55</f>
        <v/>
      </c>
      <c r="D55" s="10">
        <f>IF(OR(Resultados_Reales!E55="", Resultados_Reales!F55=""), "Por Jugar", Resultados_Reales!E55 &amp; " - " &amp; Resultados_Reales!F55)</f>
        <v/>
      </c>
      <c r="E55" s="8">
        <f>IFERROR(VLOOKUP(E$1&amp;"_"&amp;$A55, Predicciones_Master!$A$4:$Q$2000, 7, FALSE) &amp; " - " &amp; VLOOKUP(E$1&amp;"_"&amp;$A55, Predicciones_Master!$A$4:$Q$2000, 8, FALSE), "N/A")</f>
        <v/>
      </c>
      <c r="F55" s="12">
        <f>IF($D55="Por Jugar", "", IFERROR(VLOOKUP(E$1&amp;"_"&amp;$A55, Predicciones_Master!$A$4:$Q$2000, 11, FALSE), 0))</f>
        <v/>
      </c>
      <c r="G55" s="8">
        <f>IFERROR(VLOOKUP(G$1&amp;"_"&amp;$A55, Predicciones_Master!$A$4:$Q$2000, 7, FALSE) &amp; " - " &amp; VLOOKUP(G$1&amp;"_"&amp;$A55, Predicciones_Master!$A$4:$Q$2000, 8, FALSE), "N/A")</f>
        <v/>
      </c>
      <c r="H55" s="12">
        <f>IF($D55="Por Jugar", "", IFERROR(VLOOKUP(G$1&amp;"_"&amp;$A55, Predicciones_Master!$A$4:$Q$2000, 11, FALSE), 0))</f>
        <v/>
      </c>
      <c r="I55" s="8">
        <f>IFERROR(VLOOKUP(I$1&amp;"_"&amp;$A55, Predicciones_Master!$A$4:$Q$2000, 7, FALSE) &amp; " - " &amp; VLOOKUP(I$1&amp;"_"&amp;$A55, Predicciones_Master!$A$4:$Q$2000, 8, FALSE), "N/A")</f>
        <v/>
      </c>
      <c r="J55" s="12">
        <f>IF($D55="Por Jugar", "", IFERROR(VLOOKUP(I$1&amp;"_"&amp;$A55, Predicciones_Master!$A$4:$Q$2000, 11, FALSE), 0))</f>
        <v/>
      </c>
      <c r="K55" s="8">
        <f>IFERROR(VLOOKUP(K$1&amp;"_"&amp;$A55, Predicciones_Master!$A$4:$Q$2000, 7, FALSE) &amp; " - " &amp; VLOOKUP(K$1&amp;"_"&amp;$A55, Predicciones_Master!$A$4:$Q$2000, 8, FALSE), "N/A")</f>
        <v/>
      </c>
      <c r="L55" s="12">
        <f>IF($D55="Por Jugar", "", IFERROR(VLOOKUP(K$1&amp;"_"&amp;$A55, Predicciones_Master!$A$4:$Q$2000, 11, FALSE), 0))</f>
        <v/>
      </c>
      <c r="M55" s="8">
        <f>IFERROR(VLOOKUP(M$1&amp;"_"&amp;$A55, Predicciones_Master!$A$4:$Q$2000, 7, FALSE) &amp; " - " &amp; VLOOKUP(M$1&amp;"_"&amp;$A55, Predicciones_Master!$A$4:$Q$2000, 8, FALSE), "N/A")</f>
        <v/>
      </c>
      <c r="N55" s="12">
        <f>IF($D55="Por Jugar", "", IFERROR(VLOOKUP(M$1&amp;"_"&amp;$A55, Predicciones_Master!$A$4:$Q$2000, 11, FALSE), 0))</f>
        <v/>
      </c>
      <c r="O55" s="8">
        <f>IFERROR(VLOOKUP(O$1&amp;"_"&amp;$A55, Predicciones_Master!$A$4:$Q$2000, 7, FALSE) &amp; " - " &amp; VLOOKUP(O$1&amp;"_"&amp;$A55, Predicciones_Master!$A$4:$Q$2000, 8, FALSE), "N/A")</f>
        <v/>
      </c>
      <c r="P55" s="12">
        <f>IF($D55="Por Jugar", "", IFERROR(VLOOKUP(O$1&amp;"_"&amp;$A55, Predicciones_Master!$A$4:$Q$2000, 11, FALSE), 0))</f>
        <v/>
      </c>
      <c r="Q55" s="8">
        <f>IFERROR(VLOOKUP(Q$1&amp;"_"&amp;$A55, Predicciones_Master!$A$4:$Q$2000, 7, FALSE) &amp; " - " &amp; VLOOKUP(Q$1&amp;"_"&amp;$A55, Predicciones_Master!$A$4:$Q$2000, 8, FALSE), "N/A")</f>
        <v/>
      </c>
      <c r="R55" s="12">
        <f>IF($D55="Por Jugar", "", IFERROR(VLOOKUP(Q$1&amp;"_"&amp;$A55, Predicciones_Master!$A$4:$Q$2000, 11, FALSE), 0))</f>
        <v/>
      </c>
      <c r="S55" s="8">
        <f>IFERROR(VLOOKUP(S$1&amp;"_"&amp;$A55, Predicciones_Master!$A$4:$Q$2000, 7, FALSE) &amp; " - " &amp; VLOOKUP(S$1&amp;"_"&amp;$A55, Predicciones_Master!$A$4:$Q$2000, 8, FALSE), "N/A")</f>
        <v/>
      </c>
      <c r="T55" s="12">
        <f>IF($D55="Por Jugar", "", IFERROR(VLOOKUP(S$1&amp;"_"&amp;$A55, Predicciones_Master!$A$4:$Q$2000, 11, FALSE), 0))</f>
        <v/>
      </c>
      <c r="U55" s="8">
        <f>IFERROR(VLOOKUP(U$1&amp;"_"&amp;$A55, Predicciones_Master!$A$4:$Q$2000, 7, FALSE) &amp; " - " &amp; VLOOKUP(U$1&amp;"_"&amp;$A55, Predicciones_Master!$A$4:$Q$2000, 8, FALSE), "N/A")</f>
        <v/>
      </c>
      <c r="V55" s="12">
        <f>IF($D55="Por Jugar", "", IFERROR(VLOOKUP(U$1&amp;"_"&amp;$A55, Predicciones_Master!$A$4:$Q$2000, 11, FALSE), 0))</f>
        <v/>
      </c>
      <c r="W55" s="8">
        <f>IFERROR(VLOOKUP(W$1&amp;"_"&amp;$A55, Predicciones_Master!$A$4:$Q$2000, 7, FALSE) &amp; " - " &amp; VLOOKUP(W$1&amp;"_"&amp;$A55, Predicciones_Master!$A$4:$Q$2000, 8, FALSE), "N/A")</f>
        <v/>
      </c>
      <c r="X55" s="12">
        <f>IF($D55="Por Jugar", "", IFERROR(VLOOKUP(W$1&amp;"_"&amp;$A55, Predicciones_Master!$A$4:$Q$2000, 11, FALSE), 0))</f>
        <v/>
      </c>
    </row>
    <row r="56" ht="20" customHeight="1">
      <c r="A56" s="8">
        <f>Resultados_Reales!A56</f>
        <v/>
      </c>
      <c r="B56" s="8">
        <f>Resultados_Reales!B56</f>
        <v/>
      </c>
      <c r="C56" s="9">
        <f>Resultados_Reales!C56 &amp; " vs " &amp; Resultados_Reales!D56</f>
        <v/>
      </c>
      <c r="D56" s="10">
        <f>IF(OR(Resultados_Reales!E56="", Resultados_Reales!F56=""), "Por Jugar", Resultados_Reales!E56 &amp; " - " &amp; Resultados_Reales!F56)</f>
        <v/>
      </c>
      <c r="E56" s="8">
        <f>IFERROR(VLOOKUP(E$1&amp;"_"&amp;$A56, Predicciones_Master!$A$4:$Q$2000, 7, FALSE) &amp; " - " &amp; VLOOKUP(E$1&amp;"_"&amp;$A56, Predicciones_Master!$A$4:$Q$2000, 8, FALSE), "N/A")</f>
        <v/>
      </c>
      <c r="F56" s="12">
        <f>IF($D56="Por Jugar", "", IFERROR(VLOOKUP(E$1&amp;"_"&amp;$A56, Predicciones_Master!$A$4:$Q$2000, 11, FALSE), 0))</f>
        <v/>
      </c>
      <c r="G56" s="8">
        <f>IFERROR(VLOOKUP(G$1&amp;"_"&amp;$A56, Predicciones_Master!$A$4:$Q$2000, 7, FALSE) &amp; " - " &amp; VLOOKUP(G$1&amp;"_"&amp;$A56, Predicciones_Master!$A$4:$Q$2000, 8, FALSE), "N/A")</f>
        <v/>
      </c>
      <c r="H56" s="12">
        <f>IF($D56="Por Jugar", "", IFERROR(VLOOKUP(G$1&amp;"_"&amp;$A56, Predicciones_Master!$A$4:$Q$2000, 11, FALSE), 0))</f>
        <v/>
      </c>
      <c r="I56" s="8">
        <f>IFERROR(VLOOKUP(I$1&amp;"_"&amp;$A56, Predicciones_Master!$A$4:$Q$2000, 7, FALSE) &amp; " - " &amp; VLOOKUP(I$1&amp;"_"&amp;$A56, Predicciones_Master!$A$4:$Q$2000, 8, FALSE), "N/A")</f>
        <v/>
      </c>
      <c r="J56" s="12">
        <f>IF($D56="Por Jugar", "", IFERROR(VLOOKUP(I$1&amp;"_"&amp;$A56, Predicciones_Master!$A$4:$Q$2000, 11, FALSE), 0))</f>
        <v/>
      </c>
      <c r="K56" s="8">
        <f>IFERROR(VLOOKUP(K$1&amp;"_"&amp;$A56, Predicciones_Master!$A$4:$Q$2000, 7, FALSE) &amp; " - " &amp; VLOOKUP(K$1&amp;"_"&amp;$A56, Predicciones_Master!$A$4:$Q$2000, 8, FALSE), "N/A")</f>
        <v/>
      </c>
      <c r="L56" s="12">
        <f>IF($D56="Por Jugar", "", IFERROR(VLOOKUP(K$1&amp;"_"&amp;$A56, Predicciones_Master!$A$4:$Q$2000, 11, FALSE), 0))</f>
        <v/>
      </c>
      <c r="M56" s="8">
        <f>IFERROR(VLOOKUP(M$1&amp;"_"&amp;$A56, Predicciones_Master!$A$4:$Q$2000, 7, FALSE) &amp; " - " &amp; VLOOKUP(M$1&amp;"_"&amp;$A56, Predicciones_Master!$A$4:$Q$2000, 8, FALSE), "N/A")</f>
        <v/>
      </c>
      <c r="N56" s="12">
        <f>IF($D56="Por Jugar", "", IFERROR(VLOOKUP(M$1&amp;"_"&amp;$A56, Predicciones_Master!$A$4:$Q$2000, 11, FALSE), 0))</f>
        <v/>
      </c>
      <c r="O56" s="8">
        <f>IFERROR(VLOOKUP(O$1&amp;"_"&amp;$A56, Predicciones_Master!$A$4:$Q$2000, 7, FALSE) &amp; " - " &amp; VLOOKUP(O$1&amp;"_"&amp;$A56, Predicciones_Master!$A$4:$Q$2000, 8, FALSE), "N/A")</f>
        <v/>
      </c>
      <c r="P56" s="12">
        <f>IF($D56="Por Jugar", "", IFERROR(VLOOKUP(O$1&amp;"_"&amp;$A56, Predicciones_Master!$A$4:$Q$2000, 11, FALSE), 0))</f>
        <v/>
      </c>
      <c r="Q56" s="8">
        <f>IFERROR(VLOOKUP(Q$1&amp;"_"&amp;$A56, Predicciones_Master!$A$4:$Q$2000, 7, FALSE) &amp; " - " &amp; VLOOKUP(Q$1&amp;"_"&amp;$A56, Predicciones_Master!$A$4:$Q$2000, 8, FALSE), "N/A")</f>
        <v/>
      </c>
      <c r="R56" s="12">
        <f>IF($D56="Por Jugar", "", IFERROR(VLOOKUP(Q$1&amp;"_"&amp;$A56, Predicciones_Master!$A$4:$Q$2000, 11, FALSE), 0))</f>
        <v/>
      </c>
      <c r="S56" s="8">
        <f>IFERROR(VLOOKUP(S$1&amp;"_"&amp;$A56, Predicciones_Master!$A$4:$Q$2000, 7, FALSE) &amp; " - " &amp; VLOOKUP(S$1&amp;"_"&amp;$A56, Predicciones_Master!$A$4:$Q$2000, 8, FALSE), "N/A")</f>
        <v/>
      </c>
      <c r="T56" s="12">
        <f>IF($D56="Por Jugar", "", IFERROR(VLOOKUP(S$1&amp;"_"&amp;$A56, Predicciones_Master!$A$4:$Q$2000, 11, FALSE), 0))</f>
        <v/>
      </c>
      <c r="U56" s="8">
        <f>IFERROR(VLOOKUP(U$1&amp;"_"&amp;$A56, Predicciones_Master!$A$4:$Q$2000, 7, FALSE) &amp; " - " &amp; VLOOKUP(U$1&amp;"_"&amp;$A56, Predicciones_Master!$A$4:$Q$2000, 8, FALSE), "N/A")</f>
        <v/>
      </c>
      <c r="V56" s="12">
        <f>IF($D56="Por Jugar", "", IFERROR(VLOOKUP(U$1&amp;"_"&amp;$A56, Predicciones_Master!$A$4:$Q$2000, 11, FALSE), 0))</f>
        <v/>
      </c>
      <c r="W56" s="8">
        <f>IFERROR(VLOOKUP(W$1&amp;"_"&amp;$A56, Predicciones_Master!$A$4:$Q$2000, 7, FALSE) &amp; " - " &amp; VLOOKUP(W$1&amp;"_"&amp;$A56, Predicciones_Master!$A$4:$Q$2000, 8, FALSE), "N/A")</f>
        <v/>
      </c>
      <c r="X56" s="12">
        <f>IF($D56="Por Jugar", "", IFERROR(VLOOKUP(W$1&amp;"_"&amp;$A56, Predicciones_Master!$A$4:$Q$2000, 11, FALSE), 0))</f>
        <v/>
      </c>
    </row>
    <row r="57" ht="20" customHeight="1">
      <c r="A57" s="8">
        <f>Resultados_Reales!A57</f>
        <v/>
      </c>
      <c r="B57" s="8">
        <f>Resultados_Reales!B57</f>
        <v/>
      </c>
      <c r="C57" s="9">
        <f>Resultados_Reales!C57 &amp; " vs " &amp; Resultados_Reales!D57</f>
        <v/>
      </c>
      <c r="D57" s="10">
        <f>IF(OR(Resultados_Reales!E57="", Resultados_Reales!F57=""), "Por Jugar", Resultados_Reales!E57 &amp; " - " &amp; Resultados_Reales!F57)</f>
        <v/>
      </c>
      <c r="E57" s="8">
        <f>IFERROR(VLOOKUP(E$1&amp;"_"&amp;$A57, Predicciones_Master!$A$4:$Q$2000, 7, FALSE) &amp; " - " &amp; VLOOKUP(E$1&amp;"_"&amp;$A57, Predicciones_Master!$A$4:$Q$2000, 8, FALSE), "N/A")</f>
        <v/>
      </c>
      <c r="F57" s="12">
        <f>IF($D57="Por Jugar", "", IFERROR(VLOOKUP(E$1&amp;"_"&amp;$A57, Predicciones_Master!$A$4:$Q$2000, 11, FALSE), 0))</f>
        <v/>
      </c>
      <c r="G57" s="8">
        <f>IFERROR(VLOOKUP(G$1&amp;"_"&amp;$A57, Predicciones_Master!$A$4:$Q$2000, 7, FALSE) &amp; " - " &amp; VLOOKUP(G$1&amp;"_"&amp;$A57, Predicciones_Master!$A$4:$Q$2000, 8, FALSE), "N/A")</f>
        <v/>
      </c>
      <c r="H57" s="12">
        <f>IF($D57="Por Jugar", "", IFERROR(VLOOKUP(G$1&amp;"_"&amp;$A57, Predicciones_Master!$A$4:$Q$2000, 11, FALSE), 0))</f>
        <v/>
      </c>
      <c r="I57" s="8">
        <f>IFERROR(VLOOKUP(I$1&amp;"_"&amp;$A57, Predicciones_Master!$A$4:$Q$2000, 7, FALSE) &amp; " - " &amp; VLOOKUP(I$1&amp;"_"&amp;$A57, Predicciones_Master!$A$4:$Q$2000, 8, FALSE), "N/A")</f>
        <v/>
      </c>
      <c r="J57" s="12">
        <f>IF($D57="Por Jugar", "", IFERROR(VLOOKUP(I$1&amp;"_"&amp;$A57, Predicciones_Master!$A$4:$Q$2000, 11, FALSE), 0))</f>
        <v/>
      </c>
      <c r="K57" s="8">
        <f>IFERROR(VLOOKUP(K$1&amp;"_"&amp;$A57, Predicciones_Master!$A$4:$Q$2000, 7, FALSE) &amp; " - " &amp; VLOOKUP(K$1&amp;"_"&amp;$A57, Predicciones_Master!$A$4:$Q$2000, 8, FALSE), "N/A")</f>
        <v/>
      </c>
      <c r="L57" s="12">
        <f>IF($D57="Por Jugar", "", IFERROR(VLOOKUP(K$1&amp;"_"&amp;$A57, Predicciones_Master!$A$4:$Q$2000, 11, FALSE), 0))</f>
        <v/>
      </c>
      <c r="M57" s="8">
        <f>IFERROR(VLOOKUP(M$1&amp;"_"&amp;$A57, Predicciones_Master!$A$4:$Q$2000, 7, FALSE) &amp; " - " &amp; VLOOKUP(M$1&amp;"_"&amp;$A57, Predicciones_Master!$A$4:$Q$2000, 8, FALSE), "N/A")</f>
        <v/>
      </c>
      <c r="N57" s="12">
        <f>IF($D57="Por Jugar", "", IFERROR(VLOOKUP(M$1&amp;"_"&amp;$A57, Predicciones_Master!$A$4:$Q$2000, 11, FALSE), 0))</f>
        <v/>
      </c>
      <c r="O57" s="8">
        <f>IFERROR(VLOOKUP(O$1&amp;"_"&amp;$A57, Predicciones_Master!$A$4:$Q$2000, 7, FALSE) &amp; " - " &amp; VLOOKUP(O$1&amp;"_"&amp;$A57, Predicciones_Master!$A$4:$Q$2000, 8, FALSE), "N/A")</f>
        <v/>
      </c>
      <c r="P57" s="12">
        <f>IF($D57="Por Jugar", "", IFERROR(VLOOKUP(O$1&amp;"_"&amp;$A57, Predicciones_Master!$A$4:$Q$2000, 11, FALSE), 0))</f>
        <v/>
      </c>
      <c r="Q57" s="8">
        <f>IFERROR(VLOOKUP(Q$1&amp;"_"&amp;$A57, Predicciones_Master!$A$4:$Q$2000, 7, FALSE) &amp; " - " &amp; VLOOKUP(Q$1&amp;"_"&amp;$A57, Predicciones_Master!$A$4:$Q$2000, 8, FALSE), "N/A")</f>
        <v/>
      </c>
      <c r="R57" s="12">
        <f>IF($D57="Por Jugar", "", IFERROR(VLOOKUP(Q$1&amp;"_"&amp;$A57, Predicciones_Master!$A$4:$Q$2000, 11, FALSE), 0))</f>
        <v/>
      </c>
      <c r="S57" s="8">
        <f>IFERROR(VLOOKUP(S$1&amp;"_"&amp;$A57, Predicciones_Master!$A$4:$Q$2000, 7, FALSE) &amp; " - " &amp; VLOOKUP(S$1&amp;"_"&amp;$A57, Predicciones_Master!$A$4:$Q$2000, 8, FALSE), "N/A")</f>
        <v/>
      </c>
      <c r="T57" s="12">
        <f>IF($D57="Por Jugar", "", IFERROR(VLOOKUP(S$1&amp;"_"&amp;$A57, Predicciones_Master!$A$4:$Q$2000, 11, FALSE), 0))</f>
        <v/>
      </c>
      <c r="U57" s="8">
        <f>IFERROR(VLOOKUP(U$1&amp;"_"&amp;$A57, Predicciones_Master!$A$4:$Q$2000, 7, FALSE) &amp; " - " &amp; VLOOKUP(U$1&amp;"_"&amp;$A57, Predicciones_Master!$A$4:$Q$2000, 8, FALSE), "N/A")</f>
        <v/>
      </c>
      <c r="V57" s="12">
        <f>IF($D57="Por Jugar", "", IFERROR(VLOOKUP(U$1&amp;"_"&amp;$A57, Predicciones_Master!$A$4:$Q$2000, 11, FALSE), 0))</f>
        <v/>
      </c>
      <c r="W57" s="8">
        <f>IFERROR(VLOOKUP(W$1&amp;"_"&amp;$A57, Predicciones_Master!$A$4:$Q$2000, 7, FALSE) &amp; " - " &amp; VLOOKUP(W$1&amp;"_"&amp;$A57, Predicciones_Master!$A$4:$Q$2000, 8, FALSE), "N/A")</f>
        <v/>
      </c>
      <c r="X57" s="12">
        <f>IF($D57="Por Jugar", "", IFERROR(VLOOKUP(W$1&amp;"_"&amp;$A57, Predicciones_Master!$A$4:$Q$2000, 11, FALSE), 0))</f>
        <v/>
      </c>
    </row>
    <row r="58" ht="20" customHeight="1">
      <c r="A58" s="8">
        <f>Resultados_Reales!A58</f>
        <v/>
      </c>
      <c r="B58" s="8">
        <f>Resultados_Reales!B58</f>
        <v/>
      </c>
      <c r="C58" s="9">
        <f>Resultados_Reales!C58 &amp; " vs " &amp; Resultados_Reales!D58</f>
        <v/>
      </c>
      <c r="D58" s="10">
        <f>IF(OR(Resultados_Reales!E58="", Resultados_Reales!F58=""), "Por Jugar", Resultados_Reales!E58 &amp; " - " &amp; Resultados_Reales!F58)</f>
        <v/>
      </c>
      <c r="E58" s="8">
        <f>IFERROR(VLOOKUP(E$1&amp;"_"&amp;$A58, Predicciones_Master!$A$4:$Q$2000, 7, FALSE) &amp; " - " &amp; VLOOKUP(E$1&amp;"_"&amp;$A58, Predicciones_Master!$A$4:$Q$2000, 8, FALSE), "N/A")</f>
        <v/>
      </c>
      <c r="F58" s="12">
        <f>IF($D58="Por Jugar", "", IFERROR(VLOOKUP(E$1&amp;"_"&amp;$A58, Predicciones_Master!$A$4:$Q$2000, 11, FALSE), 0))</f>
        <v/>
      </c>
      <c r="G58" s="8">
        <f>IFERROR(VLOOKUP(G$1&amp;"_"&amp;$A58, Predicciones_Master!$A$4:$Q$2000, 7, FALSE) &amp; " - " &amp; VLOOKUP(G$1&amp;"_"&amp;$A58, Predicciones_Master!$A$4:$Q$2000, 8, FALSE), "N/A")</f>
        <v/>
      </c>
      <c r="H58" s="12">
        <f>IF($D58="Por Jugar", "", IFERROR(VLOOKUP(G$1&amp;"_"&amp;$A58, Predicciones_Master!$A$4:$Q$2000, 11, FALSE), 0))</f>
        <v/>
      </c>
      <c r="I58" s="8">
        <f>IFERROR(VLOOKUP(I$1&amp;"_"&amp;$A58, Predicciones_Master!$A$4:$Q$2000, 7, FALSE) &amp; " - " &amp; VLOOKUP(I$1&amp;"_"&amp;$A58, Predicciones_Master!$A$4:$Q$2000, 8, FALSE), "N/A")</f>
        <v/>
      </c>
      <c r="J58" s="12">
        <f>IF($D58="Por Jugar", "", IFERROR(VLOOKUP(I$1&amp;"_"&amp;$A58, Predicciones_Master!$A$4:$Q$2000, 11, FALSE), 0))</f>
        <v/>
      </c>
      <c r="K58" s="8">
        <f>IFERROR(VLOOKUP(K$1&amp;"_"&amp;$A58, Predicciones_Master!$A$4:$Q$2000, 7, FALSE) &amp; " - " &amp; VLOOKUP(K$1&amp;"_"&amp;$A58, Predicciones_Master!$A$4:$Q$2000, 8, FALSE), "N/A")</f>
        <v/>
      </c>
      <c r="L58" s="12">
        <f>IF($D58="Por Jugar", "", IFERROR(VLOOKUP(K$1&amp;"_"&amp;$A58, Predicciones_Master!$A$4:$Q$2000, 11, FALSE), 0))</f>
        <v/>
      </c>
      <c r="M58" s="8">
        <f>IFERROR(VLOOKUP(M$1&amp;"_"&amp;$A58, Predicciones_Master!$A$4:$Q$2000, 7, FALSE) &amp; " - " &amp; VLOOKUP(M$1&amp;"_"&amp;$A58, Predicciones_Master!$A$4:$Q$2000, 8, FALSE), "N/A")</f>
        <v/>
      </c>
      <c r="N58" s="12">
        <f>IF($D58="Por Jugar", "", IFERROR(VLOOKUP(M$1&amp;"_"&amp;$A58, Predicciones_Master!$A$4:$Q$2000, 11, FALSE), 0))</f>
        <v/>
      </c>
      <c r="O58" s="8">
        <f>IFERROR(VLOOKUP(O$1&amp;"_"&amp;$A58, Predicciones_Master!$A$4:$Q$2000, 7, FALSE) &amp; " - " &amp; VLOOKUP(O$1&amp;"_"&amp;$A58, Predicciones_Master!$A$4:$Q$2000, 8, FALSE), "N/A")</f>
        <v/>
      </c>
      <c r="P58" s="12">
        <f>IF($D58="Por Jugar", "", IFERROR(VLOOKUP(O$1&amp;"_"&amp;$A58, Predicciones_Master!$A$4:$Q$2000, 11, FALSE), 0))</f>
        <v/>
      </c>
      <c r="Q58" s="8">
        <f>IFERROR(VLOOKUP(Q$1&amp;"_"&amp;$A58, Predicciones_Master!$A$4:$Q$2000, 7, FALSE) &amp; " - " &amp; VLOOKUP(Q$1&amp;"_"&amp;$A58, Predicciones_Master!$A$4:$Q$2000, 8, FALSE), "N/A")</f>
        <v/>
      </c>
      <c r="R58" s="12">
        <f>IF($D58="Por Jugar", "", IFERROR(VLOOKUP(Q$1&amp;"_"&amp;$A58, Predicciones_Master!$A$4:$Q$2000, 11, FALSE), 0))</f>
        <v/>
      </c>
      <c r="S58" s="8">
        <f>IFERROR(VLOOKUP(S$1&amp;"_"&amp;$A58, Predicciones_Master!$A$4:$Q$2000, 7, FALSE) &amp; " - " &amp; VLOOKUP(S$1&amp;"_"&amp;$A58, Predicciones_Master!$A$4:$Q$2000, 8, FALSE), "N/A")</f>
        <v/>
      </c>
      <c r="T58" s="12">
        <f>IF($D58="Por Jugar", "", IFERROR(VLOOKUP(S$1&amp;"_"&amp;$A58, Predicciones_Master!$A$4:$Q$2000, 11, FALSE), 0))</f>
        <v/>
      </c>
      <c r="U58" s="8">
        <f>IFERROR(VLOOKUP(U$1&amp;"_"&amp;$A58, Predicciones_Master!$A$4:$Q$2000, 7, FALSE) &amp; " - " &amp; VLOOKUP(U$1&amp;"_"&amp;$A58, Predicciones_Master!$A$4:$Q$2000, 8, FALSE), "N/A")</f>
        <v/>
      </c>
      <c r="V58" s="12">
        <f>IF($D58="Por Jugar", "", IFERROR(VLOOKUP(U$1&amp;"_"&amp;$A58, Predicciones_Master!$A$4:$Q$2000, 11, FALSE), 0))</f>
        <v/>
      </c>
      <c r="W58" s="8">
        <f>IFERROR(VLOOKUP(W$1&amp;"_"&amp;$A58, Predicciones_Master!$A$4:$Q$2000, 7, FALSE) &amp; " - " &amp; VLOOKUP(W$1&amp;"_"&amp;$A58, Predicciones_Master!$A$4:$Q$2000, 8, FALSE), "N/A")</f>
        <v/>
      </c>
      <c r="X58" s="12">
        <f>IF($D58="Por Jugar", "", IFERROR(VLOOKUP(W$1&amp;"_"&amp;$A58, Predicciones_Master!$A$4:$Q$2000, 11, FALSE), 0))</f>
        <v/>
      </c>
    </row>
    <row r="59" ht="20" customHeight="1">
      <c r="A59" s="8">
        <f>Resultados_Reales!A59</f>
        <v/>
      </c>
      <c r="B59" s="8">
        <f>Resultados_Reales!B59</f>
        <v/>
      </c>
      <c r="C59" s="9">
        <f>Resultados_Reales!C59 &amp; " vs " &amp; Resultados_Reales!D59</f>
        <v/>
      </c>
      <c r="D59" s="10">
        <f>IF(OR(Resultados_Reales!E59="", Resultados_Reales!F59=""), "Por Jugar", Resultados_Reales!E59 &amp; " - " &amp; Resultados_Reales!F59)</f>
        <v/>
      </c>
      <c r="E59" s="8">
        <f>IFERROR(VLOOKUP(E$1&amp;"_"&amp;$A59, Predicciones_Master!$A$4:$Q$2000, 7, FALSE) &amp; " - " &amp; VLOOKUP(E$1&amp;"_"&amp;$A59, Predicciones_Master!$A$4:$Q$2000, 8, FALSE), "N/A")</f>
        <v/>
      </c>
      <c r="F59" s="12">
        <f>IF($D59="Por Jugar", "", IFERROR(VLOOKUP(E$1&amp;"_"&amp;$A59, Predicciones_Master!$A$4:$Q$2000, 11, FALSE), 0))</f>
        <v/>
      </c>
      <c r="G59" s="8">
        <f>IFERROR(VLOOKUP(G$1&amp;"_"&amp;$A59, Predicciones_Master!$A$4:$Q$2000, 7, FALSE) &amp; " - " &amp; VLOOKUP(G$1&amp;"_"&amp;$A59, Predicciones_Master!$A$4:$Q$2000, 8, FALSE), "N/A")</f>
        <v/>
      </c>
      <c r="H59" s="12">
        <f>IF($D59="Por Jugar", "", IFERROR(VLOOKUP(G$1&amp;"_"&amp;$A59, Predicciones_Master!$A$4:$Q$2000, 11, FALSE), 0))</f>
        <v/>
      </c>
      <c r="I59" s="8">
        <f>IFERROR(VLOOKUP(I$1&amp;"_"&amp;$A59, Predicciones_Master!$A$4:$Q$2000, 7, FALSE) &amp; " - " &amp; VLOOKUP(I$1&amp;"_"&amp;$A59, Predicciones_Master!$A$4:$Q$2000, 8, FALSE), "N/A")</f>
        <v/>
      </c>
      <c r="J59" s="12">
        <f>IF($D59="Por Jugar", "", IFERROR(VLOOKUP(I$1&amp;"_"&amp;$A59, Predicciones_Master!$A$4:$Q$2000, 11, FALSE), 0))</f>
        <v/>
      </c>
      <c r="K59" s="8">
        <f>IFERROR(VLOOKUP(K$1&amp;"_"&amp;$A59, Predicciones_Master!$A$4:$Q$2000, 7, FALSE) &amp; " - " &amp; VLOOKUP(K$1&amp;"_"&amp;$A59, Predicciones_Master!$A$4:$Q$2000, 8, FALSE), "N/A")</f>
        <v/>
      </c>
      <c r="L59" s="12">
        <f>IF($D59="Por Jugar", "", IFERROR(VLOOKUP(K$1&amp;"_"&amp;$A59, Predicciones_Master!$A$4:$Q$2000, 11, FALSE), 0))</f>
        <v/>
      </c>
      <c r="M59" s="8">
        <f>IFERROR(VLOOKUP(M$1&amp;"_"&amp;$A59, Predicciones_Master!$A$4:$Q$2000, 7, FALSE) &amp; " - " &amp; VLOOKUP(M$1&amp;"_"&amp;$A59, Predicciones_Master!$A$4:$Q$2000, 8, FALSE), "N/A")</f>
        <v/>
      </c>
      <c r="N59" s="12">
        <f>IF($D59="Por Jugar", "", IFERROR(VLOOKUP(M$1&amp;"_"&amp;$A59, Predicciones_Master!$A$4:$Q$2000, 11, FALSE), 0))</f>
        <v/>
      </c>
      <c r="O59" s="8">
        <f>IFERROR(VLOOKUP(O$1&amp;"_"&amp;$A59, Predicciones_Master!$A$4:$Q$2000, 7, FALSE) &amp; " - " &amp; VLOOKUP(O$1&amp;"_"&amp;$A59, Predicciones_Master!$A$4:$Q$2000, 8, FALSE), "N/A")</f>
        <v/>
      </c>
      <c r="P59" s="12">
        <f>IF($D59="Por Jugar", "", IFERROR(VLOOKUP(O$1&amp;"_"&amp;$A59, Predicciones_Master!$A$4:$Q$2000, 11, FALSE), 0))</f>
        <v/>
      </c>
      <c r="Q59" s="8">
        <f>IFERROR(VLOOKUP(Q$1&amp;"_"&amp;$A59, Predicciones_Master!$A$4:$Q$2000, 7, FALSE) &amp; " - " &amp; VLOOKUP(Q$1&amp;"_"&amp;$A59, Predicciones_Master!$A$4:$Q$2000, 8, FALSE), "N/A")</f>
        <v/>
      </c>
      <c r="R59" s="12">
        <f>IF($D59="Por Jugar", "", IFERROR(VLOOKUP(Q$1&amp;"_"&amp;$A59, Predicciones_Master!$A$4:$Q$2000, 11, FALSE), 0))</f>
        <v/>
      </c>
      <c r="S59" s="8">
        <f>IFERROR(VLOOKUP(S$1&amp;"_"&amp;$A59, Predicciones_Master!$A$4:$Q$2000, 7, FALSE) &amp; " - " &amp; VLOOKUP(S$1&amp;"_"&amp;$A59, Predicciones_Master!$A$4:$Q$2000, 8, FALSE), "N/A")</f>
        <v/>
      </c>
      <c r="T59" s="12">
        <f>IF($D59="Por Jugar", "", IFERROR(VLOOKUP(S$1&amp;"_"&amp;$A59, Predicciones_Master!$A$4:$Q$2000, 11, FALSE), 0))</f>
        <v/>
      </c>
      <c r="U59" s="8">
        <f>IFERROR(VLOOKUP(U$1&amp;"_"&amp;$A59, Predicciones_Master!$A$4:$Q$2000, 7, FALSE) &amp; " - " &amp; VLOOKUP(U$1&amp;"_"&amp;$A59, Predicciones_Master!$A$4:$Q$2000, 8, FALSE), "N/A")</f>
        <v/>
      </c>
      <c r="V59" s="12">
        <f>IF($D59="Por Jugar", "", IFERROR(VLOOKUP(U$1&amp;"_"&amp;$A59, Predicciones_Master!$A$4:$Q$2000, 11, FALSE), 0))</f>
        <v/>
      </c>
      <c r="W59" s="8">
        <f>IFERROR(VLOOKUP(W$1&amp;"_"&amp;$A59, Predicciones_Master!$A$4:$Q$2000, 7, FALSE) &amp; " - " &amp; VLOOKUP(W$1&amp;"_"&amp;$A59, Predicciones_Master!$A$4:$Q$2000, 8, FALSE), "N/A")</f>
        <v/>
      </c>
      <c r="X59" s="12">
        <f>IF($D59="Por Jugar", "", IFERROR(VLOOKUP(W$1&amp;"_"&amp;$A59, Predicciones_Master!$A$4:$Q$2000, 11, FALSE), 0))</f>
        <v/>
      </c>
    </row>
    <row r="60" ht="20" customHeight="1">
      <c r="A60" s="8">
        <f>Resultados_Reales!A60</f>
        <v/>
      </c>
      <c r="B60" s="8">
        <f>Resultados_Reales!B60</f>
        <v/>
      </c>
      <c r="C60" s="9">
        <f>Resultados_Reales!C60 &amp; " vs " &amp; Resultados_Reales!D60</f>
        <v/>
      </c>
      <c r="D60" s="10">
        <f>IF(OR(Resultados_Reales!E60="", Resultados_Reales!F60=""), "Por Jugar", Resultados_Reales!E60 &amp; " - " &amp; Resultados_Reales!F60)</f>
        <v/>
      </c>
      <c r="E60" s="8">
        <f>IFERROR(VLOOKUP(E$1&amp;"_"&amp;$A60, Predicciones_Master!$A$4:$Q$2000, 7, FALSE) &amp; " - " &amp; VLOOKUP(E$1&amp;"_"&amp;$A60, Predicciones_Master!$A$4:$Q$2000, 8, FALSE), "N/A")</f>
        <v/>
      </c>
      <c r="F60" s="12">
        <f>IF($D60="Por Jugar", "", IFERROR(VLOOKUP(E$1&amp;"_"&amp;$A60, Predicciones_Master!$A$4:$Q$2000, 11, FALSE), 0))</f>
        <v/>
      </c>
      <c r="G60" s="8">
        <f>IFERROR(VLOOKUP(G$1&amp;"_"&amp;$A60, Predicciones_Master!$A$4:$Q$2000, 7, FALSE) &amp; " - " &amp; VLOOKUP(G$1&amp;"_"&amp;$A60, Predicciones_Master!$A$4:$Q$2000, 8, FALSE), "N/A")</f>
        <v/>
      </c>
      <c r="H60" s="12">
        <f>IF($D60="Por Jugar", "", IFERROR(VLOOKUP(G$1&amp;"_"&amp;$A60, Predicciones_Master!$A$4:$Q$2000, 11, FALSE), 0))</f>
        <v/>
      </c>
      <c r="I60" s="8">
        <f>IFERROR(VLOOKUP(I$1&amp;"_"&amp;$A60, Predicciones_Master!$A$4:$Q$2000, 7, FALSE) &amp; " - " &amp; VLOOKUP(I$1&amp;"_"&amp;$A60, Predicciones_Master!$A$4:$Q$2000, 8, FALSE), "N/A")</f>
        <v/>
      </c>
      <c r="J60" s="12">
        <f>IF($D60="Por Jugar", "", IFERROR(VLOOKUP(I$1&amp;"_"&amp;$A60, Predicciones_Master!$A$4:$Q$2000, 11, FALSE), 0))</f>
        <v/>
      </c>
      <c r="K60" s="8">
        <f>IFERROR(VLOOKUP(K$1&amp;"_"&amp;$A60, Predicciones_Master!$A$4:$Q$2000, 7, FALSE) &amp; " - " &amp; VLOOKUP(K$1&amp;"_"&amp;$A60, Predicciones_Master!$A$4:$Q$2000, 8, FALSE), "N/A")</f>
        <v/>
      </c>
      <c r="L60" s="12">
        <f>IF($D60="Por Jugar", "", IFERROR(VLOOKUP(K$1&amp;"_"&amp;$A60, Predicciones_Master!$A$4:$Q$2000, 11, FALSE), 0))</f>
        <v/>
      </c>
      <c r="M60" s="8">
        <f>IFERROR(VLOOKUP(M$1&amp;"_"&amp;$A60, Predicciones_Master!$A$4:$Q$2000, 7, FALSE) &amp; " - " &amp; VLOOKUP(M$1&amp;"_"&amp;$A60, Predicciones_Master!$A$4:$Q$2000, 8, FALSE), "N/A")</f>
        <v/>
      </c>
      <c r="N60" s="12">
        <f>IF($D60="Por Jugar", "", IFERROR(VLOOKUP(M$1&amp;"_"&amp;$A60, Predicciones_Master!$A$4:$Q$2000, 11, FALSE), 0))</f>
        <v/>
      </c>
      <c r="O60" s="8">
        <f>IFERROR(VLOOKUP(O$1&amp;"_"&amp;$A60, Predicciones_Master!$A$4:$Q$2000, 7, FALSE) &amp; " - " &amp; VLOOKUP(O$1&amp;"_"&amp;$A60, Predicciones_Master!$A$4:$Q$2000, 8, FALSE), "N/A")</f>
        <v/>
      </c>
      <c r="P60" s="12">
        <f>IF($D60="Por Jugar", "", IFERROR(VLOOKUP(O$1&amp;"_"&amp;$A60, Predicciones_Master!$A$4:$Q$2000, 11, FALSE), 0))</f>
        <v/>
      </c>
      <c r="Q60" s="8">
        <f>IFERROR(VLOOKUP(Q$1&amp;"_"&amp;$A60, Predicciones_Master!$A$4:$Q$2000, 7, FALSE) &amp; " - " &amp; VLOOKUP(Q$1&amp;"_"&amp;$A60, Predicciones_Master!$A$4:$Q$2000, 8, FALSE), "N/A")</f>
        <v/>
      </c>
      <c r="R60" s="12">
        <f>IF($D60="Por Jugar", "", IFERROR(VLOOKUP(Q$1&amp;"_"&amp;$A60, Predicciones_Master!$A$4:$Q$2000, 11, FALSE), 0))</f>
        <v/>
      </c>
      <c r="S60" s="8">
        <f>IFERROR(VLOOKUP(S$1&amp;"_"&amp;$A60, Predicciones_Master!$A$4:$Q$2000, 7, FALSE) &amp; " - " &amp; VLOOKUP(S$1&amp;"_"&amp;$A60, Predicciones_Master!$A$4:$Q$2000, 8, FALSE), "N/A")</f>
        <v/>
      </c>
      <c r="T60" s="12">
        <f>IF($D60="Por Jugar", "", IFERROR(VLOOKUP(S$1&amp;"_"&amp;$A60, Predicciones_Master!$A$4:$Q$2000, 11, FALSE), 0))</f>
        <v/>
      </c>
      <c r="U60" s="8">
        <f>IFERROR(VLOOKUP(U$1&amp;"_"&amp;$A60, Predicciones_Master!$A$4:$Q$2000, 7, FALSE) &amp; " - " &amp; VLOOKUP(U$1&amp;"_"&amp;$A60, Predicciones_Master!$A$4:$Q$2000, 8, FALSE), "N/A")</f>
        <v/>
      </c>
      <c r="V60" s="12">
        <f>IF($D60="Por Jugar", "", IFERROR(VLOOKUP(U$1&amp;"_"&amp;$A60, Predicciones_Master!$A$4:$Q$2000, 11, FALSE), 0))</f>
        <v/>
      </c>
      <c r="W60" s="8">
        <f>IFERROR(VLOOKUP(W$1&amp;"_"&amp;$A60, Predicciones_Master!$A$4:$Q$2000, 7, FALSE) &amp; " - " &amp; VLOOKUP(W$1&amp;"_"&amp;$A60, Predicciones_Master!$A$4:$Q$2000, 8, FALSE), "N/A")</f>
        <v/>
      </c>
      <c r="X60" s="12">
        <f>IF($D60="Por Jugar", "", IFERROR(VLOOKUP(W$1&amp;"_"&amp;$A60, Predicciones_Master!$A$4:$Q$2000, 11, FALSE), 0))</f>
        <v/>
      </c>
    </row>
    <row r="61" ht="20" customHeight="1">
      <c r="A61" s="8">
        <f>Resultados_Reales!A61</f>
        <v/>
      </c>
      <c r="B61" s="8">
        <f>Resultados_Reales!B61</f>
        <v/>
      </c>
      <c r="C61" s="9">
        <f>Resultados_Reales!C61 &amp; " vs " &amp; Resultados_Reales!D61</f>
        <v/>
      </c>
      <c r="D61" s="10">
        <f>IF(OR(Resultados_Reales!E61="", Resultados_Reales!F61=""), "Por Jugar", Resultados_Reales!E61 &amp; " - " &amp; Resultados_Reales!F61)</f>
        <v/>
      </c>
      <c r="E61" s="8">
        <f>IFERROR(VLOOKUP(E$1&amp;"_"&amp;$A61, Predicciones_Master!$A$4:$Q$2000, 7, FALSE) &amp; " - " &amp; VLOOKUP(E$1&amp;"_"&amp;$A61, Predicciones_Master!$A$4:$Q$2000, 8, FALSE), "N/A")</f>
        <v/>
      </c>
      <c r="F61" s="12">
        <f>IF($D61="Por Jugar", "", IFERROR(VLOOKUP(E$1&amp;"_"&amp;$A61, Predicciones_Master!$A$4:$Q$2000, 11, FALSE), 0))</f>
        <v/>
      </c>
      <c r="G61" s="8">
        <f>IFERROR(VLOOKUP(G$1&amp;"_"&amp;$A61, Predicciones_Master!$A$4:$Q$2000, 7, FALSE) &amp; " - " &amp; VLOOKUP(G$1&amp;"_"&amp;$A61, Predicciones_Master!$A$4:$Q$2000, 8, FALSE), "N/A")</f>
        <v/>
      </c>
      <c r="H61" s="12">
        <f>IF($D61="Por Jugar", "", IFERROR(VLOOKUP(G$1&amp;"_"&amp;$A61, Predicciones_Master!$A$4:$Q$2000, 11, FALSE), 0))</f>
        <v/>
      </c>
      <c r="I61" s="8">
        <f>IFERROR(VLOOKUP(I$1&amp;"_"&amp;$A61, Predicciones_Master!$A$4:$Q$2000, 7, FALSE) &amp; " - " &amp; VLOOKUP(I$1&amp;"_"&amp;$A61, Predicciones_Master!$A$4:$Q$2000, 8, FALSE), "N/A")</f>
        <v/>
      </c>
      <c r="J61" s="12">
        <f>IF($D61="Por Jugar", "", IFERROR(VLOOKUP(I$1&amp;"_"&amp;$A61, Predicciones_Master!$A$4:$Q$2000, 11, FALSE), 0))</f>
        <v/>
      </c>
      <c r="K61" s="8">
        <f>IFERROR(VLOOKUP(K$1&amp;"_"&amp;$A61, Predicciones_Master!$A$4:$Q$2000, 7, FALSE) &amp; " - " &amp; VLOOKUP(K$1&amp;"_"&amp;$A61, Predicciones_Master!$A$4:$Q$2000, 8, FALSE), "N/A")</f>
        <v/>
      </c>
      <c r="L61" s="12">
        <f>IF($D61="Por Jugar", "", IFERROR(VLOOKUP(K$1&amp;"_"&amp;$A61, Predicciones_Master!$A$4:$Q$2000, 11, FALSE), 0))</f>
        <v/>
      </c>
      <c r="M61" s="8">
        <f>IFERROR(VLOOKUP(M$1&amp;"_"&amp;$A61, Predicciones_Master!$A$4:$Q$2000, 7, FALSE) &amp; " - " &amp; VLOOKUP(M$1&amp;"_"&amp;$A61, Predicciones_Master!$A$4:$Q$2000, 8, FALSE), "N/A")</f>
        <v/>
      </c>
      <c r="N61" s="12">
        <f>IF($D61="Por Jugar", "", IFERROR(VLOOKUP(M$1&amp;"_"&amp;$A61, Predicciones_Master!$A$4:$Q$2000, 11, FALSE), 0))</f>
        <v/>
      </c>
      <c r="O61" s="8">
        <f>IFERROR(VLOOKUP(O$1&amp;"_"&amp;$A61, Predicciones_Master!$A$4:$Q$2000, 7, FALSE) &amp; " - " &amp; VLOOKUP(O$1&amp;"_"&amp;$A61, Predicciones_Master!$A$4:$Q$2000, 8, FALSE), "N/A")</f>
        <v/>
      </c>
      <c r="P61" s="12">
        <f>IF($D61="Por Jugar", "", IFERROR(VLOOKUP(O$1&amp;"_"&amp;$A61, Predicciones_Master!$A$4:$Q$2000, 11, FALSE), 0))</f>
        <v/>
      </c>
      <c r="Q61" s="8">
        <f>IFERROR(VLOOKUP(Q$1&amp;"_"&amp;$A61, Predicciones_Master!$A$4:$Q$2000, 7, FALSE) &amp; " - " &amp; VLOOKUP(Q$1&amp;"_"&amp;$A61, Predicciones_Master!$A$4:$Q$2000, 8, FALSE), "N/A")</f>
        <v/>
      </c>
      <c r="R61" s="12">
        <f>IF($D61="Por Jugar", "", IFERROR(VLOOKUP(Q$1&amp;"_"&amp;$A61, Predicciones_Master!$A$4:$Q$2000, 11, FALSE), 0))</f>
        <v/>
      </c>
      <c r="S61" s="8">
        <f>IFERROR(VLOOKUP(S$1&amp;"_"&amp;$A61, Predicciones_Master!$A$4:$Q$2000, 7, FALSE) &amp; " - " &amp; VLOOKUP(S$1&amp;"_"&amp;$A61, Predicciones_Master!$A$4:$Q$2000, 8, FALSE), "N/A")</f>
        <v/>
      </c>
      <c r="T61" s="12">
        <f>IF($D61="Por Jugar", "", IFERROR(VLOOKUP(S$1&amp;"_"&amp;$A61, Predicciones_Master!$A$4:$Q$2000, 11, FALSE), 0))</f>
        <v/>
      </c>
      <c r="U61" s="8">
        <f>IFERROR(VLOOKUP(U$1&amp;"_"&amp;$A61, Predicciones_Master!$A$4:$Q$2000, 7, FALSE) &amp; " - " &amp; VLOOKUP(U$1&amp;"_"&amp;$A61, Predicciones_Master!$A$4:$Q$2000, 8, FALSE), "N/A")</f>
        <v/>
      </c>
      <c r="V61" s="12">
        <f>IF($D61="Por Jugar", "", IFERROR(VLOOKUP(U$1&amp;"_"&amp;$A61, Predicciones_Master!$A$4:$Q$2000, 11, FALSE), 0))</f>
        <v/>
      </c>
      <c r="W61" s="8">
        <f>IFERROR(VLOOKUP(W$1&amp;"_"&amp;$A61, Predicciones_Master!$A$4:$Q$2000, 7, FALSE) &amp; " - " &amp; VLOOKUP(W$1&amp;"_"&amp;$A61, Predicciones_Master!$A$4:$Q$2000, 8, FALSE), "N/A")</f>
        <v/>
      </c>
      <c r="X61" s="12">
        <f>IF($D61="Por Jugar", "", IFERROR(VLOOKUP(W$1&amp;"_"&amp;$A61, Predicciones_Master!$A$4:$Q$2000, 11, FALSE), 0))</f>
        <v/>
      </c>
    </row>
    <row r="62" ht="20" customHeight="1">
      <c r="A62" s="8">
        <f>Resultados_Reales!A62</f>
        <v/>
      </c>
      <c r="B62" s="8">
        <f>Resultados_Reales!B62</f>
        <v/>
      </c>
      <c r="C62" s="9">
        <f>Resultados_Reales!C62 &amp; " vs " &amp; Resultados_Reales!D62</f>
        <v/>
      </c>
      <c r="D62" s="10">
        <f>IF(OR(Resultados_Reales!E62="", Resultados_Reales!F62=""), "Por Jugar", Resultados_Reales!E62 &amp; " - " &amp; Resultados_Reales!F62)</f>
        <v/>
      </c>
      <c r="E62" s="8">
        <f>IFERROR(VLOOKUP(E$1&amp;"_"&amp;$A62, Predicciones_Master!$A$4:$Q$2000, 7, FALSE) &amp; " - " &amp; VLOOKUP(E$1&amp;"_"&amp;$A62, Predicciones_Master!$A$4:$Q$2000, 8, FALSE), "N/A")</f>
        <v/>
      </c>
      <c r="F62" s="12">
        <f>IF($D62="Por Jugar", "", IFERROR(VLOOKUP(E$1&amp;"_"&amp;$A62, Predicciones_Master!$A$4:$Q$2000, 11, FALSE), 0))</f>
        <v/>
      </c>
      <c r="G62" s="8">
        <f>IFERROR(VLOOKUP(G$1&amp;"_"&amp;$A62, Predicciones_Master!$A$4:$Q$2000, 7, FALSE) &amp; " - " &amp; VLOOKUP(G$1&amp;"_"&amp;$A62, Predicciones_Master!$A$4:$Q$2000, 8, FALSE), "N/A")</f>
        <v/>
      </c>
      <c r="H62" s="12">
        <f>IF($D62="Por Jugar", "", IFERROR(VLOOKUP(G$1&amp;"_"&amp;$A62, Predicciones_Master!$A$4:$Q$2000, 11, FALSE), 0))</f>
        <v/>
      </c>
      <c r="I62" s="8">
        <f>IFERROR(VLOOKUP(I$1&amp;"_"&amp;$A62, Predicciones_Master!$A$4:$Q$2000, 7, FALSE) &amp; " - " &amp; VLOOKUP(I$1&amp;"_"&amp;$A62, Predicciones_Master!$A$4:$Q$2000, 8, FALSE), "N/A")</f>
        <v/>
      </c>
      <c r="J62" s="12">
        <f>IF($D62="Por Jugar", "", IFERROR(VLOOKUP(I$1&amp;"_"&amp;$A62, Predicciones_Master!$A$4:$Q$2000, 11, FALSE), 0))</f>
        <v/>
      </c>
      <c r="K62" s="8">
        <f>IFERROR(VLOOKUP(K$1&amp;"_"&amp;$A62, Predicciones_Master!$A$4:$Q$2000, 7, FALSE) &amp; " - " &amp; VLOOKUP(K$1&amp;"_"&amp;$A62, Predicciones_Master!$A$4:$Q$2000, 8, FALSE), "N/A")</f>
        <v/>
      </c>
      <c r="L62" s="12">
        <f>IF($D62="Por Jugar", "", IFERROR(VLOOKUP(K$1&amp;"_"&amp;$A62, Predicciones_Master!$A$4:$Q$2000, 11, FALSE), 0))</f>
        <v/>
      </c>
      <c r="M62" s="8">
        <f>IFERROR(VLOOKUP(M$1&amp;"_"&amp;$A62, Predicciones_Master!$A$4:$Q$2000, 7, FALSE) &amp; " - " &amp; VLOOKUP(M$1&amp;"_"&amp;$A62, Predicciones_Master!$A$4:$Q$2000, 8, FALSE), "N/A")</f>
        <v/>
      </c>
      <c r="N62" s="12">
        <f>IF($D62="Por Jugar", "", IFERROR(VLOOKUP(M$1&amp;"_"&amp;$A62, Predicciones_Master!$A$4:$Q$2000, 11, FALSE), 0))</f>
        <v/>
      </c>
      <c r="O62" s="8">
        <f>IFERROR(VLOOKUP(O$1&amp;"_"&amp;$A62, Predicciones_Master!$A$4:$Q$2000, 7, FALSE) &amp; " - " &amp; VLOOKUP(O$1&amp;"_"&amp;$A62, Predicciones_Master!$A$4:$Q$2000, 8, FALSE), "N/A")</f>
        <v/>
      </c>
      <c r="P62" s="12">
        <f>IF($D62="Por Jugar", "", IFERROR(VLOOKUP(O$1&amp;"_"&amp;$A62, Predicciones_Master!$A$4:$Q$2000, 11, FALSE), 0))</f>
        <v/>
      </c>
      <c r="Q62" s="8">
        <f>IFERROR(VLOOKUP(Q$1&amp;"_"&amp;$A62, Predicciones_Master!$A$4:$Q$2000, 7, FALSE) &amp; " - " &amp; VLOOKUP(Q$1&amp;"_"&amp;$A62, Predicciones_Master!$A$4:$Q$2000, 8, FALSE), "N/A")</f>
        <v/>
      </c>
      <c r="R62" s="12">
        <f>IF($D62="Por Jugar", "", IFERROR(VLOOKUP(Q$1&amp;"_"&amp;$A62, Predicciones_Master!$A$4:$Q$2000, 11, FALSE), 0))</f>
        <v/>
      </c>
      <c r="S62" s="8">
        <f>IFERROR(VLOOKUP(S$1&amp;"_"&amp;$A62, Predicciones_Master!$A$4:$Q$2000, 7, FALSE) &amp; " - " &amp; VLOOKUP(S$1&amp;"_"&amp;$A62, Predicciones_Master!$A$4:$Q$2000, 8, FALSE), "N/A")</f>
        <v/>
      </c>
      <c r="T62" s="12">
        <f>IF($D62="Por Jugar", "", IFERROR(VLOOKUP(S$1&amp;"_"&amp;$A62, Predicciones_Master!$A$4:$Q$2000, 11, FALSE), 0))</f>
        <v/>
      </c>
      <c r="U62" s="8">
        <f>IFERROR(VLOOKUP(U$1&amp;"_"&amp;$A62, Predicciones_Master!$A$4:$Q$2000, 7, FALSE) &amp; " - " &amp; VLOOKUP(U$1&amp;"_"&amp;$A62, Predicciones_Master!$A$4:$Q$2000, 8, FALSE), "N/A")</f>
        <v/>
      </c>
      <c r="V62" s="12">
        <f>IF($D62="Por Jugar", "", IFERROR(VLOOKUP(U$1&amp;"_"&amp;$A62, Predicciones_Master!$A$4:$Q$2000, 11, FALSE), 0))</f>
        <v/>
      </c>
      <c r="W62" s="8">
        <f>IFERROR(VLOOKUP(W$1&amp;"_"&amp;$A62, Predicciones_Master!$A$4:$Q$2000, 7, FALSE) &amp; " - " &amp; VLOOKUP(W$1&amp;"_"&amp;$A62, Predicciones_Master!$A$4:$Q$2000, 8, FALSE), "N/A")</f>
        <v/>
      </c>
      <c r="X62" s="12">
        <f>IF($D62="Por Jugar", "", IFERROR(VLOOKUP(W$1&amp;"_"&amp;$A62, Predicciones_Master!$A$4:$Q$2000, 11, FALSE), 0))</f>
        <v/>
      </c>
    </row>
    <row r="63" ht="20" customHeight="1">
      <c r="A63" s="8">
        <f>Resultados_Reales!A63</f>
        <v/>
      </c>
      <c r="B63" s="8">
        <f>Resultados_Reales!B63</f>
        <v/>
      </c>
      <c r="C63" s="9">
        <f>Resultados_Reales!C63 &amp; " vs " &amp; Resultados_Reales!D63</f>
        <v/>
      </c>
      <c r="D63" s="10">
        <f>IF(OR(Resultados_Reales!E63="", Resultados_Reales!F63=""), "Por Jugar", Resultados_Reales!E63 &amp; " - " &amp; Resultados_Reales!F63)</f>
        <v/>
      </c>
      <c r="E63" s="8">
        <f>IFERROR(VLOOKUP(E$1&amp;"_"&amp;$A63, Predicciones_Master!$A$4:$Q$2000, 7, FALSE) &amp; " - " &amp; VLOOKUP(E$1&amp;"_"&amp;$A63, Predicciones_Master!$A$4:$Q$2000, 8, FALSE), "N/A")</f>
        <v/>
      </c>
      <c r="F63" s="12">
        <f>IF($D63="Por Jugar", "", IFERROR(VLOOKUP(E$1&amp;"_"&amp;$A63, Predicciones_Master!$A$4:$Q$2000, 11, FALSE), 0))</f>
        <v/>
      </c>
      <c r="G63" s="8">
        <f>IFERROR(VLOOKUP(G$1&amp;"_"&amp;$A63, Predicciones_Master!$A$4:$Q$2000, 7, FALSE) &amp; " - " &amp; VLOOKUP(G$1&amp;"_"&amp;$A63, Predicciones_Master!$A$4:$Q$2000, 8, FALSE), "N/A")</f>
        <v/>
      </c>
      <c r="H63" s="12">
        <f>IF($D63="Por Jugar", "", IFERROR(VLOOKUP(G$1&amp;"_"&amp;$A63, Predicciones_Master!$A$4:$Q$2000, 11, FALSE), 0))</f>
        <v/>
      </c>
      <c r="I63" s="8">
        <f>IFERROR(VLOOKUP(I$1&amp;"_"&amp;$A63, Predicciones_Master!$A$4:$Q$2000, 7, FALSE) &amp; " - " &amp; VLOOKUP(I$1&amp;"_"&amp;$A63, Predicciones_Master!$A$4:$Q$2000, 8, FALSE), "N/A")</f>
        <v/>
      </c>
      <c r="J63" s="12">
        <f>IF($D63="Por Jugar", "", IFERROR(VLOOKUP(I$1&amp;"_"&amp;$A63, Predicciones_Master!$A$4:$Q$2000, 11, FALSE), 0))</f>
        <v/>
      </c>
      <c r="K63" s="8">
        <f>IFERROR(VLOOKUP(K$1&amp;"_"&amp;$A63, Predicciones_Master!$A$4:$Q$2000, 7, FALSE) &amp; " - " &amp; VLOOKUP(K$1&amp;"_"&amp;$A63, Predicciones_Master!$A$4:$Q$2000, 8, FALSE), "N/A")</f>
        <v/>
      </c>
      <c r="L63" s="12">
        <f>IF($D63="Por Jugar", "", IFERROR(VLOOKUP(K$1&amp;"_"&amp;$A63, Predicciones_Master!$A$4:$Q$2000, 11, FALSE), 0))</f>
        <v/>
      </c>
      <c r="M63" s="8">
        <f>IFERROR(VLOOKUP(M$1&amp;"_"&amp;$A63, Predicciones_Master!$A$4:$Q$2000, 7, FALSE) &amp; " - " &amp; VLOOKUP(M$1&amp;"_"&amp;$A63, Predicciones_Master!$A$4:$Q$2000, 8, FALSE), "N/A")</f>
        <v/>
      </c>
      <c r="N63" s="12">
        <f>IF($D63="Por Jugar", "", IFERROR(VLOOKUP(M$1&amp;"_"&amp;$A63, Predicciones_Master!$A$4:$Q$2000, 11, FALSE), 0))</f>
        <v/>
      </c>
      <c r="O63" s="8">
        <f>IFERROR(VLOOKUP(O$1&amp;"_"&amp;$A63, Predicciones_Master!$A$4:$Q$2000, 7, FALSE) &amp; " - " &amp; VLOOKUP(O$1&amp;"_"&amp;$A63, Predicciones_Master!$A$4:$Q$2000, 8, FALSE), "N/A")</f>
        <v/>
      </c>
      <c r="P63" s="12">
        <f>IF($D63="Por Jugar", "", IFERROR(VLOOKUP(O$1&amp;"_"&amp;$A63, Predicciones_Master!$A$4:$Q$2000, 11, FALSE), 0))</f>
        <v/>
      </c>
      <c r="Q63" s="8">
        <f>IFERROR(VLOOKUP(Q$1&amp;"_"&amp;$A63, Predicciones_Master!$A$4:$Q$2000, 7, FALSE) &amp; " - " &amp; VLOOKUP(Q$1&amp;"_"&amp;$A63, Predicciones_Master!$A$4:$Q$2000, 8, FALSE), "N/A")</f>
        <v/>
      </c>
      <c r="R63" s="12">
        <f>IF($D63="Por Jugar", "", IFERROR(VLOOKUP(Q$1&amp;"_"&amp;$A63, Predicciones_Master!$A$4:$Q$2000, 11, FALSE), 0))</f>
        <v/>
      </c>
      <c r="S63" s="8">
        <f>IFERROR(VLOOKUP(S$1&amp;"_"&amp;$A63, Predicciones_Master!$A$4:$Q$2000, 7, FALSE) &amp; " - " &amp; VLOOKUP(S$1&amp;"_"&amp;$A63, Predicciones_Master!$A$4:$Q$2000, 8, FALSE), "N/A")</f>
        <v/>
      </c>
      <c r="T63" s="12">
        <f>IF($D63="Por Jugar", "", IFERROR(VLOOKUP(S$1&amp;"_"&amp;$A63, Predicciones_Master!$A$4:$Q$2000, 11, FALSE), 0))</f>
        <v/>
      </c>
      <c r="U63" s="8">
        <f>IFERROR(VLOOKUP(U$1&amp;"_"&amp;$A63, Predicciones_Master!$A$4:$Q$2000, 7, FALSE) &amp; " - " &amp; VLOOKUP(U$1&amp;"_"&amp;$A63, Predicciones_Master!$A$4:$Q$2000, 8, FALSE), "N/A")</f>
        <v/>
      </c>
      <c r="V63" s="12">
        <f>IF($D63="Por Jugar", "", IFERROR(VLOOKUP(U$1&amp;"_"&amp;$A63, Predicciones_Master!$A$4:$Q$2000, 11, FALSE), 0))</f>
        <v/>
      </c>
      <c r="W63" s="8">
        <f>IFERROR(VLOOKUP(W$1&amp;"_"&amp;$A63, Predicciones_Master!$A$4:$Q$2000, 7, FALSE) &amp; " - " &amp; VLOOKUP(W$1&amp;"_"&amp;$A63, Predicciones_Master!$A$4:$Q$2000, 8, FALSE), "N/A")</f>
        <v/>
      </c>
      <c r="X63" s="12">
        <f>IF($D63="Por Jugar", "", IFERROR(VLOOKUP(W$1&amp;"_"&amp;$A63, Predicciones_Master!$A$4:$Q$2000, 11, FALSE), 0))</f>
        <v/>
      </c>
    </row>
    <row r="64" ht="20" customHeight="1">
      <c r="A64" s="8">
        <f>Resultados_Reales!A64</f>
        <v/>
      </c>
      <c r="B64" s="8">
        <f>Resultados_Reales!B64</f>
        <v/>
      </c>
      <c r="C64" s="9">
        <f>Resultados_Reales!C64 &amp; " vs " &amp; Resultados_Reales!D64</f>
        <v/>
      </c>
      <c r="D64" s="10">
        <f>IF(OR(Resultados_Reales!E64="", Resultados_Reales!F64=""), "Por Jugar", Resultados_Reales!E64 &amp; " - " &amp; Resultados_Reales!F64)</f>
        <v/>
      </c>
      <c r="E64" s="8">
        <f>IFERROR(VLOOKUP(E$1&amp;"_"&amp;$A64, Predicciones_Master!$A$4:$Q$2000, 7, FALSE) &amp; " - " &amp; VLOOKUP(E$1&amp;"_"&amp;$A64, Predicciones_Master!$A$4:$Q$2000, 8, FALSE), "N/A")</f>
        <v/>
      </c>
      <c r="F64" s="12">
        <f>IF($D64="Por Jugar", "", IFERROR(VLOOKUP(E$1&amp;"_"&amp;$A64, Predicciones_Master!$A$4:$Q$2000, 11, FALSE), 0))</f>
        <v/>
      </c>
      <c r="G64" s="8">
        <f>IFERROR(VLOOKUP(G$1&amp;"_"&amp;$A64, Predicciones_Master!$A$4:$Q$2000, 7, FALSE) &amp; " - " &amp; VLOOKUP(G$1&amp;"_"&amp;$A64, Predicciones_Master!$A$4:$Q$2000, 8, FALSE), "N/A")</f>
        <v/>
      </c>
      <c r="H64" s="12">
        <f>IF($D64="Por Jugar", "", IFERROR(VLOOKUP(G$1&amp;"_"&amp;$A64, Predicciones_Master!$A$4:$Q$2000, 11, FALSE), 0))</f>
        <v/>
      </c>
      <c r="I64" s="8">
        <f>IFERROR(VLOOKUP(I$1&amp;"_"&amp;$A64, Predicciones_Master!$A$4:$Q$2000, 7, FALSE) &amp; " - " &amp; VLOOKUP(I$1&amp;"_"&amp;$A64, Predicciones_Master!$A$4:$Q$2000, 8, FALSE), "N/A")</f>
        <v/>
      </c>
      <c r="J64" s="12">
        <f>IF($D64="Por Jugar", "", IFERROR(VLOOKUP(I$1&amp;"_"&amp;$A64, Predicciones_Master!$A$4:$Q$2000, 11, FALSE), 0))</f>
        <v/>
      </c>
      <c r="K64" s="8">
        <f>IFERROR(VLOOKUP(K$1&amp;"_"&amp;$A64, Predicciones_Master!$A$4:$Q$2000, 7, FALSE) &amp; " - " &amp; VLOOKUP(K$1&amp;"_"&amp;$A64, Predicciones_Master!$A$4:$Q$2000, 8, FALSE), "N/A")</f>
        <v/>
      </c>
      <c r="L64" s="12">
        <f>IF($D64="Por Jugar", "", IFERROR(VLOOKUP(K$1&amp;"_"&amp;$A64, Predicciones_Master!$A$4:$Q$2000, 11, FALSE), 0))</f>
        <v/>
      </c>
      <c r="M64" s="8">
        <f>IFERROR(VLOOKUP(M$1&amp;"_"&amp;$A64, Predicciones_Master!$A$4:$Q$2000, 7, FALSE) &amp; " - " &amp; VLOOKUP(M$1&amp;"_"&amp;$A64, Predicciones_Master!$A$4:$Q$2000, 8, FALSE), "N/A")</f>
        <v/>
      </c>
      <c r="N64" s="12">
        <f>IF($D64="Por Jugar", "", IFERROR(VLOOKUP(M$1&amp;"_"&amp;$A64, Predicciones_Master!$A$4:$Q$2000, 11, FALSE), 0))</f>
        <v/>
      </c>
      <c r="O64" s="8">
        <f>IFERROR(VLOOKUP(O$1&amp;"_"&amp;$A64, Predicciones_Master!$A$4:$Q$2000, 7, FALSE) &amp; " - " &amp; VLOOKUP(O$1&amp;"_"&amp;$A64, Predicciones_Master!$A$4:$Q$2000, 8, FALSE), "N/A")</f>
        <v/>
      </c>
      <c r="P64" s="12">
        <f>IF($D64="Por Jugar", "", IFERROR(VLOOKUP(O$1&amp;"_"&amp;$A64, Predicciones_Master!$A$4:$Q$2000, 11, FALSE), 0))</f>
        <v/>
      </c>
      <c r="Q64" s="8">
        <f>IFERROR(VLOOKUP(Q$1&amp;"_"&amp;$A64, Predicciones_Master!$A$4:$Q$2000, 7, FALSE) &amp; " - " &amp; VLOOKUP(Q$1&amp;"_"&amp;$A64, Predicciones_Master!$A$4:$Q$2000, 8, FALSE), "N/A")</f>
        <v/>
      </c>
      <c r="R64" s="12">
        <f>IF($D64="Por Jugar", "", IFERROR(VLOOKUP(Q$1&amp;"_"&amp;$A64, Predicciones_Master!$A$4:$Q$2000, 11, FALSE), 0))</f>
        <v/>
      </c>
      <c r="S64" s="8">
        <f>IFERROR(VLOOKUP(S$1&amp;"_"&amp;$A64, Predicciones_Master!$A$4:$Q$2000, 7, FALSE) &amp; " - " &amp; VLOOKUP(S$1&amp;"_"&amp;$A64, Predicciones_Master!$A$4:$Q$2000, 8, FALSE), "N/A")</f>
        <v/>
      </c>
      <c r="T64" s="12">
        <f>IF($D64="Por Jugar", "", IFERROR(VLOOKUP(S$1&amp;"_"&amp;$A64, Predicciones_Master!$A$4:$Q$2000, 11, FALSE), 0))</f>
        <v/>
      </c>
      <c r="U64" s="8">
        <f>IFERROR(VLOOKUP(U$1&amp;"_"&amp;$A64, Predicciones_Master!$A$4:$Q$2000, 7, FALSE) &amp; " - " &amp; VLOOKUP(U$1&amp;"_"&amp;$A64, Predicciones_Master!$A$4:$Q$2000, 8, FALSE), "N/A")</f>
        <v/>
      </c>
      <c r="V64" s="12">
        <f>IF($D64="Por Jugar", "", IFERROR(VLOOKUP(U$1&amp;"_"&amp;$A64, Predicciones_Master!$A$4:$Q$2000, 11, FALSE), 0))</f>
        <v/>
      </c>
      <c r="W64" s="8">
        <f>IFERROR(VLOOKUP(W$1&amp;"_"&amp;$A64, Predicciones_Master!$A$4:$Q$2000, 7, FALSE) &amp; " - " &amp; VLOOKUP(W$1&amp;"_"&amp;$A64, Predicciones_Master!$A$4:$Q$2000, 8, FALSE), "N/A")</f>
        <v/>
      </c>
      <c r="X64" s="12">
        <f>IF($D64="Por Jugar", "", IFERROR(VLOOKUP(W$1&amp;"_"&amp;$A64, Predicciones_Master!$A$4:$Q$2000, 11, FALSE), 0))</f>
        <v/>
      </c>
    </row>
    <row r="65" ht="20" customHeight="1">
      <c r="A65" s="8">
        <f>Resultados_Reales!A65</f>
        <v/>
      </c>
      <c r="B65" s="8">
        <f>Resultados_Reales!B65</f>
        <v/>
      </c>
      <c r="C65" s="9">
        <f>Resultados_Reales!C65 &amp; " vs " &amp; Resultados_Reales!D65</f>
        <v/>
      </c>
      <c r="D65" s="10">
        <f>IF(OR(Resultados_Reales!E65="", Resultados_Reales!F65=""), "Por Jugar", Resultados_Reales!E65 &amp; " - " &amp; Resultados_Reales!F65)</f>
        <v/>
      </c>
      <c r="E65" s="8">
        <f>IFERROR(VLOOKUP(E$1&amp;"_"&amp;$A65, Predicciones_Master!$A$4:$Q$2000, 7, FALSE) &amp; " - " &amp; VLOOKUP(E$1&amp;"_"&amp;$A65, Predicciones_Master!$A$4:$Q$2000, 8, FALSE), "N/A")</f>
        <v/>
      </c>
      <c r="F65" s="12">
        <f>IF($D65="Por Jugar", "", IFERROR(VLOOKUP(E$1&amp;"_"&amp;$A65, Predicciones_Master!$A$4:$Q$2000, 11, FALSE), 0))</f>
        <v/>
      </c>
      <c r="G65" s="8">
        <f>IFERROR(VLOOKUP(G$1&amp;"_"&amp;$A65, Predicciones_Master!$A$4:$Q$2000, 7, FALSE) &amp; " - " &amp; VLOOKUP(G$1&amp;"_"&amp;$A65, Predicciones_Master!$A$4:$Q$2000, 8, FALSE), "N/A")</f>
        <v/>
      </c>
      <c r="H65" s="12">
        <f>IF($D65="Por Jugar", "", IFERROR(VLOOKUP(G$1&amp;"_"&amp;$A65, Predicciones_Master!$A$4:$Q$2000, 11, FALSE), 0))</f>
        <v/>
      </c>
      <c r="I65" s="8">
        <f>IFERROR(VLOOKUP(I$1&amp;"_"&amp;$A65, Predicciones_Master!$A$4:$Q$2000, 7, FALSE) &amp; " - " &amp; VLOOKUP(I$1&amp;"_"&amp;$A65, Predicciones_Master!$A$4:$Q$2000, 8, FALSE), "N/A")</f>
        <v/>
      </c>
      <c r="J65" s="12">
        <f>IF($D65="Por Jugar", "", IFERROR(VLOOKUP(I$1&amp;"_"&amp;$A65, Predicciones_Master!$A$4:$Q$2000, 11, FALSE), 0))</f>
        <v/>
      </c>
      <c r="K65" s="8">
        <f>IFERROR(VLOOKUP(K$1&amp;"_"&amp;$A65, Predicciones_Master!$A$4:$Q$2000, 7, FALSE) &amp; " - " &amp; VLOOKUP(K$1&amp;"_"&amp;$A65, Predicciones_Master!$A$4:$Q$2000, 8, FALSE), "N/A")</f>
        <v/>
      </c>
      <c r="L65" s="12">
        <f>IF($D65="Por Jugar", "", IFERROR(VLOOKUP(K$1&amp;"_"&amp;$A65, Predicciones_Master!$A$4:$Q$2000, 11, FALSE), 0))</f>
        <v/>
      </c>
      <c r="M65" s="8">
        <f>IFERROR(VLOOKUP(M$1&amp;"_"&amp;$A65, Predicciones_Master!$A$4:$Q$2000, 7, FALSE) &amp; " - " &amp; VLOOKUP(M$1&amp;"_"&amp;$A65, Predicciones_Master!$A$4:$Q$2000, 8, FALSE), "N/A")</f>
        <v/>
      </c>
      <c r="N65" s="12">
        <f>IF($D65="Por Jugar", "", IFERROR(VLOOKUP(M$1&amp;"_"&amp;$A65, Predicciones_Master!$A$4:$Q$2000, 11, FALSE), 0))</f>
        <v/>
      </c>
      <c r="O65" s="8">
        <f>IFERROR(VLOOKUP(O$1&amp;"_"&amp;$A65, Predicciones_Master!$A$4:$Q$2000, 7, FALSE) &amp; " - " &amp; VLOOKUP(O$1&amp;"_"&amp;$A65, Predicciones_Master!$A$4:$Q$2000, 8, FALSE), "N/A")</f>
        <v/>
      </c>
      <c r="P65" s="12">
        <f>IF($D65="Por Jugar", "", IFERROR(VLOOKUP(O$1&amp;"_"&amp;$A65, Predicciones_Master!$A$4:$Q$2000, 11, FALSE), 0))</f>
        <v/>
      </c>
      <c r="Q65" s="8">
        <f>IFERROR(VLOOKUP(Q$1&amp;"_"&amp;$A65, Predicciones_Master!$A$4:$Q$2000, 7, FALSE) &amp; " - " &amp; VLOOKUP(Q$1&amp;"_"&amp;$A65, Predicciones_Master!$A$4:$Q$2000, 8, FALSE), "N/A")</f>
        <v/>
      </c>
      <c r="R65" s="12">
        <f>IF($D65="Por Jugar", "", IFERROR(VLOOKUP(Q$1&amp;"_"&amp;$A65, Predicciones_Master!$A$4:$Q$2000, 11, FALSE), 0))</f>
        <v/>
      </c>
      <c r="S65" s="8">
        <f>IFERROR(VLOOKUP(S$1&amp;"_"&amp;$A65, Predicciones_Master!$A$4:$Q$2000, 7, FALSE) &amp; " - " &amp; VLOOKUP(S$1&amp;"_"&amp;$A65, Predicciones_Master!$A$4:$Q$2000, 8, FALSE), "N/A")</f>
        <v/>
      </c>
      <c r="T65" s="12">
        <f>IF($D65="Por Jugar", "", IFERROR(VLOOKUP(S$1&amp;"_"&amp;$A65, Predicciones_Master!$A$4:$Q$2000, 11, FALSE), 0))</f>
        <v/>
      </c>
      <c r="U65" s="8">
        <f>IFERROR(VLOOKUP(U$1&amp;"_"&amp;$A65, Predicciones_Master!$A$4:$Q$2000, 7, FALSE) &amp; " - " &amp; VLOOKUP(U$1&amp;"_"&amp;$A65, Predicciones_Master!$A$4:$Q$2000, 8, FALSE), "N/A")</f>
        <v/>
      </c>
      <c r="V65" s="12">
        <f>IF($D65="Por Jugar", "", IFERROR(VLOOKUP(U$1&amp;"_"&amp;$A65, Predicciones_Master!$A$4:$Q$2000, 11, FALSE), 0))</f>
        <v/>
      </c>
      <c r="W65" s="8">
        <f>IFERROR(VLOOKUP(W$1&amp;"_"&amp;$A65, Predicciones_Master!$A$4:$Q$2000, 7, FALSE) &amp; " - " &amp; VLOOKUP(W$1&amp;"_"&amp;$A65, Predicciones_Master!$A$4:$Q$2000, 8, FALSE), "N/A")</f>
        <v/>
      </c>
      <c r="X65" s="12">
        <f>IF($D65="Por Jugar", "", IFERROR(VLOOKUP(W$1&amp;"_"&amp;$A65, Predicciones_Master!$A$4:$Q$2000, 11, FALSE), 0))</f>
        <v/>
      </c>
    </row>
    <row r="66" ht="20" customHeight="1">
      <c r="A66" s="8">
        <f>Resultados_Reales!A66</f>
        <v/>
      </c>
      <c r="B66" s="8">
        <f>Resultados_Reales!B66</f>
        <v/>
      </c>
      <c r="C66" s="9">
        <f>Resultados_Reales!C66 &amp; " vs " &amp; Resultados_Reales!D66</f>
        <v/>
      </c>
      <c r="D66" s="10">
        <f>IF(OR(Resultados_Reales!E66="", Resultados_Reales!F66=""), "Por Jugar", Resultados_Reales!E66 &amp; " - " &amp; Resultados_Reales!F66)</f>
        <v/>
      </c>
      <c r="E66" s="8">
        <f>IFERROR(VLOOKUP(E$1&amp;"_"&amp;$A66, Predicciones_Master!$A$4:$Q$2000, 7, FALSE) &amp; " - " &amp; VLOOKUP(E$1&amp;"_"&amp;$A66, Predicciones_Master!$A$4:$Q$2000, 8, FALSE), "N/A")</f>
        <v/>
      </c>
      <c r="F66" s="12">
        <f>IF($D66="Por Jugar", "", IFERROR(VLOOKUP(E$1&amp;"_"&amp;$A66, Predicciones_Master!$A$4:$Q$2000, 11, FALSE), 0))</f>
        <v/>
      </c>
      <c r="G66" s="8">
        <f>IFERROR(VLOOKUP(G$1&amp;"_"&amp;$A66, Predicciones_Master!$A$4:$Q$2000, 7, FALSE) &amp; " - " &amp; VLOOKUP(G$1&amp;"_"&amp;$A66, Predicciones_Master!$A$4:$Q$2000, 8, FALSE), "N/A")</f>
        <v/>
      </c>
      <c r="H66" s="12">
        <f>IF($D66="Por Jugar", "", IFERROR(VLOOKUP(G$1&amp;"_"&amp;$A66, Predicciones_Master!$A$4:$Q$2000, 11, FALSE), 0))</f>
        <v/>
      </c>
      <c r="I66" s="8">
        <f>IFERROR(VLOOKUP(I$1&amp;"_"&amp;$A66, Predicciones_Master!$A$4:$Q$2000, 7, FALSE) &amp; " - " &amp; VLOOKUP(I$1&amp;"_"&amp;$A66, Predicciones_Master!$A$4:$Q$2000, 8, FALSE), "N/A")</f>
        <v/>
      </c>
      <c r="J66" s="12">
        <f>IF($D66="Por Jugar", "", IFERROR(VLOOKUP(I$1&amp;"_"&amp;$A66, Predicciones_Master!$A$4:$Q$2000, 11, FALSE), 0))</f>
        <v/>
      </c>
      <c r="K66" s="8">
        <f>IFERROR(VLOOKUP(K$1&amp;"_"&amp;$A66, Predicciones_Master!$A$4:$Q$2000, 7, FALSE) &amp; " - " &amp; VLOOKUP(K$1&amp;"_"&amp;$A66, Predicciones_Master!$A$4:$Q$2000, 8, FALSE), "N/A")</f>
        <v/>
      </c>
      <c r="L66" s="12">
        <f>IF($D66="Por Jugar", "", IFERROR(VLOOKUP(K$1&amp;"_"&amp;$A66, Predicciones_Master!$A$4:$Q$2000, 11, FALSE), 0))</f>
        <v/>
      </c>
      <c r="M66" s="8">
        <f>IFERROR(VLOOKUP(M$1&amp;"_"&amp;$A66, Predicciones_Master!$A$4:$Q$2000, 7, FALSE) &amp; " - " &amp; VLOOKUP(M$1&amp;"_"&amp;$A66, Predicciones_Master!$A$4:$Q$2000, 8, FALSE), "N/A")</f>
        <v/>
      </c>
      <c r="N66" s="12">
        <f>IF($D66="Por Jugar", "", IFERROR(VLOOKUP(M$1&amp;"_"&amp;$A66, Predicciones_Master!$A$4:$Q$2000, 11, FALSE), 0))</f>
        <v/>
      </c>
      <c r="O66" s="8">
        <f>IFERROR(VLOOKUP(O$1&amp;"_"&amp;$A66, Predicciones_Master!$A$4:$Q$2000, 7, FALSE) &amp; " - " &amp; VLOOKUP(O$1&amp;"_"&amp;$A66, Predicciones_Master!$A$4:$Q$2000, 8, FALSE), "N/A")</f>
        <v/>
      </c>
      <c r="P66" s="12">
        <f>IF($D66="Por Jugar", "", IFERROR(VLOOKUP(O$1&amp;"_"&amp;$A66, Predicciones_Master!$A$4:$Q$2000, 11, FALSE), 0))</f>
        <v/>
      </c>
      <c r="Q66" s="8">
        <f>IFERROR(VLOOKUP(Q$1&amp;"_"&amp;$A66, Predicciones_Master!$A$4:$Q$2000, 7, FALSE) &amp; " - " &amp; VLOOKUP(Q$1&amp;"_"&amp;$A66, Predicciones_Master!$A$4:$Q$2000, 8, FALSE), "N/A")</f>
        <v/>
      </c>
      <c r="R66" s="12">
        <f>IF($D66="Por Jugar", "", IFERROR(VLOOKUP(Q$1&amp;"_"&amp;$A66, Predicciones_Master!$A$4:$Q$2000, 11, FALSE), 0))</f>
        <v/>
      </c>
      <c r="S66" s="8">
        <f>IFERROR(VLOOKUP(S$1&amp;"_"&amp;$A66, Predicciones_Master!$A$4:$Q$2000, 7, FALSE) &amp; " - " &amp; VLOOKUP(S$1&amp;"_"&amp;$A66, Predicciones_Master!$A$4:$Q$2000, 8, FALSE), "N/A")</f>
        <v/>
      </c>
      <c r="T66" s="12">
        <f>IF($D66="Por Jugar", "", IFERROR(VLOOKUP(S$1&amp;"_"&amp;$A66, Predicciones_Master!$A$4:$Q$2000, 11, FALSE), 0))</f>
        <v/>
      </c>
      <c r="U66" s="8">
        <f>IFERROR(VLOOKUP(U$1&amp;"_"&amp;$A66, Predicciones_Master!$A$4:$Q$2000, 7, FALSE) &amp; " - " &amp; VLOOKUP(U$1&amp;"_"&amp;$A66, Predicciones_Master!$A$4:$Q$2000, 8, FALSE), "N/A")</f>
        <v/>
      </c>
      <c r="V66" s="12">
        <f>IF($D66="Por Jugar", "", IFERROR(VLOOKUP(U$1&amp;"_"&amp;$A66, Predicciones_Master!$A$4:$Q$2000, 11, FALSE), 0))</f>
        <v/>
      </c>
      <c r="W66" s="8">
        <f>IFERROR(VLOOKUP(W$1&amp;"_"&amp;$A66, Predicciones_Master!$A$4:$Q$2000, 7, FALSE) &amp; " - " &amp; VLOOKUP(W$1&amp;"_"&amp;$A66, Predicciones_Master!$A$4:$Q$2000, 8, FALSE), "N/A")</f>
        <v/>
      </c>
      <c r="X66" s="12">
        <f>IF($D66="Por Jugar", "", IFERROR(VLOOKUP(W$1&amp;"_"&amp;$A66, Predicciones_Master!$A$4:$Q$2000, 11, FALSE), 0))</f>
        <v/>
      </c>
    </row>
    <row r="67" ht="20" customHeight="1">
      <c r="A67" s="8">
        <f>Resultados_Reales!A67</f>
        <v/>
      </c>
      <c r="B67" s="8">
        <f>Resultados_Reales!B67</f>
        <v/>
      </c>
      <c r="C67" s="9">
        <f>Resultados_Reales!C67 &amp; " vs " &amp; Resultados_Reales!D67</f>
        <v/>
      </c>
      <c r="D67" s="10">
        <f>IF(OR(Resultados_Reales!E67="", Resultados_Reales!F67=""), "Por Jugar", Resultados_Reales!E67 &amp; " - " &amp; Resultados_Reales!F67)</f>
        <v/>
      </c>
      <c r="E67" s="8">
        <f>IFERROR(VLOOKUP(E$1&amp;"_"&amp;$A67, Predicciones_Master!$A$4:$Q$2000, 7, FALSE) &amp; " - " &amp; VLOOKUP(E$1&amp;"_"&amp;$A67, Predicciones_Master!$A$4:$Q$2000, 8, FALSE), "N/A")</f>
        <v/>
      </c>
      <c r="F67" s="12">
        <f>IF($D67="Por Jugar", "", IFERROR(VLOOKUP(E$1&amp;"_"&amp;$A67, Predicciones_Master!$A$4:$Q$2000, 11, FALSE), 0))</f>
        <v/>
      </c>
      <c r="G67" s="8">
        <f>IFERROR(VLOOKUP(G$1&amp;"_"&amp;$A67, Predicciones_Master!$A$4:$Q$2000, 7, FALSE) &amp; " - " &amp; VLOOKUP(G$1&amp;"_"&amp;$A67, Predicciones_Master!$A$4:$Q$2000, 8, FALSE), "N/A")</f>
        <v/>
      </c>
      <c r="H67" s="12">
        <f>IF($D67="Por Jugar", "", IFERROR(VLOOKUP(G$1&amp;"_"&amp;$A67, Predicciones_Master!$A$4:$Q$2000, 11, FALSE), 0))</f>
        <v/>
      </c>
      <c r="I67" s="8">
        <f>IFERROR(VLOOKUP(I$1&amp;"_"&amp;$A67, Predicciones_Master!$A$4:$Q$2000, 7, FALSE) &amp; " - " &amp; VLOOKUP(I$1&amp;"_"&amp;$A67, Predicciones_Master!$A$4:$Q$2000, 8, FALSE), "N/A")</f>
        <v/>
      </c>
      <c r="J67" s="12">
        <f>IF($D67="Por Jugar", "", IFERROR(VLOOKUP(I$1&amp;"_"&amp;$A67, Predicciones_Master!$A$4:$Q$2000, 11, FALSE), 0))</f>
        <v/>
      </c>
      <c r="K67" s="8">
        <f>IFERROR(VLOOKUP(K$1&amp;"_"&amp;$A67, Predicciones_Master!$A$4:$Q$2000, 7, FALSE) &amp; " - " &amp; VLOOKUP(K$1&amp;"_"&amp;$A67, Predicciones_Master!$A$4:$Q$2000, 8, FALSE), "N/A")</f>
        <v/>
      </c>
      <c r="L67" s="12">
        <f>IF($D67="Por Jugar", "", IFERROR(VLOOKUP(K$1&amp;"_"&amp;$A67, Predicciones_Master!$A$4:$Q$2000, 11, FALSE), 0))</f>
        <v/>
      </c>
      <c r="M67" s="8">
        <f>IFERROR(VLOOKUP(M$1&amp;"_"&amp;$A67, Predicciones_Master!$A$4:$Q$2000, 7, FALSE) &amp; " - " &amp; VLOOKUP(M$1&amp;"_"&amp;$A67, Predicciones_Master!$A$4:$Q$2000, 8, FALSE), "N/A")</f>
        <v/>
      </c>
      <c r="N67" s="12">
        <f>IF($D67="Por Jugar", "", IFERROR(VLOOKUP(M$1&amp;"_"&amp;$A67, Predicciones_Master!$A$4:$Q$2000, 11, FALSE), 0))</f>
        <v/>
      </c>
      <c r="O67" s="8">
        <f>IFERROR(VLOOKUP(O$1&amp;"_"&amp;$A67, Predicciones_Master!$A$4:$Q$2000, 7, FALSE) &amp; " - " &amp; VLOOKUP(O$1&amp;"_"&amp;$A67, Predicciones_Master!$A$4:$Q$2000, 8, FALSE), "N/A")</f>
        <v/>
      </c>
      <c r="P67" s="12">
        <f>IF($D67="Por Jugar", "", IFERROR(VLOOKUP(O$1&amp;"_"&amp;$A67, Predicciones_Master!$A$4:$Q$2000, 11, FALSE), 0))</f>
        <v/>
      </c>
      <c r="Q67" s="8">
        <f>IFERROR(VLOOKUP(Q$1&amp;"_"&amp;$A67, Predicciones_Master!$A$4:$Q$2000, 7, FALSE) &amp; " - " &amp; VLOOKUP(Q$1&amp;"_"&amp;$A67, Predicciones_Master!$A$4:$Q$2000, 8, FALSE), "N/A")</f>
        <v/>
      </c>
      <c r="R67" s="12">
        <f>IF($D67="Por Jugar", "", IFERROR(VLOOKUP(Q$1&amp;"_"&amp;$A67, Predicciones_Master!$A$4:$Q$2000, 11, FALSE), 0))</f>
        <v/>
      </c>
      <c r="S67" s="8">
        <f>IFERROR(VLOOKUP(S$1&amp;"_"&amp;$A67, Predicciones_Master!$A$4:$Q$2000, 7, FALSE) &amp; " - " &amp; VLOOKUP(S$1&amp;"_"&amp;$A67, Predicciones_Master!$A$4:$Q$2000, 8, FALSE), "N/A")</f>
        <v/>
      </c>
      <c r="T67" s="12">
        <f>IF($D67="Por Jugar", "", IFERROR(VLOOKUP(S$1&amp;"_"&amp;$A67, Predicciones_Master!$A$4:$Q$2000, 11, FALSE), 0))</f>
        <v/>
      </c>
      <c r="U67" s="8">
        <f>IFERROR(VLOOKUP(U$1&amp;"_"&amp;$A67, Predicciones_Master!$A$4:$Q$2000, 7, FALSE) &amp; " - " &amp; VLOOKUP(U$1&amp;"_"&amp;$A67, Predicciones_Master!$A$4:$Q$2000, 8, FALSE), "N/A")</f>
        <v/>
      </c>
      <c r="V67" s="12">
        <f>IF($D67="Por Jugar", "", IFERROR(VLOOKUP(U$1&amp;"_"&amp;$A67, Predicciones_Master!$A$4:$Q$2000, 11, FALSE), 0))</f>
        <v/>
      </c>
      <c r="W67" s="8">
        <f>IFERROR(VLOOKUP(W$1&amp;"_"&amp;$A67, Predicciones_Master!$A$4:$Q$2000, 7, FALSE) &amp; " - " &amp; VLOOKUP(W$1&amp;"_"&amp;$A67, Predicciones_Master!$A$4:$Q$2000, 8, FALSE), "N/A")</f>
        <v/>
      </c>
      <c r="X67" s="12">
        <f>IF($D67="Por Jugar", "", IFERROR(VLOOKUP(W$1&amp;"_"&amp;$A67, Predicciones_Master!$A$4:$Q$2000, 11, FALSE), 0))</f>
        <v/>
      </c>
    </row>
    <row r="68" ht="20" customHeight="1">
      <c r="A68" s="8">
        <f>Resultados_Reales!A68</f>
        <v/>
      </c>
      <c r="B68" s="8">
        <f>Resultados_Reales!B68</f>
        <v/>
      </c>
      <c r="C68" s="9">
        <f>Resultados_Reales!C68 &amp; " vs " &amp; Resultados_Reales!D68</f>
        <v/>
      </c>
      <c r="D68" s="10">
        <f>IF(OR(Resultados_Reales!E68="", Resultados_Reales!F68=""), "Por Jugar", Resultados_Reales!E68 &amp; " - " &amp; Resultados_Reales!F68)</f>
        <v/>
      </c>
      <c r="E68" s="8">
        <f>IFERROR(VLOOKUP(E$1&amp;"_"&amp;$A68, Predicciones_Master!$A$4:$Q$2000, 7, FALSE) &amp; " - " &amp; VLOOKUP(E$1&amp;"_"&amp;$A68, Predicciones_Master!$A$4:$Q$2000, 8, FALSE), "N/A")</f>
        <v/>
      </c>
      <c r="F68" s="12">
        <f>IF($D68="Por Jugar", "", IFERROR(VLOOKUP(E$1&amp;"_"&amp;$A68, Predicciones_Master!$A$4:$Q$2000, 11, FALSE), 0))</f>
        <v/>
      </c>
      <c r="G68" s="8">
        <f>IFERROR(VLOOKUP(G$1&amp;"_"&amp;$A68, Predicciones_Master!$A$4:$Q$2000, 7, FALSE) &amp; " - " &amp; VLOOKUP(G$1&amp;"_"&amp;$A68, Predicciones_Master!$A$4:$Q$2000, 8, FALSE), "N/A")</f>
        <v/>
      </c>
      <c r="H68" s="12">
        <f>IF($D68="Por Jugar", "", IFERROR(VLOOKUP(G$1&amp;"_"&amp;$A68, Predicciones_Master!$A$4:$Q$2000, 11, FALSE), 0))</f>
        <v/>
      </c>
      <c r="I68" s="8">
        <f>IFERROR(VLOOKUP(I$1&amp;"_"&amp;$A68, Predicciones_Master!$A$4:$Q$2000, 7, FALSE) &amp; " - " &amp; VLOOKUP(I$1&amp;"_"&amp;$A68, Predicciones_Master!$A$4:$Q$2000, 8, FALSE), "N/A")</f>
        <v/>
      </c>
      <c r="J68" s="12">
        <f>IF($D68="Por Jugar", "", IFERROR(VLOOKUP(I$1&amp;"_"&amp;$A68, Predicciones_Master!$A$4:$Q$2000, 11, FALSE), 0))</f>
        <v/>
      </c>
      <c r="K68" s="8">
        <f>IFERROR(VLOOKUP(K$1&amp;"_"&amp;$A68, Predicciones_Master!$A$4:$Q$2000, 7, FALSE) &amp; " - " &amp; VLOOKUP(K$1&amp;"_"&amp;$A68, Predicciones_Master!$A$4:$Q$2000, 8, FALSE), "N/A")</f>
        <v/>
      </c>
      <c r="L68" s="12">
        <f>IF($D68="Por Jugar", "", IFERROR(VLOOKUP(K$1&amp;"_"&amp;$A68, Predicciones_Master!$A$4:$Q$2000, 11, FALSE), 0))</f>
        <v/>
      </c>
      <c r="M68" s="8">
        <f>IFERROR(VLOOKUP(M$1&amp;"_"&amp;$A68, Predicciones_Master!$A$4:$Q$2000, 7, FALSE) &amp; " - " &amp; VLOOKUP(M$1&amp;"_"&amp;$A68, Predicciones_Master!$A$4:$Q$2000, 8, FALSE), "N/A")</f>
        <v/>
      </c>
      <c r="N68" s="12">
        <f>IF($D68="Por Jugar", "", IFERROR(VLOOKUP(M$1&amp;"_"&amp;$A68, Predicciones_Master!$A$4:$Q$2000, 11, FALSE), 0))</f>
        <v/>
      </c>
      <c r="O68" s="8">
        <f>IFERROR(VLOOKUP(O$1&amp;"_"&amp;$A68, Predicciones_Master!$A$4:$Q$2000, 7, FALSE) &amp; " - " &amp; VLOOKUP(O$1&amp;"_"&amp;$A68, Predicciones_Master!$A$4:$Q$2000, 8, FALSE), "N/A")</f>
        <v/>
      </c>
      <c r="P68" s="12">
        <f>IF($D68="Por Jugar", "", IFERROR(VLOOKUP(O$1&amp;"_"&amp;$A68, Predicciones_Master!$A$4:$Q$2000, 11, FALSE), 0))</f>
        <v/>
      </c>
      <c r="Q68" s="8">
        <f>IFERROR(VLOOKUP(Q$1&amp;"_"&amp;$A68, Predicciones_Master!$A$4:$Q$2000, 7, FALSE) &amp; " - " &amp; VLOOKUP(Q$1&amp;"_"&amp;$A68, Predicciones_Master!$A$4:$Q$2000, 8, FALSE), "N/A")</f>
        <v/>
      </c>
      <c r="R68" s="12">
        <f>IF($D68="Por Jugar", "", IFERROR(VLOOKUP(Q$1&amp;"_"&amp;$A68, Predicciones_Master!$A$4:$Q$2000, 11, FALSE), 0))</f>
        <v/>
      </c>
      <c r="S68" s="8">
        <f>IFERROR(VLOOKUP(S$1&amp;"_"&amp;$A68, Predicciones_Master!$A$4:$Q$2000, 7, FALSE) &amp; " - " &amp; VLOOKUP(S$1&amp;"_"&amp;$A68, Predicciones_Master!$A$4:$Q$2000, 8, FALSE), "N/A")</f>
        <v/>
      </c>
      <c r="T68" s="12">
        <f>IF($D68="Por Jugar", "", IFERROR(VLOOKUP(S$1&amp;"_"&amp;$A68, Predicciones_Master!$A$4:$Q$2000, 11, FALSE), 0))</f>
        <v/>
      </c>
      <c r="U68" s="8">
        <f>IFERROR(VLOOKUP(U$1&amp;"_"&amp;$A68, Predicciones_Master!$A$4:$Q$2000, 7, FALSE) &amp; " - " &amp; VLOOKUP(U$1&amp;"_"&amp;$A68, Predicciones_Master!$A$4:$Q$2000, 8, FALSE), "N/A")</f>
        <v/>
      </c>
      <c r="V68" s="12">
        <f>IF($D68="Por Jugar", "", IFERROR(VLOOKUP(U$1&amp;"_"&amp;$A68, Predicciones_Master!$A$4:$Q$2000, 11, FALSE), 0))</f>
        <v/>
      </c>
      <c r="W68" s="8">
        <f>IFERROR(VLOOKUP(W$1&amp;"_"&amp;$A68, Predicciones_Master!$A$4:$Q$2000, 7, FALSE) &amp; " - " &amp; VLOOKUP(W$1&amp;"_"&amp;$A68, Predicciones_Master!$A$4:$Q$2000, 8, FALSE), "N/A")</f>
        <v/>
      </c>
      <c r="X68" s="12">
        <f>IF($D68="Por Jugar", "", IFERROR(VLOOKUP(W$1&amp;"_"&amp;$A68, Predicciones_Master!$A$4:$Q$2000, 11, FALSE), 0))</f>
        <v/>
      </c>
    </row>
    <row r="69" ht="20" customHeight="1">
      <c r="A69" s="8">
        <f>Resultados_Reales!A69</f>
        <v/>
      </c>
      <c r="B69" s="8">
        <f>Resultados_Reales!B69</f>
        <v/>
      </c>
      <c r="C69" s="9">
        <f>Resultados_Reales!C69 &amp; " vs " &amp; Resultados_Reales!D69</f>
        <v/>
      </c>
      <c r="D69" s="10">
        <f>IF(OR(Resultados_Reales!E69="", Resultados_Reales!F69=""), "Por Jugar", Resultados_Reales!E69 &amp; " - " &amp; Resultados_Reales!F69)</f>
        <v/>
      </c>
      <c r="E69" s="8">
        <f>IFERROR(VLOOKUP(E$1&amp;"_"&amp;$A69, Predicciones_Master!$A$4:$Q$2000, 7, FALSE) &amp; " - " &amp; VLOOKUP(E$1&amp;"_"&amp;$A69, Predicciones_Master!$A$4:$Q$2000, 8, FALSE), "N/A")</f>
        <v/>
      </c>
      <c r="F69" s="12">
        <f>IF($D69="Por Jugar", "", IFERROR(VLOOKUP(E$1&amp;"_"&amp;$A69, Predicciones_Master!$A$4:$Q$2000, 11, FALSE), 0))</f>
        <v/>
      </c>
      <c r="G69" s="8">
        <f>IFERROR(VLOOKUP(G$1&amp;"_"&amp;$A69, Predicciones_Master!$A$4:$Q$2000, 7, FALSE) &amp; " - " &amp; VLOOKUP(G$1&amp;"_"&amp;$A69, Predicciones_Master!$A$4:$Q$2000, 8, FALSE), "N/A")</f>
        <v/>
      </c>
      <c r="H69" s="12">
        <f>IF($D69="Por Jugar", "", IFERROR(VLOOKUP(G$1&amp;"_"&amp;$A69, Predicciones_Master!$A$4:$Q$2000, 11, FALSE), 0))</f>
        <v/>
      </c>
      <c r="I69" s="8">
        <f>IFERROR(VLOOKUP(I$1&amp;"_"&amp;$A69, Predicciones_Master!$A$4:$Q$2000, 7, FALSE) &amp; " - " &amp; VLOOKUP(I$1&amp;"_"&amp;$A69, Predicciones_Master!$A$4:$Q$2000, 8, FALSE), "N/A")</f>
        <v/>
      </c>
      <c r="J69" s="12">
        <f>IF($D69="Por Jugar", "", IFERROR(VLOOKUP(I$1&amp;"_"&amp;$A69, Predicciones_Master!$A$4:$Q$2000, 11, FALSE), 0))</f>
        <v/>
      </c>
      <c r="K69" s="8">
        <f>IFERROR(VLOOKUP(K$1&amp;"_"&amp;$A69, Predicciones_Master!$A$4:$Q$2000, 7, FALSE) &amp; " - " &amp; VLOOKUP(K$1&amp;"_"&amp;$A69, Predicciones_Master!$A$4:$Q$2000, 8, FALSE), "N/A")</f>
        <v/>
      </c>
      <c r="L69" s="12">
        <f>IF($D69="Por Jugar", "", IFERROR(VLOOKUP(K$1&amp;"_"&amp;$A69, Predicciones_Master!$A$4:$Q$2000, 11, FALSE), 0))</f>
        <v/>
      </c>
      <c r="M69" s="8">
        <f>IFERROR(VLOOKUP(M$1&amp;"_"&amp;$A69, Predicciones_Master!$A$4:$Q$2000, 7, FALSE) &amp; " - " &amp; VLOOKUP(M$1&amp;"_"&amp;$A69, Predicciones_Master!$A$4:$Q$2000, 8, FALSE), "N/A")</f>
        <v/>
      </c>
      <c r="N69" s="12">
        <f>IF($D69="Por Jugar", "", IFERROR(VLOOKUP(M$1&amp;"_"&amp;$A69, Predicciones_Master!$A$4:$Q$2000, 11, FALSE), 0))</f>
        <v/>
      </c>
      <c r="O69" s="8">
        <f>IFERROR(VLOOKUP(O$1&amp;"_"&amp;$A69, Predicciones_Master!$A$4:$Q$2000, 7, FALSE) &amp; " - " &amp; VLOOKUP(O$1&amp;"_"&amp;$A69, Predicciones_Master!$A$4:$Q$2000, 8, FALSE), "N/A")</f>
        <v/>
      </c>
      <c r="P69" s="12">
        <f>IF($D69="Por Jugar", "", IFERROR(VLOOKUP(O$1&amp;"_"&amp;$A69, Predicciones_Master!$A$4:$Q$2000, 11, FALSE), 0))</f>
        <v/>
      </c>
      <c r="Q69" s="8">
        <f>IFERROR(VLOOKUP(Q$1&amp;"_"&amp;$A69, Predicciones_Master!$A$4:$Q$2000, 7, FALSE) &amp; " - " &amp; VLOOKUP(Q$1&amp;"_"&amp;$A69, Predicciones_Master!$A$4:$Q$2000, 8, FALSE), "N/A")</f>
        <v/>
      </c>
      <c r="R69" s="12">
        <f>IF($D69="Por Jugar", "", IFERROR(VLOOKUP(Q$1&amp;"_"&amp;$A69, Predicciones_Master!$A$4:$Q$2000, 11, FALSE), 0))</f>
        <v/>
      </c>
      <c r="S69" s="8">
        <f>IFERROR(VLOOKUP(S$1&amp;"_"&amp;$A69, Predicciones_Master!$A$4:$Q$2000, 7, FALSE) &amp; " - " &amp; VLOOKUP(S$1&amp;"_"&amp;$A69, Predicciones_Master!$A$4:$Q$2000, 8, FALSE), "N/A")</f>
        <v/>
      </c>
      <c r="T69" s="12">
        <f>IF($D69="Por Jugar", "", IFERROR(VLOOKUP(S$1&amp;"_"&amp;$A69, Predicciones_Master!$A$4:$Q$2000, 11, FALSE), 0))</f>
        <v/>
      </c>
      <c r="U69" s="8">
        <f>IFERROR(VLOOKUP(U$1&amp;"_"&amp;$A69, Predicciones_Master!$A$4:$Q$2000, 7, FALSE) &amp; " - " &amp; VLOOKUP(U$1&amp;"_"&amp;$A69, Predicciones_Master!$A$4:$Q$2000, 8, FALSE), "N/A")</f>
        <v/>
      </c>
      <c r="V69" s="12">
        <f>IF($D69="Por Jugar", "", IFERROR(VLOOKUP(U$1&amp;"_"&amp;$A69, Predicciones_Master!$A$4:$Q$2000, 11, FALSE), 0))</f>
        <v/>
      </c>
      <c r="W69" s="8">
        <f>IFERROR(VLOOKUP(W$1&amp;"_"&amp;$A69, Predicciones_Master!$A$4:$Q$2000, 7, FALSE) &amp; " - " &amp; VLOOKUP(W$1&amp;"_"&amp;$A69, Predicciones_Master!$A$4:$Q$2000, 8, FALSE), "N/A")</f>
        <v/>
      </c>
      <c r="X69" s="12">
        <f>IF($D69="Por Jugar", "", IFERROR(VLOOKUP(W$1&amp;"_"&amp;$A69, Predicciones_Master!$A$4:$Q$2000, 11, FALSE), 0))</f>
        <v/>
      </c>
    </row>
    <row r="70" ht="20" customHeight="1">
      <c r="A70" s="8">
        <f>Resultados_Reales!A70</f>
        <v/>
      </c>
      <c r="B70" s="8">
        <f>Resultados_Reales!B70</f>
        <v/>
      </c>
      <c r="C70" s="9">
        <f>Resultados_Reales!C70 &amp; " vs " &amp; Resultados_Reales!D70</f>
        <v/>
      </c>
      <c r="D70" s="10">
        <f>IF(OR(Resultados_Reales!E70="", Resultados_Reales!F70=""), "Por Jugar", Resultados_Reales!E70 &amp; " - " &amp; Resultados_Reales!F70)</f>
        <v/>
      </c>
      <c r="E70" s="8">
        <f>IFERROR(VLOOKUP(E$1&amp;"_"&amp;$A70, Predicciones_Master!$A$4:$Q$2000, 7, FALSE) &amp; " - " &amp; VLOOKUP(E$1&amp;"_"&amp;$A70, Predicciones_Master!$A$4:$Q$2000, 8, FALSE), "N/A")</f>
        <v/>
      </c>
      <c r="F70" s="12">
        <f>IF($D70="Por Jugar", "", IFERROR(VLOOKUP(E$1&amp;"_"&amp;$A70, Predicciones_Master!$A$4:$Q$2000, 11, FALSE), 0))</f>
        <v/>
      </c>
      <c r="G70" s="8">
        <f>IFERROR(VLOOKUP(G$1&amp;"_"&amp;$A70, Predicciones_Master!$A$4:$Q$2000, 7, FALSE) &amp; " - " &amp; VLOOKUP(G$1&amp;"_"&amp;$A70, Predicciones_Master!$A$4:$Q$2000, 8, FALSE), "N/A")</f>
        <v/>
      </c>
      <c r="H70" s="12">
        <f>IF($D70="Por Jugar", "", IFERROR(VLOOKUP(G$1&amp;"_"&amp;$A70, Predicciones_Master!$A$4:$Q$2000, 11, FALSE), 0))</f>
        <v/>
      </c>
      <c r="I70" s="8">
        <f>IFERROR(VLOOKUP(I$1&amp;"_"&amp;$A70, Predicciones_Master!$A$4:$Q$2000, 7, FALSE) &amp; " - " &amp; VLOOKUP(I$1&amp;"_"&amp;$A70, Predicciones_Master!$A$4:$Q$2000, 8, FALSE), "N/A")</f>
        <v/>
      </c>
      <c r="J70" s="12">
        <f>IF($D70="Por Jugar", "", IFERROR(VLOOKUP(I$1&amp;"_"&amp;$A70, Predicciones_Master!$A$4:$Q$2000, 11, FALSE), 0))</f>
        <v/>
      </c>
      <c r="K70" s="8">
        <f>IFERROR(VLOOKUP(K$1&amp;"_"&amp;$A70, Predicciones_Master!$A$4:$Q$2000, 7, FALSE) &amp; " - " &amp; VLOOKUP(K$1&amp;"_"&amp;$A70, Predicciones_Master!$A$4:$Q$2000, 8, FALSE), "N/A")</f>
        <v/>
      </c>
      <c r="L70" s="12">
        <f>IF($D70="Por Jugar", "", IFERROR(VLOOKUP(K$1&amp;"_"&amp;$A70, Predicciones_Master!$A$4:$Q$2000, 11, FALSE), 0))</f>
        <v/>
      </c>
      <c r="M70" s="8">
        <f>IFERROR(VLOOKUP(M$1&amp;"_"&amp;$A70, Predicciones_Master!$A$4:$Q$2000, 7, FALSE) &amp; " - " &amp; VLOOKUP(M$1&amp;"_"&amp;$A70, Predicciones_Master!$A$4:$Q$2000, 8, FALSE), "N/A")</f>
        <v/>
      </c>
      <c r="N70" s="12">
        <f>IF($D70="Por Jugar", "", IFERROR(VLOOKUP(M$1&amp;"_"&amp;$A70, Predicciones_Master!$A$4:$Q$2000, 11, FALSE), 0))</f>
        <v/>
      </c>
      <c r="O70" s="8">
        <f>IFERROR(VLOOKUP(O$1&amp;"_"&amp;$A70, Predicciones_Master!$A$4:$Q$2000, 7, FALSE) &amp; " - " &amp; VLOOKUP(O$1&amp;"_"&amp;$A70, Predicciones_Master!$A$4:$Q$2000, 8, FALSE), "N/A")</f>
        <v/>
      </c>
      <c r="P70" s="12">
        <f>IF($D70="Por Jugar", "", IFERROR(VLOOKUP(O$1&amp;"_"&amp;$A70, Predicciones_Master!$A$4:$Q$2000, 11, FALSE), 0))</f>
        <v/>
      </c>
      <c r="Q70" s="8">
        <f>IFERROR(VLOOKUP(Q$1&amp;"_"&amp;$A70, Predicciones_Master!$A$4:$Q$2000, 7, FALSE) &amp; " - " &amp; VLOOKUP(Q$1&amp;"_"&amp;$A70, Predicciones_Master!$A$4:$Q$2000, 8, FALSE), "N/A")</f>
        <v/>
      </c>
      <c r="R70" s="12">
        <f>IF($D70="Por Jugar", "", IFERROR(VLOOKUP(Q$1&amp;"_"&amp;$A70, Predicciones_Master!$A$4:$Q$2000, 11, FALSE), 0))</f>
        <v/>
      </c>
      <c r="S70" s="8">
        <f>IFERROR(VLOOKUP(S$1&amp;"_"&amp;$A70, Predicciones_Master!$A$4:$Q$2000, 7, FALSE) &amp; " - " &amp; VLOOKUP(S$1&amp;"_"&amp;$A70, Predicciones_Master!$A$4:$Q$2000, 8, FALSE), "N/A")</f>
        <v/>
      </c>
      <c r="T70" s="12">
        <f>IF($D70="Por Jugar", "", IFERROR(VLOOKUP(S$1&amp;"_"&amp;$A70, Predicciones_Master!$A$4:$Q$2000, 11, FALSE), 0))</f>
        <v/>
      </c>
      <c r="U70" s="8">
        <f>IFERROR(VLOOKUP(U$1&amp;"_"&amp;$A70, Predicciones_Master!$A$4:$Q$2000, 7, FALSE) &amp; " - " &amp; VLOOKUP(U$1&amp;"_"&amp;$A70, Predicciones_Master!$A$4:$Q$2000, 8, FALSE), "N/A")</f>
        <v/>
      </c>
      <c r="V70" s="12">
        <f>IF($D70="Por Jugar", "", IFERROR(VLOOKUP(U$1&amp;"_"&amp;$A70, Predicciones_Master!$A$4:$Q$2000, 11, FALSE), 0))</f>
        <v/>
      </c>
      <c r="W70" s="8">
        <f>IFERROR(VLOOKUP(W$1&amp;"_"&amp;$A70, Predicciones_Master!$A$4:$Q$2000, 7, FALSE) &amp; " - " &amp; VLOOKUP(W$1&amp;"_"&amp;$A70, Predicciones_Master!$A$4:$Q$2000, 8, FALSE), "N/A")</f>
        <v/>
      </c>
      <c r="X70" s="12">
        <f>IF($D70="Por Jugar", "", IFERROR(VLOOKUP(W$1&amp;"_"&amp;$A70, Predicciones_Master!$A$4:$Q$2000, 11, FALSE), 0))</f>
        <v/>
      </c>
    </row>
    <row r="71" ht="20" customHeight="1">
      <c r="A71" s="8">
        <f>Resultados_Reales!A71</f>
        <v/>
      </c>
      <c r="B71" s="8">
        <f>Resultados_Reales!B71</f>
        <v/>
      </c>
      <c r="C71" s="9">
        <f>Resultados_Reales!C71 &amp; " vs " &amp; Resultados_Reales!D71</f>
        <v/>
      </c>
      <c r="D71" s="10">
        <f>IF(OR(Resultados_Reales!E71="", Resultados_Reales!F71=""), "Por Jugar", Resultados_Reales!E71 &amp; " - " &amp; Resultados_Reales!F71)</f>
        <v/>
      </c>
      <c r="E71" s="8">
        <f>IFERROR(VLOOKUP(E$1&amp;"_"&amp;$A71, Predicciones_Master!$A$4:$Q$2000, 7, FALSE) &amp; " - " &amp; VLOOKUP(E$1&amp;"_"&amp;$A71, Predicciones_Master!$A$4:$Q$2000, 8, FALSE), "N/A")</f>
        <v/>
      </c>
      <c r="F71" s="12">
        <f>IF($D71="Por Jugar", "", IFERROR(VLOOKUP(E$1&amp;"_"&amp;$A71, Predicciones_Master!$A$4:$Q$2000, 11, FALSE), 0))</f>
        <v/>
      </c>
      <c r="G71" s="8">
        <f>IFERROR(VLOOKUP(G$1&amp;"_"&amp;$A71, Predicciones_Master!$A$4:$Q$2000, 7, FALSE) &amp; " - " &amp; VLOOKUP(G$1&amp;"_"&amp;$A71, Predicciones_Master!$A$4:$Q$2000, 8, FALSE), "N/A")</f>
        <v/>
      </c>
      <c r="H71" s="12">
        <f>IF($D71="Por Jugar", "", IFERROR(VLOOKUP(G$1&amp;"_"&amp;$A71, Predicciones_Master!$A$4:$Q$2000, 11, FALSE), 0))</f>
        <v/>
      </c>
      <c r="I71" s="8">
        <f>IFERROR(VLOOKUP(I$1&amp;"_"&amp;$A71, Predicciones_Master!$A$4:$Q$2000, 7, FALSE) &amp; " - " &amp; VLOOKUP(I$1&amp;"_"&amp;$A71, Predicciones_Master!$A$4:$Q$2000, 8, FALSE), "N/A")</f>
        <v/>
      </c>
      <c r="J71" s="12">
        <f>IF($D71="Por Jugar", "", IFERROR(VLOOKUP(I$1&amp;"_"&amp;$A71, Predicciones_Master!$A$4:$Q$2000, 11, FALSE), 0))</f>
        <v/>
      </c>
      <c r="K71" s="8">
        <f>IFERROR(VLOOKUP(K$1&amp;"_"&amp;$A71, Predicciones_Master!$A$4:$Q$2000, 7, FALSE) &amp; " - " &amp; VLOOKUP(K$1&amp;"_"&amp;$A71, Predicciones_Master!$A$4:$Q$2000, 8, FALSE), "N/A")</f>
        <v/>
      </c>
      <c r="L71" s="12">
        <f>IF($D71="Por Jugar", "", IFERROR(VLOOKUP(K$1&amp;"_"&amp;$A71, Predicciones_Master!$A$4:$Q$2000, 11, FALSE), 0))</f>
        <v/>
      </c>
      <c r="M71" s="8">
        <f>IFERROR(VLOOKUP(M$1&amp;"_"&amp;$A71, Predicciones_Master!$A$4:$Q$2000, 7, FALSE) &amp; " - " &amp; VLOOKUP(M$1&amp;"_"&amp;$A71, Predicciones_Master!$A$4:$Q$2000, 8, FALSE), "N/A")</f>
        <v/>
      </c>
      <c r="N71" s="12">
        <f>IF($D71="Por Jugar", "", IFERROR(VLOOKUP(M$1&amp;"_"&amp;$A71, Predicciones_Master!$A$4:$Q$2000, 11, FALSE), 0))</f>
        <v/>
      </c>
      <c r="O71" s="8">
        <f>IFERROR(VLOOKUP(O$1&amp;"_"&amp;$A71, Predicciones_Master!$A$4:$Q$2000, 7, FALSE) &amp; " - " &amp; VLOOKUP(O$1&amp;"_"&amp;$A71, Predicciones_Master!$A$4:$Q$2000, 8, FALSE), "N/A")</f>
        <v/>
      </c>
      <c r="P71" s="12">
        <f>IF($D71="Por Jugar", "", IFERROR(VLOOKUP(O$1&amp;"_"&amp;$A71, Predicciones_Master!$A$4:$Q$2000, 11, FALSE), 0))</f>
        <v/>
      </c>
      <c r="Q71" s="8">
        <f>IFERROR(VLOOKUP(Q$1&amp;"_"&amp;$A71, Predicciones_Master!$A$4:$Q$2000, 7, FALSE) &amp; " - " &amp; VLOOKUP(Q$1&amp;"_"&amp;$A71, Predicciones_Master!$A$4:$Q$2000, 8, FALSE), "N/A")</f>
        <v/>
      </c>
      <c r="R71" s="12">
        <f>IF($D71="Por Jugar", "", IFERROR(VLOOKUP(Q$1&amp;"_"&amp;$A71, Predicciones_Master!$A$4:$Q$2000, 11, FALSE), 0))</f>
        <v/>
      </c>
      <c r="S71" s="8">
        <f>IFERROR(VLOOKUP(S$1&amp;"_"&amp;$A71, Predicciones_Master!$A$4:$Q$2000, 7, FALSE) &amp; " - " &amp; VLOOKUP(S$1&amp;"_"&amp;$A71, Predicciones_Master!$A$4:$Q$2000, 8, FALSE), "N/A")</f>
        <v/>
      </c>
      <c r="T71" s="12">
        <f>IF($D71="Por Jugar", "", IFERROR(VLOOKUP(S$1&amp;"_"&amp;$A71, Predicciones_Master!$A$4:$Q$2000, 11, FALSE), 0))</f>
        <v/>
      </c>
      <c r="U71" s="8">
        <f>IFERROR(VLOOKUP(U$1&amp;"_"&amp;$A71, Predicciones_Master!$A$4:$Q$2000, 7, FALSE) &amp; " - " &amp; VLOOKUP(U$1&amp;"_"&amp;$A71, Predicciones_Master!$A$4:$Q$2000, 8, FALSE), "N/A")</f>
        <v/>
      </c>
      <c r="V71" s="12">
        <f>IF($D71="Por Jugar", "", IFERROR(VLOOKUP(U$1&amp;"_"&amp;$A71, Predicciones_Master!$A$4:$Q$2000, 11, FALSE), 0))</f>
        <v/>
      </c>
      <c r="W71" s="8">
        <f>IFERROR(VLOOKUP(W$1&amp;"_"&amp;$A71, Predicciones_Master!$A$4:$Q$2000, 7, FALSE) &amp; " - " &amp; VLOOKUP(W$1&amp;"_"&amp;$A71, Predicciones_Master!$A$4:$Q$2000, 8, FALSE), "N/A")</f>
        <v/>
      </c>
      <c r="X71" s="12">
        <f>IF($D71="Por Jugar", "", IFERROR(VLOOKUP(W$1&amp;"_"&amp;$A71, Predicciones_Master!$A$4:$Q$2000, 11, FALSE), 0))</f>
        <v/>
      </c>
    </row>
    <row r="72" ht="20" customHeight="1">
      <c r="A72" s="8">
        <f>Resultados_Reales!A72</f>
        <v/>
      </c>
      <c r="B72" s="8">
        <f>Resultados_Reales!B72</f>
        <v/>
      </c>
      <c r="C72" s="9">
        <f>Resultados_Reales!C72 &amp; " vs " &amp; Resultados_Reales!D72</f>
        <v/>
      </c>
      <c r="D72" s="10">
        <f>IF(OR(Resultados_Reales!E72="", Resultados_Reales!F72=""), "Por Jugar", Resultados_Reales!E72 &amp; " - " &amp; Resultados_Reales!F72)</f>
        <v/>
      </c>
      <c r="E72" s="8">
        <f>IFERROR(VLOOKUP(E$1&amp;"_"&amp;$A72, Predicciones_Master!$A$4:$Q$2000, 7, FALSE) &amp; " - " &amp; VLOOKUP(E$1&amp;"_"&amp;$A72, Predicciones_Master!$A$4:$Q$2000, 8, FALSE), "N/A")</f>
        <v/>
      </c>
      <c r="F72" s="12">
        <f>IF($D72="Por Jugar", "", IFERROR(VLOOKUP(E$1&amp;"_"&amp;$A72, Predicciones_Master!$A$4:$Q$2000, 11, FALSE), 0))</f>
        <v/>
      </c>
      <c r="G72" s="8">
        <f>IFERROR(VLOOKUP(G$1&amp;"_"&amp;$A72, Predicciones_Master!$A$4:$Q$2000, 7, FALSE) &amp; " - " &amp; VLOOKUP(G$1&amp;"_"&amp;$A72, Predicciones_Master!$A$4:$Q$2000, 8, FALSE), "N/A")</f>
        <v/>
      </c>
      <c r="H72" s="12">
        <f>IF($D72="Por Jugar", "", IFERROR(VLOOKUP(G$1&amp;"_"&amp;$A72, Predicciones_Master!$A$4:$Q$2000, 11, FALSE), 0))</f>
        <v/>
      </c>
      <c r="I72" s="8">
        <f>IFERROR(VLOOKUP(I$1&amp;"_"&amp;$A72, Predicciones_Master!$A$4:$Q$2000, 7, FALSE) &amp; " - " &amp; VLOOKUP(I$1&amp;"_"&amp;$A72, Predicciones_Master!$A$4:$Q$2000, 8, FALSE), "N/A")</f>
        <v/>
      </c>
      <c r="J72" s="12">
        <f>IF($D72="Por Jugar", "", IFERROR(VLOOKUP(I$1&amp;"_"&amp;$A72, Predicciones_Master!$A$4:$Q$2000, 11, FALSE), 0))</f>
        <v/>
      </c>
      <c r="K72" s="8">
        <f>IFERROR(VLOOKUP(K$1&amp;"_"&amp;$A72, Predicciones_Master!$A$4:$Q$2000, 7, FALSE) &amp; " - " &amp; VLOOKUP(K$1&amp;"_"&amp;$A72, Predicciones_Master!$A$4:$Q$2000, 8, FALSE), "N/A")</f>
        <v/>
      </c>
      <c r="L72" s="12">
        <f>IF($D72="Por Jugar", "", IFERROR(VLOOKUP(K$1&amp;"_"&amp;$A72, Predicciones_Master!$A$4:$Q$2000, 11, FALSE), 0))</f>
        <v/>
      </c>
      <c r="M72" s="8">
        <f>IFERROR(VLOOKUP(M$1&amp;"_"&amp;$A72, Predicciones_Master!$A$4:$Q$2000, 7, FALSE) &amp; " - " &amp; VLOOKUP(M$1&amp;"_"&amp;$A72, Predicciones_Master!$A$4:$Q$2000, 8, FALSE), "N/A")</f>
        <v/>
      </c>
      <c r="N72" s="12">
        <f>IF($D72="Por Jugar", "", IFERROR(VLOOKUP(M$1&amp;"_"&amp;$A72, Predicciones_Master!$A$4:$Q$2000, 11, FALSE), 0))</f>
        <v/>
      </c>
      <c r="O72" s="8">
        <f>IFERROR(VLOOKUP(O$1&amp;"_"&amp;$A72, Predicciones_Master!$A$4:$Q$2000, 7, FALSE) &amp; " - " &amp; VLOOKUP(O$1&amp;"_"&amp;$A72, Predicciones_Master!$A$4:$Q$2000, 8, FALSE), "N/A")</f>
        <v/>
      </c>
      <c r="P72" s="12">
        <f>IF($D72="Por Jugar", "", IFERROR(VLOOKUP(O$1&amp;"_"&amp;$A72, Predicciones_Master!$A$4:$Q$2000, 11, FALSE), 0))</f>
        <v/>
      </c>
      <c r="Q72" s="8">
        <f>IFERROR(VLOOKUP(Q$1&amp;"_"&amp;$A72, Predicciones_Master!$A$4:$Q$2000, 7, FALSE) &amp; " - " &amp; VLOOKUP(Q$1&amp;"_"&amp;$A72, Predicciones_Master!$A$4:$Q$2000, 8, FALSE), "N/A")</f>
        <v/>
      </c>
      <c r="R72" s="12">
        <f>IF($D72="Por Jugar", "", IFERROR(VLOOKUP(Q$1&amp;"_"&amp;$A72, Predicciones_Master!$A$4:$Q$2000, 11, FALSE), 0))</f>
        <v/>
      </c>
      <c r="S72" s="8">
        <f>IFERROR(VLOOKUP(S$1&amp;"_"&amp;$A72, Predicciones_Master!$A$4:$Q$2000, 7, FALSE) &amp; " - " &amp; VLOOKUP(S$1&amp;"_"&amp;$A72, Predicciones_Master!$A$4:$Q$2000, 8, FALSE), "N/A")</f>
        <v/>
      </c>
      <c r="T72" s="12">
        <f>IF($D72="Por Jugar", "", IFERROR(VLOOKUP(S$1&amp;"_"&amp;$A72, Predicciones_Master!$A$4:$Q$2000, 11, FALSE), 0))</f>
        <v/>
      </c>
      <c r="U72" s="8">
        <f>IFERROR(VLOOKUP(U$1&amp;"_"&amp;$A72, Predicciones_Master!$A$4:$Q$2000, 7, FALSE) &amp; " - " &amp; VLOOKUP(U$1&amp;"_"&amp;$A72, Predicciones_Master!$A$4:$Q$2000, 8, FALSE), "N/A")</f>
        <v/>
      </c>
      <c r="V72" s="12">
        <f>IF($D72="Por Jugar", "", IFERROR(VLOOKUP(U$1&amp;"_"&amp;$A72, Predicciones_Master!$A$4:$Q$2000, 11, FALSE), 0))</f>
        <v/>
      </c>
      <c r="W72" s="8">
        <f>IFERROR(VLOOKUP(W$1&amp;"_"&amp;$A72, Predicciones_Master!$A$4:$Q$2000, 7, FALSE) &amp; " - " &amp; VLOOKUP(W$1&amp;"_"&amp;$A72, Predicciones_Master!$A$4:$Q$2000, 8, FALSE), "N/A")</f>
        <v/>
      </c>
      <c r="X72" s="12">
        <f>IF($D72="Por Jugar", "", IFERROR(VLOOKUP(W$1&amp;"_"&amp;$A72, Predicciones_Master!$A$4:$Q$2000, 11, FALSE), 0))</f>
        <v/>
      </c>
    </row>
    <row r="73" ht="20" customHeight="1">
      <c r="A73" s="8">
        <f>Resultados_Reales!A73</f>
        <v/>
      </c>
      <c r="B73" s="8">
        <f>Resultados_Reales!B73</f>
        <v/>
      </c>
      <c r="C73" s="9">
        <f>Resultados_Reales!C73 &amp; " vs " &amp; Resultados_Reales!D73</f>
        <v/>
      </c>
      <c r="D73" s="10">
        <f>IF(OR(Resultados_Reales!E73="", Resultados_Reales!F73=""), "Por Jugar", Resultados_Reales!E73 &amp; " - " &amp; Resultados_Reales!F73)</f>
        <v/>
      </c>
      <c r="E73" s="8">
        <f>IFERROR(VLOOKUP(E$1&amp;"_"&amp;$A73, Predicciones_Master!$A$4:$Q$2000, 7, FALSE) &amp; " - " &amp; VLOOKUP(E$1&amp;"_"&amp;$A73, Predicciones_Master!$A$4:$Q$2000, 8, FALSE), "N/A")</f>
        <v/>
      </c>
      <c r="F73" s="12">
        <f>IF($D73="Por Jugar", "", IFERROR(VLOOKUP(E$1&amp;"_"&amp;$A73, Predicciones_Master!$A$4:$Q$2000, 11, FALSE), 0))</f>
        <v/>
      </c>
      <c r="G73" s="8">
        <f>IFERROR(VLOOKUP(G$1&amp;"_"&amp;$A73, Predicciones_Master!$A$4:$Q$2000, 7, FALSE) &amp; " - " &amp; VLOOKUP(G$1&amp;"_"&amp;$A73, Predicciones_Master!$A$4:$Q$2000, 8, FALSE), "N/A")</f>
        <v/>
      </c>
      <c r="H73" s="12">
        <f>IF($D73="Por Jugar", "", IFERROR(VLOOKUP(G$1&amp;"_"&amp;$A73, Predicciones_Master!$A$4:$Q$2000, 11, FALSE), 0))</f>
        <v/>
      </c>
      <c r="I73" s="8">
        <f>IFERROR(VLOOKUP(I$1&amp;"_"&amp;$A73, Predicciones_Master!$A$4:$Q$2000, 7, FALSE) &amp; " - " &amp; VLOOKUP(I$1&amp;"_"&amp;$A73, Predicciones_Master!$A$4:$Q$2000, 8, FALSE), "N/A")</f>
        <v/>
      </c>
      <c r="J73" s="12">
        <f>IF($D73="Por Jugar", "", IFERROR(VLOOKUP(I$1&amp;"_"&amp;$A73, Predicciones_Master!$A$4:$Q$2000, 11, FALSE), 0))</f>
        <v/>
      </c>
      <c r="K73" s="8">
        <f>IFERROR(VLOOKUP(K$1&amp;"_"&amp;$A73, Predicciones_Master!$A$4:$Q$2000, 7, FALSE) &amp; " - " &amp; VLOOKUP(K$1&amp;"_"&amp;$A73, Predicciones_Master!$A$4:$Q$2000, 8, FALSE), "N/A")</f>
        <v/>
      </c>
      <c r="L73" s="12">
        <f>IF($D73="Por Jugar", "", IFERROR(VLOOKUP(K$1&amp;"_"&amp;$A73, Predicciones_Master!$A$4:$Q$2000, 11, FALSE), 0))</f>
        <v/>
      </c>
      <c r="M73" s="8">
        <f>IFERROR(VLOOKUP(M$1&amp;"_"&amp;$A73, Predicciones_Master!$A$4:$Q$2000, 7, FALSE) &amp; " - " &amp; VLOOKUP(M$1&amp;"_"&amp;$A73, Predicciones_Master!$A$4:$Q$2000, 8, FALSE), "N/A")</f>
        <v/>
      </c>
      <c r="N73" s="12">
        <f>IF($D73="Por Jugar", "", IFERROR(VLOOKUP(M$1&amp;"_"&amp;$A73, Predicciones_Master!$A$4:$Q$2000, 11, FALSE), 0))</f>
        <v/>
      </c>
      <c r="O73" s="8">
        <f>IFERROR(VLOOKUP(O$1&amp;"_"&amp;$A73, Predicciones_Master!$A$4:$Q$2000, 7, FALSE) &amp; " - " &amp; VLOOKUP(O$1&amp;"_"&amp;$A73, Predicciones_Master!$A$4:$Q$2000, 8, FALSE), "N/A")</f>
        <v/>
      </c>
      <c r="P73" s="12">
        <f>IF($D73="Por Jugar", "", IFERROR(VLOOKUP(O$1&amp;"_"&amp;$A73, Predicciones_Master!$A$4:$Q$2000, 11, FALSE), 0))</f>
        <v/>
      </c>
      <c r="Q73" s="8">
        <f>IFERROR(VLOOKUP(Q$1&amp;"_"&amp;$A73, Predicciones_Master!$A$4:$Q$2000, 7, FALSE) &amp; " - " &amp; VLOOKUP(Q$1&amp;"_"&amp;$A73, Predicciones_Master!$A$4:$Q$2000, 8, FALSE), "N/A")</f>
        <v/>
      </c>
      <c r="R73" s="12">
        <f>IF($D73="Por Jugar", "", IFERROR(VLOOKUP(Q$1&amp;"_"&amp;$A73, Predicciones_Master!$A$4:$Q$2000, 11, FALSE), 0))</f>
        <v/>
      </c>
      <c r="S73" s="8">
        <f>IFERROR(VLOOKUP(S$1&amp;"_"&amp;$A73, Predicciones_Master!$A$4:$Q$2000, 7, FALSE) &amp; " - " &amp; VLOOKUP(S$1&amp;"_"&amp;$A73, Predicciones_Master!$A$4:$Q$2000, 8, FALSE), "N/A")</f>
        <v/>
      </c>
      <c r="T73" s="12">
        <f>IF($D73="Por Jugar", "", IFERROR(VLOOKUP(S$1&amp;"_"&amp;$A73, Predicciones_Master!$A$4:$Q$2000, 11, FALSE), 0))</f>
        <v/>
      </c>
      <c r="U73" s="8">
        <f>IFERROR(VLOOKUP(U$1&amp;"_"&amp;$A73, Predicciones_Master!$A$4:$Q$2000, 7, FALSE) &amp; " - " &amp; VLOOKUP(U$1&amp;"_"&amp;$A73, Predicciones_Master!$A$4:$Q$2000, 8, FALSE), "N/A")</f>
        <v/>
      </c>
      <c r="V73" s="12">
        <f>IF($D73="Por Jugar", "", IFERROR(VLOOKUP(U$1&amp;"_"&amp;$A73, Predicciones_Master!$A$4:$Q$2000, 11, FALSE), 0))</f>
        <v/>
      </c>
      <c r="W73" s="8">
        <f>IFERROR(VLOOKUP(W$1&amp;"_"&amp;$A73, Predicciones_Master!$A$4:$Q$2000, 7, FALSE) &amp; " - " &amp; VLOOKUP(W$1&amp;"_"&amp;$A73, Predicciones_Master!$A$4:$Q$2000, 8, FALSE), "N/A")</f>
        <v/>
      </c>
      <c r="X73" s="12">
        <f>IF($D73="Por Jugar", "", IFERROR(VLOOKUP(W$1&amp;"_"&amp;$A73, Predicciones_Master!$A$4:$Q$2000, 11, FALSE), 0))</f>
        <v/>
      </c>
    </row>
    <row r="74" ht="20" customHeight="1">
      <c r="A74" s="8">
        <f>Resultados_Reales!A74</f>
        <v/>
      </c>
      <c r="B74" s="8">
        <f>Resultados_Reales!B74</f>
        <v/>
      </c>
      <c r="C74" s="9">
        <f>Resultados_Reales!C74 &amp; " vs " &amp; Resultados_Reales!D74</f>
        <v/>
      </c>
      <c r="D74" s="10">
        <f>IF(OR(Resultados_Reales!E74="", Resultados_Reales!F74=""), "Por Jugar", Resultados_Reales!E74 &amp; " - " &amp; Resultados_Reales!F74)</f>
        <v/>
      </c>
      <c r="E74" s="8">
        <f>IFERROR(VLOOKUP(E$1&amp;"_"&amp;$A74, Predicciones_Master!$A$4:$Q$2000, 7, FALSE) &amp; " - " &amp; VLOOKUP(E$1&amp;"_"&amp;$A74, Predicciones_Master!$A$4:$Q$2000, 8, FALSE), "N/A")</f>
        <v/>
      </c>
      <c r="F74" s="12">
        <f>IF($D74="Por Jugar", "", IFERROR(VLOOKUP(E$1&amp;"_"&amp;$A74, Predicciones_Master!$A$4:$Q$2000, 11, FALSE), 0))</f>
        <v/>
      </c>
      <c r="G74" s="8">
        <f>IFERROR(VLOOKUP(G$1&amp;"_"&amp;$A74, Predicciones_Master!$A$4:$Q$2000, 7, FALSE) &amp; " - " &amp; VLOOKUP(G$1&amp;"_"&amp;$A74, Predicciones_Master!$A$4:$Q$2000, 8, FALSE), "N/A")</f>
        <v/>
      </c>
      <c r="H74" s="12">
        <f>IF($D74="Por Jugar", "", IFERROR(VLOOKUP(G$1&amp;"_"&amp;$A74, Predicciones_Master!$A$4:$Q$2000, 11, FALSE), 0))</f>
        <v/>
      </c>
      <c r="I74" s="8">
        <f>IFERROR(VLOOKUP(I$1&amp;"_"&amp;$A74, Predicciones_Master!$A$4:$Q$2000, 7, FALSE) &amp; " - " &amp; VLOOKUP(I$1&amp;"_"&amp;$A74, Predicciones_Master!$A$4:$Q$2000, 8, FALSE), "N/A")</f>
        <v/>
      </c>
      <c r="J74" s="12">
        <f>IF($D74="Por Jugar", "", IFERROR(VLOOKUP(I$1&amp;"_"&amp;$A74, Predicciones_Master!$A$4:$Q$2000, 11, FALSE), 0))</f>
        <v/>
      </c>
      <c r="K74" s="8">
        <f>IFERROR(VLOOKUP(K$1&amp;"_"&amp;$A74, Predicciones_Master!$A$4:$Q$2000, 7, FALSE) &amp; " - " &amp; VLOOKUP(K$1&amp;"_"&amp;$A74, Predicciones_Master!$A$4:$Q$2000, 8, FALSE), "N/A")</f>
        <v/>
      </c>
      <c r="L74" s="12">
        <f>IF($D74="Por Jugar", "", IFERROR(VLOOKUP(K$1&amp;"_"&amp;$A74, Predicciones_Master!$A$4:$Q$2000, 11, FALSE), 0))</f>
        <v/>
      </c>
      <c r="M74" s="8">
        <f>IFERROR(VLOOKUP(M$1&amp;"_"&amp;$A74, Predicciones_Master!$A$4:$Q$2000, 7, FALSE) &amp; " - " &amp; VLOOKUP(M$1&amp;"_"&amp;$A74, Predicciones_Master!$A$4:$Q$2000, 8, FALSE), "N/A")</f>
        <v/>
      </c>
      <c r="N74" s="12">
        <f>IF($D74="Por Jugar", "", IFERROR(VLOOKUP(M$1&amp;"_"&amp;$A74, Predicciones_Master!$A$4:$Q$2000, 11, FALSE), 0))</f>
        <v/>
      </c>
      <c r="O74" s="8">
        <f>IFERROR(VLOOKUP(O$1&amp;"_"&amp;$A74, Predicciones_Master!$A$4:$Q$2000, 7, FALSE) &amp; " - " &amp; VLOOKUP(O$1&amp;"_"&amp;$A74, Predicciones_Master!$A$4:$Q$2000, 8, FALSE), "N/A")</f>
        <v/>
      </c>
      <c r="P74" s="12">
        <f>IF($D74="Por Jugar", "", IFERROR(VLOOKUP(O$1&amp;"_"&amp;$A74, Predicciones_Master!$A$4:$Q$2000, 11, FALSE), 0))</f>
        <v/>
      </c>
      <c r="Q74" s="8">
        <f>IFERROR(VLOOKUP(Q$1&amp;"_"&amp;$A74, Predicciones_Master!$A$4:$Q$2000, 7, FALSE) &amp; " - " &amp; VLOOKUP(Q$1&amp;"_"&amp;$A74, Predicciones_Master!$A$4:$Q$2000, 8, FALSE), "N/A")</f>
        <v/>
      </c>
      <c r="R74" s="12">
        <f>IF($D74="Por Jugar", "", IFERROR(VLOOKUP(Q$1&amp;"_"&amp;$A74, Predicciones_Master!$A$4:$Q$2000, 11, FALSE), 0))</f>
        <v/>
      </c>
      <c r="S74" s="8">
        <f>IFERROR(VLOOKUP(S$1&amp;"_"&amp;$A74, Predicciones_Master!$A$4:$Q$2000, 7, FALSE) &amp; " - " &amp; VLOOKUP(S$1&amp;"_"&amp;$A74, Predicciones_Master!$A$4:$Q$2000, 8, FALSE), "N/A")</f>
        <v/>
      </c>
      <c r="T74" s="12">
        <f>IF($D74="Por Jugar", "", IFERROR(VLOOKUP(S$1&amp;"_"&amp;$A74, Predicciones_Master!$A$4:$Q$2000, 11, FALSE), 0))</f>
        <v/>
      </c>
      <c r="U74" s="8">
        <f>IFERROR(VLOOKUP(U$1&amp;"_"&amp;$A74, Predicciones_Master!$A$4:$Q$2000, 7, FALSE) &amp; " - " &amp; VLOOKUP(U$1&amp;"_"&amp;$A74, Predicciones_Master!$A$4:$Q$2000, 8, FALSE), "N/A")</f>
        <v/>
      </c>
      <c r="V74" s="12">
        <f>IF($D74="Por Jugar", "", IFERROR(VLOOKUP(U$1&amp;"_"&amp;$A74, Predicciones_Master!$A$4:$Q$2000, 11, FALSE), 0))</f>
        <v/>
      </c>
      <c r="W74" s="8">
        <f>IFERROR(VLOOKUP(W$1&amp;"_"&amp;$A74, Predicciones_Master!$A$4:$Q$2000, 7, FALSE) &amp; " - " &amp; VLOOKUP(W$1&amp;"_"&amp;$A74, Predicciones_Master!$A$4:$Q$2000, 8, FALSE), "N/A")</f>
        <v/>
      </c>
      <c r="X74" s="12">
        <f>IF($D74="Por Jugar", "", IFERROR(VLOOKUP(W$1&amp;"_"&amp;$A74, Predicciones_Master!$A$4:$Q$2000, 11, FALSE), 0))</f>
        <v/>
      </c>
    </row>
    <row r="75" ht="20" customHeight="1">
      <c r="A75" s="8">
        <f>Resultados_Reales!A75</f>
        <v/>
      </c>
      <c r="B75" s="8">
        <f>Resultados_Reales!B75</f>
        <v/>
      </c>
      <c r="C75" s="9">
        <f>Resultados_Reales!C75 &amp; " vs " &amp; Resultados_Reales!D75</f>
        <v/>
      </c>
      <c r="D75" s="10">
        <f>IF(OR(Resultados_Reales!E75="", Resultados_Reales!F75=""), "Por Jugar", Resultados_Reales!E75 &amp; " - " &amp; Resultados_Reales!F75)</f>
        <v/>
      </c>
      <c r="E75" s="8">
        <f>IFERROR(VLOOKUP(E$1&amp;"_"&amp;$A75, Predicciones_Master!$A$4:$Q$2000, 7, FALSE) &amp; " - " &amp; VLOOKUP(E$1&amp;"_"&amp;$A75, Predicciones_Master!$A$4:$Q$2000, 8, FALSE), "N/A")</f>
        <v/>
      </c>
      <c r="F75" s="12">
        <f>IF($D75="Por Jugar", "", IFERROR(VLOOKUP(E$1&amp;"_"&amp;$A75, Predicciones_Master!$A$4:$Q$2000, 11, FALSE), 0))</f>
        <v/>
      </c>
      <c r="G75" s="8">
        <f>IFERROR(VLOOKUP(G$1&amp;"_"&amp;$A75, Predicciones_Master!$A$4:$Q$2000, 7, FALSE) &amp; " - " &amp; VLOOKUP(G$1&amp;"_"&amp;$A75, Predicciones_Master!$A$4:$Q$2000, 8, FALSE), "N/A")</f>
        <v/>
      </c>
      <c r="H75" s="12">
        <f>IF($D75="Por Jugar", "", IFERROR(VLOOKUP(G$1&amp;"_"&amp;$A75, Predicciones_Master!$A$4:$Q$2000, 11, FALSE), 0))</f>
        <v/>
      </c>
      <c r="I75" s="8">
        <f>IFERROR(VLOOKUP(I$1&amp;"_"&amp;$A75, Predicciones_Master!$A$4:$Q$2000, 7, FALSE) &amp; " - " &amp; VLOOKUP(I$1&amp;"_"&amp;$A75, Predicciones_Master!$A$4:$Q$2000, 8, FALSE), "N/A")</f>
        <v/>
      </c>
      <c r="J75" s="12">
        <f>IF($D75="Por Jugar", "", IFERROR(VLOOKUP(I$1&amp;"_"&amp;$A75, Predicciones_Master!$A$4:$Q$2000, 11, FALSE), 0))</f>
        <v/>
      </c>
      <c r="K75" s="8">
        <f>IFERROR(VLOOKUP(K$1&amp;"_"&amp;$A75, Predicciones_Master!$A$4:$Q$2000, 7, FALSE) &amp; " - " &amp; VLOOKUP(K$1&amp;"_"&amp;$A75, Predicciones_Master!$A$4:$Q$2000, 8, FALSE), "N/A")</f>
        <v/>
      </c>
      <c r="L75" s="12">
        <f>IF($D75="Por Jugar", "", IFERROR(VLOOKUP(K$1&amp;"_"&amp;$A75, Predicciones_Master!$A$4:$Q$2000, 11, FALSE), 0))</f>
        <v/>
      </c>
      <c r="M75" s="8">
        <f>IFERROR(VLOOKUP(M$1&amp;"_"&amp;$A75, Predicciones_Master!$A$4:$Q$2000, 7, FALSE) &amp; " - " &amp; VLOOKUP(M$1&amp;"_"&amp;$A75, Predicciones_Master!$A$4:$Q$2000, 8, FALSE), "N/A")</f>
        <v/>
      </c>
      <c r="N75" s="12">
        <f>IF($D75="Por Jugar", "", IFERROR(VLOOKUP(M$1&amp;"_"&amp;$A75, Predicciones_Master!$A$4:$Q$2000, 11, FALSE), 0))</f>
        <v/>
      </c>
      <c r="O75" s="8">
        <f>IFERROR(VLOOKUP(O$1&amp;"_"&amp;$A75, Predicciones_Master!$A$4:$Q$2000, 7, FALSE) &amp; " - " &amp; VLOOKUP(O$1&amp;"_"&amp;$A75, Predicciones_Master!$A$4:$Q$2000, 8, FALSE), "N/A")</f>
        <v/>
      </c>
      <c r="P75" s="12">
        <f>IF($D75="Por Jugar", "", IFERROR(VLOOKUP(O$1&amp;"_"&amp;$A75, Predicciones_Master!$A$4:$Q$2000, 11, FALSE), 0))</f>
        <v/>
      </c>
      <c r="Q75" s="8">
        <f>IFERROR(VLOOKUP(Q$1&amp;"_"&amp;$A75, Predicciones_Master!$A$4:$Q$2000, 7, FALSE) &amp; " - " &amp; VLOOKUP(Q$1&amp;"_"&amp;$A75, Predicciones_Master!$A$4:$Q$2000, 8, FALSE), "N/A")</f>
        <v/>
      </c>
      <c r="R75" s="12">
        <f>IF($D75="Por Jugar", "", IFERROR(VLOOKUP(Q$1&amp;"_"&amp;$A75, Predicciones_Master!$A$4:$Q$2000, 11, FALSE), 0))</f>
        <v/>
      </c>
      <c r="S75" s="8">
        <f>IFERROR(VLOOKUP(S$1&amp;"_"&amp;$A75, Predicciones_Master!$A$4:$Q$2000, 7, FALSE) &amp; " - " &amp; VLOOKUP(S$1&amp;"_"&amp;$A75, Predicciones_Master!$A$4:$Q$2000, 8, FALSE), "N/A")</f>
        <v/>
      </c>
      <c r="T75" s="12">
        <f>IF($D75="Por Jugar", "", IFERROR(VLOOKUP(S$1&amp;"_"&amp;$A75, Predicciones_Master!$A$4:$Q$2000, 11, FALSE), 0))</f>
        <v/>
      </c>
      <c r="U75" s="8">
        <f>IFERROR(VLOOKUP(U$1&amp;"_"&amp;$A75, Predicciones_Master!$A$4:$Q$2000, 7, FALSE) &amp; " - " &amp; VLOOKUP(U$1&amp;"_"&amp;$A75, Predicciones_Master!$A$4:$Q$2000, 8, FALSE), "N/A")</f>
        <v/>
      </c>
      <c r="V75" s="12">
        <f>IF($D75="Por Jugar", "", IFERROR(VLOOKUP(U$1&amp;"_"&amp;$A75, Predicciones_Master!$A$4:$Q$2000, 11, FALSE), 0))</f>
        <v/>
      </c>
      <c r="W75" s="8">
        <f>IFERROR(VLOOKUP(W$1&amp;"_"&amp;$A75, Predicciones_Master!$A$4:$Q$2000, 7, FALSE) &amp; " - " &amp; VLOOKUP(W$1&amp;"_"&amp;$A75, Predicciones_Master!$A$4:$Q$2000, 8, FALSE), "N/A")</f>
        <v/>
      </c>
      <c r="X75" s="12">
        <f>IF($D75="Por Jugar", "", IFERROR(VLOOKUP(W$1&amp;"_"&amp;$A75, Predicciones_Master!$A$4:$Q$2000, 11, FALSE), 0))</f>
        <v/>
      </c>
    </row>
    <row r="76" ht="20" customHeight="1">
      <c r="A76" s="8">
        <f>Resultados_Reales!A76</f>
        <v/>
      </c>
      <c r="B76" s="8">
        <f>Resultados_Reales!B76</f>
        <v/>
      </c>
      <c r="C76" s="9">
        <f>Resultados_Reales!C76 &amp; " vs " &amp; Resultados_Reales!D76</f>
        <v/>
      </c>
      <c r="D76" s="10">
        <f>IF(OR(Resultados_Reales!E76="", Resultados_Reales!F76=""), "Por Jugar", Resultados_Reales!E76 &amp; " - " &amp; Resultados_Reales!F76)</f>
        <v/>
      </c>
      <c r="E76" s="8">
        <f>IFERROR(VLOOKUP(E$1&amp;"_"&amp;$A76, Predicciones_Master!$A$4:$Q$2000, 7, FALSE) &amp; " - " &amp; VLOOKUP(E$1&amp;"_"&amp;$A76, Predicciones_Master!$A$4:$Q$2000, 8, FALSE), "N/A")</f>
        <v/>
      </c>
      <c r="F76" s="12">
        <f>IF($D76="Por Jugar", "", IFERROR(VLOOKUP(E$1&amp;"_"&amp;$A76, Predicciones_Master!$A$4:$Q$2000, 11, FALSE), 0))</f>
        <v/>
      </c>
      <c r="G76" s="8">
        <f>IFERROR(VLOOKUP(G$1&amp;"_"&amp;$A76, Predicciones_Master!$A$4:$Q$2000, 7, FALSE) &amp; " - " &amp; VLOOKUP(G$1&amp;"_"&amp;$A76, Predicciones_Master!$A$4:$Q$2000, 8, FALSE), "N/A")</f>
        <v/>
      </c>
      <c r="H76" s="12">
        <f>IF($D76="Por Jugar", "", IFERROR(VLOOKUP(G$1&amp;"_"&amp;$A76, Predicciones_Master!$A$4:$Q$2000, 11, FALSE), 0))</f>
        <v/>
      </c>
      <c r="I76" s="8">
        <f>IFERROR(VLOOKUP(I$1&amp;"_"&amp;$A76, Predicciones_Master!$A$4:$Q$2000, 7, FALSE) &amp; " - " &amp; VLOOKUP(I$1&amp;"_"&amp;$A76, Predicciones_Master!$A$4:$Q$2000, 8, FALSE), "N/A")</f>
        <v/>
      </c>
      <c r="J76" s="12">
        <f>IF($D76="Por Jugar", "", IFERROR(VLOOKUP(I$1&amp;"_"&amp;$A76, Predicciones_Master!$A$4:$Q$2000, 11, FALSE), 0))</f>
        <v/>
      </c>
      <c r="K76" s="8">
        <f>IFERROR(VLOOKUP(K$1&amp;"_"&amp;$A76, Predicciones_Master!$A$4:$Q$2000, 7, FALSE) &amp; " - " &amp; VLOOKUP(K$1&amp;"_"&amp;$A76, Predicciones_Master!$A$4:$Q$2000, 8, FALSE), "N/A")</f>
        <v/>
      </c>
      <c r="L76" s="12">
        <f>IF($D76="Por Jugar", "", IFERROR(VLOOKUP(K$1&amp;"_"&amp;$A76, Predicciones_Master!$A$4:$Q$2000, 11, FALSE), 0))</f>
        <v/>
      </c>
      <c r="M76" s="8">
        <f>IFERROR(VLOOKUP(M$1&amp;"_"&amp;$A76, Predicciones_Master!$A$4:$Q$2000, 7, FALSE) &amp; " - " &amp; VLOOKUP(M$1&amp;"_"&amp;$A76, Predicciones_Master!$A$4:$Q$2000, 8, FALSE), "N/A")</f>
        <v/>
      </c>
      <c r="N76" s="12">
        <f>IF($D76="Por Jugar", "", IFERROR(VLOOKUP(M$1&amp;"_"&amp;$A76, Predicciones_Master!$A$4:$Q$2000, 11, FALSE), 0))</f>
        <v/>
      </c>
      <c r="O76" s="8">
        <f>IFERROR(VLOOKUP(O$1&amp;"_"&amp;$A76, Predicciones_Master!$A$4:$Q$2000, 7, FALSE) &amp; " - " &amp; VLOOKUP(O$1&amp;"_"&amp;$A76, Predicciones_Master!$A$4:$Q$2000, 8, FALSE), "N/A")</f>
        <v/>
      </c>
      <c r="P76" s="12">
        <f>IF($D76="Por Jugar", "", IFERROR(VLOOKUP(O$1&amp;"_"&amp;$A76, Predicciones_Master!$A$4:$Q$2000, 11, FALSE), 0))</f>
        <v/>
      </c>
      <c r="Q76" s="8">
        <f>IFERROR(VLOOKUP(Q$1&amp;"_"&amp;$A76, Predicciones_Master!$A$4:$Q$2000, 7, FALSE) &amp; " - " &amp; VLOOKUP(Q$1&amp;"_"&amp;$A76, Predicciones_Master!$A$4:$Q$2000, 8, FALSE), "N/A")</f>
        <v/>
      </c>
      <c r="R76" s="12">
        <f>IF($D76="Por Jugar", "", IFERROR(VLOOKUP(Q$1&amp;"_"&amp;$A76, Predicciones_Master!$A$4:$Q$2000, 11, FALSE), 0))</f>
        <v/>
      </c>
      <c r="S76" s="8">
        <f>IFERROR(VLOOKUP(S$1&amp;"_"&amp;$A76, Predicciones_Master!$A$4:$Q$2000, 7, FALSE) &amp; " - " &amp; VLOOKUP(S$1&amp;"_"&amp;$A76, Predicciones_Master!$A$4:$Q$2000, 8, FALSE), "N/A")</f>
        <v/>
      </c>
      <c r="T76" s="12">
        <f>IF($D76="Por Jugar", "", IFERROR(VLOOKUP(S$1&amp;"_"&amp;$A76, Predicciones_Master!$A$4:$Q$2000, 11, FALSE), 0))</f>
        <v/>
      </c>
      <c r="U76" s="8">
        <f>IFERROR(VLOOKUP(U$1&amp;"_"&amp;$A76, Predicciones_Master!$A$4:$Q$2000, 7, FALSE) &amp; " - " &amp; VLOOKUP(U$1&amp;"_"&amp;$A76, Predicciones_Master!$A$4:$Q$2000, 8, FALSE), "N/A")</f>
        <v/>
      </c>
      <c r="V76" s="12">
        <f>IF($D76="Por Jugar", "", IFERROR(VLOOKUP(U$1&amp;"_"&amp;$A76, Predicciones_Master!$A$4:$Q$2000, 11, FALSE), 0))</f>
        <v/>
      </c>
      <c r="W76" s="8">
        <f>IFERROR(VLOOKUP(W$1&amp;"_"&amp;$A76, Predicciones_Master!$A$4:$Q$2000, 7, FALSE) &amp; " - " &amp; VLOOKUP(W$1&amp;"_"&amp;$A76, Predicciones_Master!$A$4:$Q$2000, 8, FALSE), "N/A")</f>
        <v/>
      </c>
      <c r="X76" s="12">
        <f>IF($D76="Por Jugar", "", IFERROR(VLOOKUP(W$1&amp;"_"&amp;$A76, Predicciones_Master!$A$4:$Q$2000, 11, FALSE), 0))</f>
        <v/>
      </c>
    </row>
    <row r="77" ht="20" customHeight="1">
      <c r="A77" s="8">
        <f>Resultados_Reales!A77</f>
        <v/>
      </c>
      <c r="B77" s="8">
        <f>Resultados_Reales!B77</f>
        <v/>
      </c>
      <c r="C77" s="9">
        <f>Resultados_Reales!C77 &amp; " vs " &amp; Resultados_Reales!D77</f>
        <v/>
      </c>
      <c r="D77" s="10">
        <f>IF(OR(Resultados_Reales!E77="", Resultados_Reales!F77=""), "Por Jugar", Resultados_Reales!E77 &amp; " - " &amp; Resultados_Reales!F77)</f>
        <v/>
      </c>
      <c r="E77" s="8">
        <f>IFERROR(VLOOKUP(E$1&amp;"_"&amp;$A77, Predicciones_Master!$A$4:$Q$2000, 7, FALSE) &amp; " - " &amp; VLOOKUP(E$1&amp;"_"&amp;$A77, Predicciones_Master!$A$4:$Q$2000, 8, FALSE), "N/A")</f>
        <v/>
      </c>
      <c r="F77" s="12">
        <f>IF($D77="Por Jugar", "", IFERROR(VLOOKUP(E$1&amp;"_"&amp;$A77, Predicciones_Master!$A$4:$Q$2000, 11, FALSE), 0))</f>
        <v/>
      </c>
      <c r="G77" s="8">
        <f>IFERROR(VLOOKUP(G$1&amp;"_"&amp;$A77, Predicciones_Master!$A$4:$Q$2000, 7, FALSE) &amp; " - " &amp; VLOOKUP(G$1&amp;"_"&amp;$A77, Predicciones_Master!$A$4:$Q$2000, 8, FALSE), "N/A")</f>
        <v/>
      </c>
      <c r="H77" s="12">
        <f>IF($D77="Por Jugar", "", IFERROR(VLOOKUP(G$1&amp;"_"&amp;$A77, Predicciones_Master!$A$4:$Q$2000, 11, FALSE), 0))</f>
        <v/>
      </c>
      <c r="I77" s="8">
        <f>IFERROR(VLOOKUP(I$1&amp;"_"&amp;$A77, Predicciones_Master!$A$4:$Q$2000, 7, FALSE) &amp; " - " &amp; VLOOKUP(I$1&amp;"_"&amp;$A77, Predicciones_Master!$A$4:$Q$2000, 8, FALSE), "N/A")</f>
        <v/>
      </c>
      <c r="J77" s="12">
        <f>IF($D77="Por Jugar", "", IFERROR(VLOOKUP(I$1&amp;"_"&amp;$A77, Predicciones_Master!$A$4:$Q$2000, 11, FALSE), 0))</f>
        <v/>
      </c>
      <c r="K77" s="8">
        <f>IFERROR(VLOOKUP(K$1&amp;"_"&amp;$A77, Predicciones_Master!$A$4:$Q$2000, 7, FALSE) &amp; " - " &amp; VLOOKUP(K$1&amp;"_"&amp;$A77, Predicciones_Master!$A$4:$Q$2000, 8, FALSE), "N/A")</f>
        <v/>
      </c>
      <c r="L77" s="12">
        <f>IF($D77="Por Jugar", "", IFERROR(VLOOKUP(K$1&amp;"_"&amp;$A77, Predicciones_Master!$A$4:$Q$2000, 11, FALSE), 0))</f>
        <v/>
      </c>
      <c r="M77" s="8">
        <f>IFERROR(VLOOKUP(M$1&amp;"_"&amp;$A77, Predicciones_Master!$A$4:$Q$2000, 7, FALSE) &amp; " - " &amp; VLOOKUP(M$1&amp;"_"&amp;$A77, Predicciones_Master!$A$4:$Q$2000, 8, FALSE), "N/A")</f>
        <v/>
      </c>
      <c r="N77" s="12">
        <f>IF($D77="Por Jugar", "", IFERROR(VLOOKUP(M$1&amp;"_"&amp;$A77, Predicciones_Master!$A$4:$Q$2000, 11, FALSE), 0))</f>
        <v/>
      </c>
      <c r="O77" s="8">
        <f>IFERROR(VLOOKUP(O$1&amp;"_"&amp;$A77, Predicciones_Master!$A$4:$Q$2000, 7, FALSE) &amp; " - " &amp; VLOOKUP(O$1&amp;"_"&amp;$A77, Predicciones_Master!$A$4:$Q$2000, 8, FALSE), "N/A")</f>
        <v/>
      </c>
      <c r="P77" s="12">
        <f>IF($D77="Por Jugar", "", IFERROR(VLOOKUP(O$1&amp;"_"&amp;$A77, Predicciones_Master!$A$4:$Q$2000, 11, FALSE), 0))</f>
        <v/>
      </c>
      <c r="Q77" s="8">
        <f>IFERROR(VLOOKUP(Q$1&amp;"_"&amp;$A77, Predicciones_Master!$A$4:$Q$2000, 7, FALSE) &amp; " - " &amp; VLOOKUP(Q$1&amp;"_"&amp;$A77, Predicciones_Master!$A$4:$Q$2000, 8, FALSE), "N/A")</f>
        <v/>
      </c>
      <c r="R77" s="12">
        <f>IF($D77="Por Jugar", "", IFERROR(VLOOKUP(Q$1&amp;"_"&amp;$A77, Predicciones_Master!$A$4:$Q$2000, 11, FALSE), 0))</f>
        <v/>
      </c>
      <c r="S77" s="8">
        <f>IFERROR(VLOOKUP(S$1&amp;"_"&amp;$A77, Predicciones_Master!$A$4:$Q$2000, 7, FALSE) &amp; " - " &amp; VLOOKUP(S$1&amp;"_"&amp;$A77, Predicciones_Master!$A$4:$Q$2000, 8, FALSE), "N/A")</f>
        <v/>
      </c>
      <c r="T77" s="12">
        <f>IF($D77="Por Jugar", "", IFERROR(VLOOKUP(S$1&amp;"_"&amp;$A77, Predicciones_Master!$A$4:$Q$2000, 11, FALSE), 0))</f>
        <v/>
      </c>
      <c r="U77" s="8">
        <f>IFERROR(VLOOKUP(U$1&amp;"_"&amp;$A77, Predicciones_Master!$A$4:$Q$2000, 7, FALSE) &amp; " - " &amp; VLOOKUP(U$1&amp;"_"&amp;$A77, Predicciones_Master!$A$4:$Q$2000, 8, FALSE), "N/A")</f>
        <v/>
      </c>
      <c r="V77" s="12">
        <f>IF($D77="Por Jugar", "", IFERROR(VLOOKUP(U$1&amp;"_"&amp;$A77, Predicciones_Master!$A$4:$Q$2000, 11, FALSE), 0))</f>
        <v/>
      </c>
      <c r="W77" s="8">
        <f>IFERROR(VLOOKUP(W$1&amp;"_"&amp;$A77, Predicciones_Master!$A$4:$Q$2000, 7, FALSE) &amp; " - " &amp; VLOOKUP(W$1&amp;"_"&amp;$A77, Predicciones_Master!$A$4:$Q$2000, 8, FALSE), "N/A")</f>
        <v/>
      </c>
      <c r="X77" s="12">
        <f>IF($D77="Por Jugar", "", IFERROR(VLOOKUP(W$1&amp;"_"&amp;$A77, Predicciones_Master!$A$4:$Q$2000, 11, FALSE), 0))</f>
        <v/>
      </c>
    </row>
    <row r="78" ht="20" customHeight="1">
      <c r="A78" s="8">
        <f>Resultados_Reales!A78</f>
        <v/>
      </c>
      <c r="B78" s="8">
        <f>Resultados_Reales!B78</f>
        <v/>
      </c>
      <c r="C78" s="9">
        <f>Resultados_Reales!C78 &amp; " vs " &amp; Resultados_Reales!D78</f>
        <v/>
      </c>
      <c r="D78" s="10">
        <f>IF(OR(Resultados_Reales!E78="", Resultados_Reales!F78=""), "Por Jugar", Resultados_Reales!E78 &amp; " - " &amp; Resultados_Reales!F78)</f>
        <v/>
      </c>
      <c r="E78" s="8">
        <f>IFERROR(VLOOKUP(E$1&amp;"_"&amp;$A78, Predicciones_Master!$A$4:$Q$2000, 7, FALSE) &amp; " - " &amp; VLOOKUP(E$1&amp;"_"&amp;$A78, Predicciones_Master!$A$4:$Q$2000, 8, FALSE), "N/A")</f>
        <v/>
      </c>
      <c r="F78" s="12">
        <f>IF($D78="Por Jugar", "", IFERROR(VLOOKUP(E$1&amp;"_"&amp;$A78, Predicciones_Master!$A$4:$Q$2000, 11, FALSE), 0))</f>
        <v/>
      </c>
      <c r="G78" s="8">
        <f>IFERROR(VLOOKUP(G$1&amp;"_"&amp;$A78, Predicciones_Master!$A$4:$Q$2000, 7, FALSE) &amp; " - " &amp; VLOOKUP(G$1&amp;"_"&amp;$A78, Predicciones_Master!$A$4:$Q$2000, 8, FALSE), "N/A")</f>
        <v/>
      </c>
      <c r="H78" s="12">
        <f>IF($D78="Por Jugar", "", IFERROR(VLOOKUP(G$1&amp;"_"&amp;$A78, Predicciones_Master!$A$4:$Q$2000, 11, FALSE), 0))</f>
        <v/>
      </c>
      <c r="I78" s="8">
        <f>IFERROR(VLOOKUP(I$1&amp;"_"&amp;$A78, Predicciones_Master!$A$4:$Q$2000, 7, FALSE) &amp; " - " &amp; VLOOKUP(I$1&amp;"_"&amp;$A78, Predicciones_Master!$A$4:$Q$2000, 8, FALSE), "N/A")</f>
        <v/>
      </c>
      <c r="J78" s="12">
        <f>IF($D78="Por Jugar", "", IFERROR(VLOOKUP(I$1&amp;"_"&amp;$A78, Predicciones_Master!$A$4:$Q$2000, 11, FALSE), 0))</f>
        <v/>
      </c>
      <c r="K78" s="8">
        <f>IFERROR(VLOOKUP(K$1&amp;"_"&amp;$A78, Predicciones_Master!$A$4:$Q$2000, 7, FALSE) &amp; " - " &amp; VLOOKUP(K$1&amp;"_"&amp;$A78, Predicciones_Master!$A$4:$Q$2000, 8, FALSE), "N/A")</f>
        <v/>
      </c>
      <c r="L78" s="12">
        <f>IF($D78="Por Jugar", "", IFERROR(VLOOKUP(K$1&amp;"_"&amp;$A78, Predicciones_Master!$A$4:$Q$2000, 11, FALSE), 0))</f>
        <v/>
      </c>
      <c r="M78" s="8">
        <f>IFERROR(VLOOKUP(M$1&amp;"_"&amp;$A78, Predicciones_Master!$A$4:$Q$2000, 7, FALSE) &amp; " - " &amp; VLOOKUP(M$1&amp;"_"&amp;$A78, Predicciones_Master!$A$4:$Q$2000, 8, FALSE), "N/A")</f>
        <v/>
      </c>
      <c r="N78" s="12">
        <f>IF($D78="Por Jugar", "", IFERROR(VLOOKUP(M$1&amp;"_"&amp;$A78, Predicciones_Master!$A$4:$Q$2000, 11, FALSE), 0))</f>
        <v/>
      </c>
      <c r="O78" s="8">
        <f>IFERROR(VLOOKUP(O$1&amp;"_"&amp;$A78, Predicciones_Master!$A$4:$Q$2000, 7, FALSE) &amp; " - " &amp; VLOOKUP(O$1&amp;"_"&amp;$A78, Predicciones_Master!$A$4:$Q$2000, 8, FALSE), "N/A")</f>
        <v/>
      </c>
      <c r="P78" s="12">
        <f>IF($D78="Por Jugar", "", IFERROR(VLOOKUP(O$1&amp;"_"&amp;$A78, Predicciones_Master!$A$4:$Q$2000, 11, FALSE), 0))</f>
        <v/>
      </c>
      <c r="Q78" s="8">
        <f>IFERROR(VLOOKUP(Q$1&amp;"_"&amp;$A78, Predicciones_Master!$A$4:$Q$2000, 7, FALSE) &amp; " - " &amp; VLOOKUP(Q$1&amp;"_"&amp;$A78, Predicciones_Master!$A$4:$Q$2000, 8, FALSE), "N/A")</f>
        <v/>
      </c>
      <c r="R78" s="12">
        <f>IF($D78="Por Jugar", "", IFERROR(VLOOKUP(Q$1&amp;"_"&amp;$A78, Predicciones_Master!$A$4:$Q$2000, 11, FALSE), 0))</f>
        <v/>
      </c>
      <c r="S78" s="8">
        <f>IFERROR(VLOOKUP(S$1&amp;"_"&amp;$A78, Predicciones_Master!$A$4:$Q$2000, 7, FALSE) &amp; " - " &amp; VLOOKUP(S$1&amp;"_"&amp;$A78, Predicciones_Master!$A$4:$Q$2000, 8, FALSE), "N/A")</f>
        <v/>
      </c>
      <c r="T78" s="12">
        <f>IF($D78="Por Jugar", "", IFERROR(VLOOKUP(S$1&amp;"_"&amp;$A78, Predicciones_Master!$A$4:$Q$2000, 11, FALSE), 0))</f>
        <v/>
      </c>
      <c r="U78" s="8">
        <f>IFERROR(VLOOKUP(U$1&amp;"_"&amp;$A78, Predicciones_Master!$A$4:$Q$2000, 7, FALSE) &amp; " - " &amp; VLOOKUP(U$1&amp;"_"&amp;$A78, Predicciones_Master!$A$4:$Q$2000, 8, FALSE), "N/A")</f>
        <v/>
      </c>
      <c r="V78" s="12">
        <f>IF($D78="Por Jugar", "", IFERROR(VLOOKUP(U$1&amp;"_"&amp;$A78, Predicciones_Master!$A$4:$Q$2000, 11, FALSE), 0))</f>
        <v/>
      </c>
      <c r="W78" s="8">
        <f>IFERROR(VLOOKUP(W$1&amp;"_"&amp;$A78, Predicciones_Master!$A$4:$Q$2000, 7, FALSE) &amp; " - " &amp; VLOOKUP(W$1&amp;"_"&amp;$A78, Predicciones_Master!$A$4:$Q$2000, 8, FALSE), "N/A")</f>
        <v/>
      </c>
      <c r="X78" s="12">
        <f>IF($D78="Por Jugar", "", IFERROR(VLOOKUP(W$1&amp;"_"&amp;$A78, Predicciones_Master!$A$4:$Q$2000, 11, FALSE), 0))</f>
        <v/>
      </c>
    </row>
    <row r="79" ht="20" customHeight="1">
      <c r="A79" s="8">
        <f>Resultados_Reales!A79</f>
        <v/>
      </c>
      <c r="B79" s="8">
        <f>Resultados_Reales!B79</f>
        <v/>
      </c>
      <c r="C79" s="9">
        <f>Resultados_Reales!C79 &amp; " vs " &amp; Resultados_Reales!D79</f>
        <v/>
      </c>
      <c r="D79" s="10">
        <f>IF(OR(Resultados_Reales!E79="", Resultados_Reales!F79=""), "Por Jugar", Resultados_Reales!E79 &amp; " - " &amp; Resultados_Reales!F79)</f>
        <v/>
      </c>
      <c r="E79" s="8">
        <f>IFERROR(VLOOKUP(E$1&amp;"_"&amp;$A79, Predicciones_Master!$A$4:$Q$2000, 7, FALSE) &amp; " - " &amp; VLOOKUP(E$1&amp;"_"&amp;$A79, Predicciones_Master!$A$4:$Q$2000, 8, FALSE), "N/A")</f>
        <v/>
      </c>
      <c r="F79" s="12">
        <f>IF($D79="Por Jugar", "", IFERROR(VLOOKUP(E$1&amp;"_"&amp;$A79, Predicciones_Master!$A$4:$Q$2000, 11, FALSE), 0))</f>
        <v/>
      </c>
      <c r="G79" s="8">
        <f>IFERROR(VLOOKUP(G$1&amp;"_"&amp;$A79, Predicciones_Master!$A$4:$Q$2000, 7, FALSE) &amp; " - " &amp; VLOOKUP(G$1&amp;"_"&amp;$A79, Predicciones_Master!$A$4:$Q$2000, 8, FALSE), "N/A")</f>
        <v/>
      </c>
      <c r="H79" s="12">
        <f>IF($D79="Por Jugar", "", IFERROR(VLOOKUP(G$1&amp;"_"&amp;$A79, Predicciones_Master!$A$4:$Q$2000, 11, FALSE), 0))</f>
        <v/>
      </c>
      <c r="I79" s="8">
        <f>IFERROR(VLOOKUP(I$1&amp;"_"&amp;$A79, Predicciones_Master!$A$4:$Q$2000, 7, FALSE) &amp; " - " &amp; VLOOKUP(I$1&amp;"_"&amp;$A79, Predicciones_Master!$A$4:$Q$2000, 8, FALSE), "N/A")</f>
        <v/>
      </c>
      <c r="J79" s="12">
        <f>IF($D79="Por Jugar", "", IFERROR(VLOOKUP(I$1&amp;"_"&amp;$A79, Predicciones_Master!$A$4:$Q$2000, 11, FALSE), 0))</f>
        <v/>
      </c>
      <c r="K79" s="8">
        <f>IFERROR(VLOOKUP(K$1&amp;"_"&amp;$A79, Predicciones_Master!$A$4:$Q$2000, 7, FALSE) &amp; " - " &amp; VLOOKUP(K$1&amp;"_"&amp;$A79, Predicciones_Master!$A$4:$Q$2000, 8, FALSE), "N/A")</f>
        <v/>
      </c>
      <c r="L79" s="12">
        <f>IF($D79="Por Jugar", "", IFERROR(VLOOKUP(K$1&amp;"_"&amp;$A79, Predicciones_Master!$A$4:$Q$2000, 11, FALSE), 0))</f>
        <v/>
      </c>
      <c r="M79" s="8">
        <f>IFERROR(VLOOKUP(M$1&amp;"_"&amp;$A79, Predicciones_Master!$A$4:$Q$2000, 7, FALSE) &amp; " - " &amp; VLOOKUP(M$1&amp;"_"&amp;$A79, Predicciones_Master!$A$4:$Q$2000, 8, FALSE), "N/A")</f>
        <v/>
      </c>
      <c r="N79" s="12">
        <f>IF($D79="Por Jugar", "", IFERROR(VLOOKUP(M$1&amp;"_"&amp;$A79, Predicciones_Master!$A$4:$Q$2000, 11, FALSE), 0))</f>
        <v/>
      </c>
      <c r="O79" s="8">
        <f>IFERROR(VLOOKUP(O$1&amp;"_"&amp;$A79, Predicciones_Master!$A$4:$Q$2000, 7, FALSE) &amp; " - " &amp; VLOOKUP(O$1&amp;"_"&amp;$A79, Predicciones_Master!$A$4:$Q$2000, 8, FALSE), "N/A")</f>
        <v/>
      </c>
      <c r="P79" s="12">
        <f>IF($D79="Por Jugar", "", IFERROR(VLOOKUP(O$1&amp;"_"&amp;$A79, Predicciones_Master!$A$4:$Q$2000, 11, FALSE), 0))</f>
        <v/>
      </c>
      <c r="Q79" s="8">
        <f>IFERROR(VLOOKUP(Q$1&amp;"_"&amp;$A79, Predicciones_Master!$A$4:$Q$2000, 7, FALSE) &amp; " - " &amp; VLOOKUP(Q$1&amp;"_"&amp;$A79, Predicciones_Master!$A$4:$Q$2000, 8, FALSE), "N/A")</f>
        <v/>
      </c>
      <c r="R79" s="12">
        <f>IF($D79="Por Jugar", "", IFERROR(VLOOKUP(Q$1&amp;"_"&amp;$A79, Predicciones_Master!$A$4:$Q$2000, 11, FALSE), 0))</f>
        <v/>
      </c>
      <c r="S79" s="8">
        <f>IFERROR(VLOOKUP(S$1&amp;"_"&amp;$A79, Predicciones_Master!$A$4:$Q$2000, 7, FALSE) &amp; " - " &amp; VLOOKUP(S$1&amp;"_"&amp;$A79, Predicciones_Master!$A$4:$Q$2000, 8, FALSE), "N/A")</f>
        <v/>
      </c>
      <c r="T79" s="12">
        <f>IF($D79="Por Jugar", "", IFERROR(VLOOKUP(S$1&amp;"_"&amp;$A79, Predicciones_Master!$A$4:$Q$2000, 11, FALSE), 0))</f>
        <v/>
      </c>
      <c r="U79" s="8">
        <f>IFERROR(VLOOKUP(U$1&amp;"_"&amp;$A79, Predicciones_Master!$A$4:$Q$2000, 7, FALSE) &amp; " - " &amp; VLOOKUP(U$1&amp;"_"&amp;$A79, Predicciones_Master!$A$4:$Q$2000, 8, FALSE), "N/A")</f>
        <v/>
      </c>
      <c r="V79" s="12">
        <f>IF($D79="Por Jugar", "", IFERROR(VLOOKUP(U$1&amp;"_"&amp;$A79, Predicciones_Master!$A$4:$Q$2000, 11, FALSE), 0))</f>
        <v/>
      </c>
      <c r="W79" s="8">
        <f>IFERROR(VLOOKUP(W$1&amp;"_"&amp;$A79, Predicciones_Master!$A$4:$Q$2000, 7, FALSE) &amp; " - " &amp; VLOOKUP(W$1&amp;"_"&amp;$A79, Predicciones_Master!$A$4:$Q$2000, 8, FALSE), "N/A")</f>
        <v/>
      </c>
      <c r="X79" s="12">
        <f>IF($D79="Por Jugar", "", IFERROR(VLOOKUP(W$1&amp;"_"&amp;$A79, Predicciones_Master!$A$4:$Q$2000, 11, FALSE), 0))</f>
        <v/>
      </c>
    </row>
    <row r="80" ht="20" customHeight="1">
      <c r="A80" s="8">
        <f>Resultados_Reales!A80</f>
        <v/>
      </c>
      <c r="B80" s="8">
        <f>Resultados_Reales!B80</f>
        <v/>
      </c>
      <c r="C80" s="9">
        <f>Resultados_Reales!C80 &amp; " vs " &amp; Resultados_Reales!D80</f>
        <v/>
      </c>
      <c r="D80" s="10">
        <f>IF(OR(Resultados_Reales!E80="", Resultados_Reales!F80=""), "Por Jugar", Resultados_Reales!E80 &amp; " - " &amp; Resultados_Reales!F80)</f>
        <v/>
      </c>
      <c r="E80" s="8">
        <f>IFERROR(VLOOKUP(E$1&amp;"_"&amp;$A80, Predicciones_Master!$A$4:$Q$2000, 7, FALSE) &amp; " - " &amp; VLOOKUP(E$1&amp;"_"&amp;$A80, Predicciones_Master!$A$4:$Q$2000, 8, FALSE), "N/A")</f>
        <v/>
      </c>
      <c r="F80" s="12">
        <f>IF($D80="Por Jugar", "", IFERROR(VLOOKUP(E$1&amp;"_"&amp;$A80, Predicciones_Master!$A$4:$Q$2000, 11, FALSE), 0))</f>
        <v/>
      </c>
      <c r="G80" s="8">
        <f>IFERROR(VLOOKUP(G$1&amp;"_"&amp;$A80, Predicciones_Master!$A$4:$Q$2000, 7, FALSE) &amp; " - " &amp; VLOOKUP(G$1&amp;"_"&amp;$A80, Predicciones_Master!$A$4:$Q$2000, 8, FALSE), "N/A")</f>
        <v/>
      </c>
      <c r="H80" s="12">
        <f>IF($D80="Por Jugar", "", IFERROR(VLOOKUP(G$1&amp;"_"&amp;$A80, Predicciones_Master!$A$4:$Q$2000, 11, FALSE), 0))</f>
        <v/>
      </c>
      <c r="I80" s="8">
        <f>IFERROR(VLOOKUP(I$1&amp;"_"&amp;$A80, Predicciones_Master!$A$4:$Q$2000, 7, FALSE) &amp; " - " &amp; VLOOKUP(I$1&amp;"_"&amp;$A80, Predicciones_Master!$A$4:$Q$2000, 8, FALSE), "N/A")</f>
        <v/>
      </c>
      <c r="J80" s="12">
        <f>IF($D80="Por Jugar", "", IFERROR(VLOOKUP(I$1&amp;"_"&amp;$A80, Predicciones_Master!$A$4:$Q$2000, 11, FALSE), 0))</f>
        <v/>
      </c>
      <c r="K80" s="8">
        <f>IFERROR(VLOOKUP(K$1&amp;"_"&amp;$A80, Predicciones_Master!$A$4:$Q$2000, 7, FALSE) &amp; " - " &amp; VLOOKUP(K$1&amp;"_"&amp;$A80, Predicciones_Master!$A$4:$Q$2000, 8, FALSE), "N/A")</f>
        <v/>
      </c>
      <c r="L80" s="12">
        <f>IF($D80="Por Jugar", "", IFERROR(VLOOKUP(K$1&amp;"_"&amp;$A80, Predicciones_Master!$A$4:$Q$2000, 11, FALSE), 0))</f>
        <v/>
      </c>
      <c r="M80" s="8">
        <f>IFERROR(VLOOKUP(M$1&amp;"_"&amp;$A80, Predicciones_Master!$A$4:$Q$2000, 7, FALSE) &amp; " - " &amp; VLOOKUP(M$1&amp;"_"&amp;$A80, Predicciones_Master!$A$4:$Q$2000, 8, FALSE), "N/A")</f>
        <v/>
      </c>
      <c r="N80" s="12">
        <f>IF($D80="Por Jugar", "", IFERROR(VLOOKUP(M$1&amp;"_"&amp;$A80, Predicciones_Master!$A$4:$Q$2000, 11, FALSE), 0))</f>
        <v/>
      </c>
      <c r="O80" s="8">
        <f>IFERROR(VLOOKUP(O$1&amp;"_"&amp;$A80, Predicciones_Master!$A$4:$Q$2000, 7, FALSE) &amp; " - " &amp; VLOOKUP(O$1&amp;"_"&amp;$A80, Predicciones_Master!$A$4:$Q$2000, 8, FALSE), "N/A")</f>
        <v/>
      </c>
      <c r="P80" s="12">
        <f>IF($D80="Por Jugar", "", IFERROR(VLOOKUP(O$1&amp;"_"&amp;$A80, Predicciones_Master!$A$4:$Q$2000, 11, FALSE), 0))</f>
        <v/>
      </c>
      <c r="Q80" s="8">
        <f>IFERROR(VLOOKUP(Q$1&amp;"_"&amp;$A80, Predicciones_Master!$A$4:$Q$2000, 7, FALSE) &amp; " - " &amp; VLOOKUP(Q$1&amp;"_"&amp;$A80, Predicciones_Master!$A$4:$Q$2000, 8, FALSE), "N/A")</f>
        <v/>
      </c>
      <c r="R80" s="12">
        <f>IF($D80="Por Jugar", "", IFERROR(VLOOKUP(Q$1&amp;"_"&amp;$A80, Predicciones_Master!$A$4:$Q$2000, 11, FALSE), 0))</f>
        <v/>
      </c>
      <c r="S80" s="8">
        <f>IFERROR(VLOOKUP(S$1&amp;"_"&amp;$A80, Predicciones_Master!$A$4:$Q$2000, 7, FALSE) &amp; " - " &amp; VLOOKUP(S$1&amp;"_"&amp;$A80, Predicciones_Master!$A$4:$Q$2000, 8, FALSE), "N/A")</f>
        <v/>
      </c>
      <c r="T80" s="12">
        <f>IF($D80="Por Jugar", "", IFERROR(VLOOKUP(S$1&amp;"_"&amp;$A80, Predicciones_Master!$A$4:$Q$2000, 11, FALSE), 0))</f>
        <v/>
      </c>
      <c r="U80" s="8">
        <f>IFERROR(VLOOKUP(U$1&amp;"_"&amp;$A80, Predicciones_Master!$A$4:$Q$2000, 7, FALSE) &amp; " - " &amp; VLOOKUP(U$1&amp;"_"&amp;$A80, Predicciones_Master!$A$4:$Q$2000, 8, FALSE), "N/A")</f>
        <v/>
      </c>
      <c r="V80" s="12">
        <f>IF($D80="Por Jugar", "", IFERROR(VLOOKUP(U$1&amp;"_"&amp;$A80, Predicciones_Master!$A$4:$Q$2000, 11, FALSE), 0))</f>
        <v/>
      </c>
      <c r="W80" s="8">
        <f>IFERROR(VLOOKUP(W$1&amp;"_"&amp;$A80, Predicciones_Master!$A$4:$Q$2000, 7, FALSE) &amp; " - " &amp; VLOOKUP(W$1&amp;"_"&amp;$A80, Predicciones_Master!$A$4:$Q$2000, 8, FALSE), "N/A")</f>
        <v/>
      </c>
      <c r="X80" s="12">
        <f>IF($D80="Por Jugar", "", IFERROR(VLOOKUP(W$1&amp;"_"&amp;$A80, Predicciones_Master!$A$4:$Q$2000, 11, FALSE), 0))</f>
        <v/>
      </c>
    </row>
    <row r="81" ht="20" customHeight="1">
      <c r="A81" s="8">
        <f>Resultados_Reales!A81</f>
        <v/>
      </c>
      <c r="B81" s="8">
        <f>Resultados_Reales!B81</f>
        <v/>
      </c>
      <c r="C81" s="9">
        <f>Resultados_Reales!C81 &amp; " vs " &amp; Resultados_Reales!D81</f>
        <v/>
      </c>
      <c r="D81" s="10">
        <f>IF(OR(Resultados_Reales!E81="", Resultados_Reales!F81=""), "Por Jugar", Resultados_Reales!E81 &amp; " - " &amp; Resultados_Reales!F81)</f>
        <v/>
      </c>
      <c r="E81" s="8">
        <f>IFERROR(VLOOKUP(E$1&amp;"_"&amp;$A81, Predicciones_Master!$A$4:$Q$2000, 7, FALSE) &amp; " - " &amp; VLOOKUP(E$1&amp;"_"&amp;$A81, Predicciones_Master!$A$4:$Q$2000, 8, FALSE), "N/A")</f>
        <v/>
      </c>
      <c r="F81" s="12">
        <f>IF($D81="Por Jugar", "", IFERROR(VLOOKUP(E$1&amp;"_"&amp;$A81, Predicciones_Master!$A$4:$Q$2000, 11, FALSE), 0))</f>
        <v/>
      </c>
      <c r="G81" s="8">
        <f>IFERROR(VLOOKUP(G$1&amp;"_"&amp;$A81, Predicciones_Master!$A$4:$Q$2000, 7, FALSE) &amp; " - " &amp; VLOOKUP(G$1&amp;"_"&amp;$A81, Predicciones_Master!$A$4:$Q$2000, 8, FALSE), "N/A")</f>
        <v/>
      </c>
      <c r="H81" s="12">
        <f>IF($D81="Por Jugar", "", IFERROR(VLOOKUP(G$1&amp;"_"&amp;$A81, Predicciones_Master!$A$4:$Q$2000, 11, FALSE), 0))</f>
        <v/>
      </c>
      <c r="I81" s="8">
        <f>IFERROR(VLOOKUP(I$1&amp;"_"&amp;$A81, Predicciones_Master!$A$4:$Q$2000, 7, FALSE) &amp; " - " &amp; VLOOKUP(I$1&amp;"_"&amp;$A81, Predicciones_Master!$A$4:$Q$2000, 8, FALSE), "N/A")</f>
        <v/>
      </c>
      <c r="J81" s="12">
        <f>IF($D81="Por Jugar", "", IFERROR(VLOOKUP(I$1&amp;"_"&amp;$A81, Predicciones_Master!$A$4:$Q$2000, 11, FALSE), 0))</f>
        <v/>
      </c>
      <c r="K81" s="8">
        <f>IFERROR(VLOOKUP(K$1&amp;"_"&amp;$A81, Predicciones_Master!$A$4:$Q$2000, 7, FALSE) &amp; " - " &amp; VLOOKUP(K$1&amp;"_"&amp;$A81, Predicciones_Master!$A$4:$Q$2000, 8, FALSE), "N/A")</f>
        <v/>
      </c>
      <c r="L81" s="12">
        <f>IF($D81="Por Jugar", "", IFERROR(VLOOKUP(K$1&amp;"_"&amp;$A81, Predicciones_Master!$A$4:$Q$2000, 11, FALSE), 0))</f>
        <v/>
      </c>
      <c r="M81" s="8">
        <f>IFERROR(VLOOKUP(M$1&amp;"_"&amp;$A81, Predicciones_Master!$A$4:$Q$2000, 7, FALSE) &amp; " - " &amp; VLOOKUP(M$1&amp;"_"&amp;$A81, Predicciones_Master!$A$4:$Q$2000, 8, FALSE), "N/A")</f>
        <v/>
      </c>
      <c r="N81" s="12">
        <f>IF($D81="Por Jugar", "", IFERROR(VLOOKUP(M$1&amp;"_"&amp;$A81, Predicciones_Master!$A$4:$Q$2000, 11, FALSE), 0))</f>
        <v/>
      </c>
      <c r="O81" s="8">
        <f>IFERROR(VLOOKUP(O$1&amp;"_"&amp;$A81, Predicciones_Master!$A$4:$Q$2000, 7, FALSE) &amp; " - " &amp; VLOOKUP(O$1&amp;"_"&amp;$A81, Predicciones_Master!$A$4:$Q$2000, 8, FALSE), "N/A")</f>
        <v/>
      </c>
      <c r="P81" s="12">
        <f>IF($D81="Por Jugar", "", IFERROR(VLOOKUP(O$1&amp;"_"&amp;$A81, Predicciones_Master!$A$4:$Q$2000, 11, FALSE), 0))</f>
        <v/>
      </c>
      <c r="Q81" s="8">
        <f>IFERROR(VLOOKUP(Q$1&amp;"_"&amp;$A81, Predicciones_Master!$A$4:$Q$2000, 7, FALSE) &amp; " - " &amp; VLOOKUP(Q$1&amp;"_"&amp;$A81, Predicciones_Master!$A$4:$Q$2000, 8, FALSE), "N/A")</f>
        <v/>
      </c>
      <c r="R81" s="12">
        <f>IF($D81="Por Jugar", "", IFERROR(VLOOKUP(Q$1&amp;"_"&amp;$A81, Predicciones_Master!$A$4:$Q$2000, 11, FALSE), 0))</f>
        <v/>
      </c>
      <c r="S81" s="8">
        <f>IFERROR(VLOOKUP(S$1&amp;"_"&amp;$A81, Predicciones_Master!$A$4:$Q$2000, 7, FALSE) &amp; " - " &amp; VLOOKUP(S$1&amp;"_"&amp;$A81, Predicciones_Master!$A$4:$Q$2000, 8, FALSE), "N/A")</f>
        <v/>
      </c>
      <c r="T81" s="12">
        <f>IF($D81="Por Jugar", "", IFERROR(VLOOKUP(S$1&amp;"_"&amp;$A81, Predicciones_Master!$A$4:$Q$2000, 11, FALSE), 0))</f>
        <v/>
      </c>
      <c r="U81" s="8">
        <f>IFERROR(VLOOKUP(U$1&amp;"_"&amp;$A81, Predicciones_Master!$A$4:$Q$2000, 7, FALSE) &amp; " - " &amp; VLOOKUP(U$1&amp;"_"&amp;$A81, Predicciones_Master!$A$4:$Q$2000, 8, FALSE), "N/A")</f>
        <v/>
      </c>
      <c r="V81" s="12">
        <f>IF($D81="Por Jugar", "", IFERROR(VLOOKUP(U$1&amp;"_"&amp;$A81, Predicciones_Master!$A$4:$Q$2000, 11, FALSE), 0))</f>
        <v/>
      </c>
      <c r="W81" s="8">
        <f>IFERROR(VLOOKUP(W$1&amp;"_"&amp;$A81, Predicciones_Master!$A$4:$Q$2000, 7, FALSE) &amp; " - " &amp; VLOOKUP(W$1&amp;"_"&amp;$A81, Predicciones_Master!$A$4:$Q$2000, 8, FALSE), "N/A")</f>
        <v/>
      </c>
      <c r="X81" s="12">
        <f>IF($D81="Por Jugar", "", IFERROR(VLOOKUP(W$1&amp;"_"&amp;$A81, Predicciones_Master!$A$4:$Q$2000, 11, FALSE), 0))</f>
        <v/>
      </c>
    </row>
    <row r="82" ht="20" customHeight="1">
      <c r="A82" s="8">
        <f>Resultados_Reales!A82</f>
        <v/>
      </c>
      <c r="B82" s="8">
        <f>Resultados_Reales!B82</f>
        <v/>
      </c>
      <c r="C82" s="9">
        <f>Resultados_Reales!C82 &amp; " vs " &amp; Resultados_Reales!D82</f>
        <v/>
      </c>
      <c r="D82" s="10">
        <f>IF(OR(Resultados_Reales!E82="", Resultados_Reales!F82=""), "Por Jugar", Resultados_Reales!E82 &amp; " - " &amp; Resultados_Reales!F82)</f>
        <v/>
      </c>
      <c r="E82" s="8">
        <f>IFERROR(VLOOKUP(E$1&amp;"_"&amp;$A82, Predicciones_Master!$A$4:$Q$2000, 7, FALSE) &amp; " - " &amp; VLOOKUP(E$1&amp;"_"&amp;$A82, Predicciones_Master!$A$4:$Q$2000, 8, FALSE), "N/A")</f>
        <v/>
      </c>
      <c r="F82" s="12">
        <f>IF($D82="Por Jugar", "", IFERROR(VLOOKUP(E$1&amp;"_"&amp;$A82, Predicciones_Master!$A$4:$Q$2000, 11, FALSE), 0))</f>
        <v/>
      </c>
      <c r="G82" s="8">
        <f>IFERROR(VLOOKUP(G$1&amp;"_"&amp;$A82, Predicciones_Master!$A$4:$Q$2000, 7, FALSE) &amp; " - " &amp; VLOOKUP(G$1&amp;"_"&amp;$A82, Predicciones_Master!$A$4:$Q$2000, 8, FALSE), "N/A")</f>
        <v/>
      </c>
      <c r="H82" s="12">
        <f>IF($D82="Por Jugar", "", IFERROR(VLOOKUP(G$1&amp;"_"&amp;$A82, Predicciones_Master!$A$4:$Q$2000, 11, FALSE), 0))</f>
        <v/>
      </c>
      <c r="I82" s="8">
        <f>IFERROR(VLOOKUP(I$1&amp;"_"&amp;$A82, Predicciones_Master!$A$4:$Q$2000, 7, FALSE) &amp; " - " &amp; VLOOKUP(I$1&amp;"_"&amp;$A82, Predicciones_Master!$A$4:$Q$2000, 8, FALSE), "N/A")</f>
        <v/>
      </c>
      <c r="J82" s="12">
        <f>IF($D82="Por Jugar", "", IFERROR(VLOOKUP(I$1&amp;"_"&amp;$A82, Predicciones_Master!$A$4:$Q$2000, 11, FALSE), 0))</f>
        <v/>
      </c>
      <c r="K82" s="8">
        <f>IFERROR(VLOOKUP(K$1&amp;"_"&amp;$A82, Predicciones_Master!$A$4:$Q$2000, 7, FALSE) &amp; " - " &amp; VLOOKUP(K$1&amp;"_"&amp;$A82, Predicciones_Master!$A$4:$Q$2000, 8, FALSE), "N/A")</f>
        <v/>
      </c>
      <c r="L82" s="12">
        <f>IF($D82="Por Jugar", "", IFERROR(VLOOKUP(K$1&amp;"_"&amp;$A82, Predicciones_Master!$A$4:$Q$2000, 11, FALSE), 0))</f>
        <v/>
      </c>
      <c r="M82" s="8">
        <f>IFERROR(VLOOKUP(M$1&amp;"_"&amp;$A82, Predicciones_Master!$A$4:$Q$2000, 7, FALSE) &amp; " - " &amp; VLOOKUP(M$1&amp;"_"&amp;$A82, Predicciones_Master!$A$4:$Q$2000, 8, FALSE), "N/A")</f>
        <v/>
      </c>
      <c r="N82" s="12">
        <f>IF($D82="Por Jugar", "", IFERROR(VLOOKUP(M$1&amp;"_"&amp;$A82, Predicciones_Master!$A$4:$Q$2000, 11, FALSE), 0))</f>
        <v/>
      </c>
      <c r="O82" s="8">
        <f>IFERROR(VLOOKUP(O$1&amp;"_"&amp;$A82, Predicciones_Master!$A$4:$Q$2000, 7, FALSE) &amp; " - " &amp; VLOOKUP(O$1&amp;"_"&amp;$A82, Predicciones_Master!$A$4:$Q$2000, 8, FALSE), "N/A")</f>
        <v/>
      </c>
      <c r="P82" s="12">
        <f>IF($D82="Por Jugar", "", IFERROR(VLOOKUP(O$1&amp;"_"&amp;$A82, Predicciones_Master!$A$4:$Q$2000, 11, FALSE), 0))</f>
        <v/>
      </c>
      <c r="Q82" s="8">
        <f>IFERROR(VLOOKUP(Q$1&amp;"_"&amp;$A82, Predicciones_Master!$A$4:$Q$2000, 7, FALSE) &amp; " - " &amp; VLOOKUP(Q$1&amp;"_"&amp;$A82, Predicciones_Master!$A$4:$Q$2000, 8, FALSE), "N/A")</f>
        <v/>
      </c>
      <c r="R82" s="12">
        <f>IF($D82="Por Jugar", "", IFERROR(VLOOKUP(Q$1&amp;"_"&amp;$A82, Predicciones_Master!$A$4:$Q$2000, 11, FALSE), 0))</f>
        <v/>
      </c>
      <c r="S82" s="8">
        <f>IFERROR(VLOOKUP(S$1&amp;"_"&amp;$A82, Predicciones_Master!$A$4:$Q$2000, 7, FALSE) &amp; " - " &amp; VLOOKUP(S$1&amp;"_"&amp;$A82, Predicciones_Master!$A$4:$Q$2000, 8, FALSE), "N/A")</f>
        <v/>
      </c>
      <c r="T82" s="12">
        <f>IF($D82="Por Jugar", "", IFERROR(VLOOKUP(S$1&amp;"_"&amp;$A82, Predicciones_Master!$A$4:$Q$2000, 11, FALSE), 0))</f>
        <v/>
      </c>
      <c r="U82" s="8">
        <f>IFERROR(VLOOKUP(U$1&amp;"_"&amp;$A82, Predicciones_Master!$A$4:$Q$2000, 7, FALSE) &amp; " - " &amp; VLOOKUP(U$1&amp;"_"&amp;$A82, Predicciones_Master!$A$4:$Q$2000, 8, FALSE), "N/A")</f>
        <v/>
      </c>
      <c r="V82" s="12">
        <f>IF($D82="Por Jugar", "", IFERROR(VLOOKUP(U$1&amp;"_"&amp;$A82, Predicciones_Master!$A$4:$Q$2000, 11, FALSE), 0))</f>
        <v/>
      </c>
      <c r="W82" s="8">
        <f>IFERROR(VLOOKUP(W$1&amp;"_"&amp;$A82, Predicciones_Master!$A$4:$Q$2000, 7, FALSE) &amp; " - " &amp; VLOOKUP(W$1&amp;"_"&amp;$A82, Predicciones_Master!$A$4:$Q$2000, 8, FALSE), "N/A")</f>
        <v/>
      </c>
      <c r="X82" s="12">
        <f>IF($D82="Por Jugar", "", IFERROR(VLOOKUP(W$1&amp;"_"&amp;$A82, Predicciones_Master!$A$4:$Q$2000, 11, FALSE), 0))</f>
        <v/>
      </c>
    </row>
    <row r="83" ht="20" customHeight="1">
      <c r="A83" s="8">
        <f>Resultados_Reales!A83</f>
        <v/>
      </c>
      <c r="B83" s="8">
        <f>Resultados_Reales!B83</f>
        <v/>
      </c>
      <c r="C83" s="9">
        <f>Resultados_Reales!C83 &amp; " vs " &amp; Resultados_Reales!D83</f>
        <v/>
      </c>
      <c r="D83" s="10">
        <f>IF(OR(Resultados_Reales!E83="", Resultados_Reales!F83=""), "Por Jugar", Resultados_Reales!E83 &amp; " - " &amp; Resultados_Reales!F83)</f>
        <v/>
      </c>
      <c r="E83" s="8">
        <f>IFERROR(VLOOKUP(E$1&amp;"_"&amp;$A83, Predicciones_Master!$A$4:$Q$2000, 7, FALSE) &amp; " - " &amp; VLOOKUP(E$1&amp;"_"&amp;$A83, Predicciones_Master!$A$4:$Q$2000, 8, FALSE), "N/A")</f>
        <v/>
      </c>
      <c r="F83" s="12">
        <f>IF($D83="Por Jugar", "", IFERROR(VLOOKUP(E$1&amp;"_"&amp;$A83, Predicciones_Master!$A$4:$Q$2000, 11, FALSE), 0))</f>
        <v/>
      </c>
      <c r="G83" s="8">
        <f>IFERROR(VLOOKUP(G$1&amp;"_"&amp;$A83, Predicciones_Master!$A$4:$Q$2000, 7, FALSE) &amp; " - " &amp; VLOOKUP(G$1&amp;"_"&amp;$A83, Predicciones_Master!$A$4:$Q$2000, 8, FALSE), "N/A")</f>
        <v/>
      </c>
      <c r="H83" s="12">
        <f>IF($D83="Por Jugar", "", IFERROR(VLOOKUP(G$1&amp;"_"&amp;$A83, Predicciones_Master!$A$4:$Q$2000, 11, FALSE), 0))</f>
        <v/>
      </c>
      <c r="I83" s="8">
        <f>IFERROR(VLOOKUP(I$1&amp;"_"&amp;$A83, Predicciones_Master!$A$4:$Q$2000, 7, FALSE) &amp; " - " &amp; VLOOKUP(I$1&amp;"_"&amp;$A83, Predicciones_Master!$A$4:$Q$2000, 8, FALSE), "N/A")</f>
        <v/>
      </c>
      <c r="J83" s="12">
        <f>IF($D83="Por Jugar", "", IFERROR(VLOOKUP(I$1&amp;"_"&amp;$A83, Predicciones_Master!$A$4:$Q$2000, 11, FALSE), 0))</f>
        <v/>
      </c>
      <c r="K83" s="8">
        <f>IFERROR(VLOOKUP(K$1&amp;"_"&amp;$A83, Predicciones_Master!$A$4:$Q$2000, 7, FALSE) &amp; " - " &amp; VLOOKUP(K$1&amp;"_"&amp;$A83, Predicciones_Master!$A$4:$Q$2000, 8, FALSE), "N/A")</f>
        <v/>
      </c>
      <c r="L83" s="12">
        <f>IF($D83="Por Jugar", "", IFERROR(VLOOKUP(K$1&amp;"_"&amp;$A83, Predicciones_Master!$A$4:$Q$2000, 11, FALSE), 0))</f>
        <v/>
      </c>
      <c r="M83" s="8">
        <f>IFERROR(VLOOKUP(M$1&amp;"_"&amp;$A83, Predicciones_Master!$A$4:$Q$2000, 7, FALSE) &amp; " - " &amp; VLOOKUP(M$1&amp;"_"&amp;$A83, Predicciones_Master!$A$4:$Q$2000, 8, FALSE), "N/A")</f>
        <v/>
      </c>
      <c r="N83" s="12">
        <f>IF($D83="Por Jugar", "", IFERROR(VLOOKUP(M$1&amp;"_"&amp;$A83, Predicciones_Master!$A$4:$Q$2000, 11, FALSE), 0))</f>
        <v/>
      </c>
      <c r="O83" s="8">
        <f>IFERROR(VLOOKUP(O$1&amp;"_"&amp;$A83, Predicciones_Master!$A$4:$Q$2000, 7, FALSE) &amp; " - " &amp; VLOOKUP(O$1&amp;"_"&amp;$A83, Predicciones_Master!$A$4:$Q$2000, 8, FALSE), "N/A")</f>
        <v/>
      </c>
      <c r="P83" s="12">
        <f>IF($D83="Por Jugar", "", IFERROR(VLOOKUP(O$1&amp;"_"&amp;$A83, Predicciones_Master!$A$4:$Q$2000, 11, FALSE), 0))</f>
        <v/>
      </c>
      <c r="Q83" s="8">
        <f>IFERROR(VLOOKUP(Q$1&amp;"_"&amp;$A83, Predicciones_Master!$A$4:$Q$2000, 7, FALSE) &amp; " - " &amp; VLOOKUP(Q$1&amp;"_"&amp;$A83, Predicciones_Master!$A$4:$Q$2000, 8, FALSE), "N/A")</f>
        <v/>
      </c>
      <c r="R83" s="12">
        <f>IF($D83="Por Jugar", "", IFERROR(VLOOKUP(Q$1&amp;"_"&amp;$A83, Predicciones_Master!$A$4:$Q$2000, 11, FALSE), 0))</f>
        <v/>
      </c>
      <c r="S83" s="8">
        <f>IFERROR(VLOOKUP(S$1&amp;"_"&amp;$A83, Predicciones_Master!$A$4:$Q$2000, 7, FALSE) &amp; " - " &amp; VLOOKUP(S$1&amp;"_"&amp;$A83, Predicciones_Master!$A$4:$Q$2000, 8, FALSE), "N/A")</f>
        <v/>
      </c>
      <c r="T83" s="12">
        <f>IF($D83="Por Jugar", "", IFERROR(VLOOKUP(S$1&amp;"_"&amp;$A83, Predicciones_Master!$A$4:$Q$2000, 11, FALSE), 0))</f>
        <v/>
      </c>
      <c r="U83" s="8">
        <f>IFERROR(VLOOKUP(U$1&amp;"_"&amp;$A83, Predicciones_Master!$A$4:$Q$2000, 7, FALSE) &amp; " - " &amp; VLOOKUP(U$1&amp;"_"&amp;$A83, Predicciones_Master!$A$4:$Q$2000, 8, FALSE), "N/A")</f>
        <v/>
      </c>
      <c r="V83" s="12">
        <f>IF($D83="Por Jugar", "", IFERROR(VLOOKUP(U$1&amp;"_"&amp;$A83, Predicciones_Master!$A$4:$Q$2000, 11, FALSE), 0))</f>
        <v/>
      </c>
      <c r="W83" s="8">
        <f>IFERROR(VLOOKUP(W$1&amp;"_"&amp;$A83, Predicciones_Master!$A$4:$Q$2000, 7, FALSE) &amp; " - " &amp; VLOOKUP(W$1&amp;"_"&amp;$A83, Predicciones_Master!$A$4:$Q$2000, 8, FALSE), "N/A")</f>
        <v/>
      </c>
      <c r="X83" s="12">
        <f>IF($D83="Por Jugar", "", IFERROR(VLOOKUP(W$1&amp;"_"&amp;$A83, Predicciones_Master!$A$4:$Q$2000, 11, FALSE), 0))</f>
        <v/>
      </c>
    </row>
    <row r="84" ht="20" customHeight="1">
      <c r="A84" s="8">
        <f>Resultados_Reales!A84</f>
        <v/>
      </c>
      <c r="B84" s="8">
        <f>Resultados_Reales!B84</f>
        <v/>
      </c>
      <c r="C84" s="9">
        <f>Resultados_Reales!C84 &amp; " vs " &amp; Resultados_Reales!D84</f>
        <v/>
      </c>
      <c r="D84" s="10">
        <f>IF(OR(Resultados_Reales!E84="", Resultados_Reales!F84=""), "Por Jugar", Resultados_Reales!E84 &amp; " - " &amp; Resultados_Reales!F84)</f>
        <v/>
      </c>
      <c r="E84" s="8">
        <f>IFERROR(VLOOKUP(E$1&amp;"_"&amp;$A84, Predicciones_Master!$A$4:$Q$2000, 7, FALSE) &amp; " - " &amp; VLOOKUP(E$1&amp;"_"&amp;$A84, Predicciones_Master!$A$4:$Q$2000, 8, FALSE), "N/A")</f>
        <v/>
      </c>
      <c r="F84" s="12">
        <f>IF($D84="Por Jugar", "", IFERROR(VLOOKUP(E$1&amp;"_"&amp;$A84, Predicciones_Master!$A$4:$Q$2000, 11, FALSE), 0))</f>
        <v/>
      </c>
      <c r="G84" s="8">
        <f>IFERROR(VLOOKUP(G$1&amp;"_"&amp;$A84, Predicciones_Master!$A$4:$Q$2000, 7, FALSE) &amp; " - " &amp; VLOOKUP(G$1&amp;"_"&amp;$A84, Predicciones_Master!$A$4:$Q$2000, 8, FALSE), "N/A")</f>
        <v/>
      </c>
      <c r="H84" s="12">
        <f>IF($D84="Por Jugar", "", IFERROR(VLOOKUP(G$1&amp;"_"&amp;$A84, Predicciones_Master!$A$4:$Q$2000, 11, FALSE), 0))</f>
        <v/>
      </c>
      <c r="I84" s="8">
        <f>IFERROR(VLOOKUP(I$1&amp;"_"&amp;$A84, Predicciones_Master!$A$4:$Q$2000, 7, FALSE) &amp; " - " &amp; VLOOKUP(I$1&amp;"_"&amp;$A84, Predicciones_Master!$A$4:$Q$2000, 8, FALSE), "N/A")</f>
        <v/>
      </c>
      <c r="J84" s="12">
        <f>IF($D84="Por Jugar", "", IFERROR(VLOOKUP(I$1&amp;"_"&amp;$A84, Predicciones_Master!$A$4:$Q$2000, 11, FALSE), 0))</f>
        <v/>
      </c>
      <c r="K84" s="8">
        <f>IFERROR(VLOOKUP(K$1&amp;"_"&amp;$A84, Predicciones_Master!$A$4:$Q$2000, 7, FALSE) &amp; " - " &amp; VLOOKUP(K$1&amp;"_"&amp;$A84, Predicciones_Master!$A$4:$Q$2000, 8, FALSE), "N/A")</f>
        <v/>
      </c>
      <c r="L84" s="12">
        <f>IF($D84="Por Jugar", "", IFERROR(VLOOKUP(K$1&amp;"_"&amp;$A84, Predicciones_Master!$A$4:$Q$2000, 11, FALSE), 0))</f>
        <v/>
      </c>
      <c r="M84" s="8">
        <f>IFERROR(VLOOKUP(M$1&amp;"_"&amp;$A84, Predicciones_Master!$A$4:$Q$2000, 7, FALSE) &amp; " - " &amp; VLOOKUP(M$1&amp;"_"&amp;$A84, Predicciones_Master!$A$4:$Q$2000, 8, FALSE), "N/A")</f>
        <v/>
      </c>
      <c r="N84" s="12">
        <f>IF($D84="Por Jugar", "", IFERROR(VLOOKUP(M$1&amp;"_"&amp;$A84, Predicciones_Master!$A$4:$Q$2000, 11, FALSE), 0))</f>
        <v/>
      </c>
      <c r="O84" s="8">
        <f>IFERROR(VLOOKUP(O$1&amp;"_"&amp;$A84, Predicciones_Master!$A$4:$Q$2000, 7, FALSE) &amp; " - " &amp; VLOOKUP(O$1&amp;"_"&amp;$A84, Predicciones_Master!$A$4:$Q$2000, 8, FALSE), "N/A")</f>
        <v/>
      </c>
      <c r="P84" s="12">
        <f>IF($D84="Por Jugar", "", IFERROR(VLOOKUP(O$1&amp;"_"&amp;$A84, Predicciones_Master!$A$4:$Q$2000, 11, FALSE), 0))</f>
        <v/>
      </c>
      <c r="Q84" s="8">
        <f>IFERROR(VLOOKUP(Q$1&amp;"_"&amp;$A84, Predicciones_Master!$A$4:$Q$2000, 7, FALSE) &amp; " - " &amp; VLOOKUP(Q$1&amp;"_"&amp;$A84, Predicciones_Master!$A$4:$Q$2000, 8, FALSE), "N/A")</f>
        <v/>
      </c>
      <c r="R84" s="12">
        <f>IF($D84="Por Jugar", "", IFERROR(VLOOKUP(Q$1&amp;"_"&amp;$A84, Predicciones_Master!$A$4:$Q$2000, 11, FALSE), 0))</f>
        <v/>
      </c>
      <c r="S84" s="8">
        <f>IFERROR(VLOOKUP(S$1&amp;"_"&amp;$A84, Predicciones_Master!$A$4:$Q$2000, 7, FALSE) &amp; " - " &amp; VLOOKUP(S$1&amp;"_"&amp;$A84, Predicciones_Master!$A$4:$Q$2000, 8, FALSE), "N/A")</f>
        <v/>
      </c>
      <c r="T84" s="12">
        <f>IF($D84="Por Jugar", "", IFERROR(VLOOKUP(S$1&amp;"_"&amp;$A84, Predicciones_Master!$A$4:$Q$2000, 11, FALSE), 0))</f>
        <v/>
      </c>
      <c r="U84" s="8">
        <f>IFERROR(VLOOKUP(U$1&amp;"_"&amp;$A84, Predicciones_Master!$A$4:$Q$2000, 7, FALSE) &amp; " - " &amp; VLOOKUP(U$1&amp;"_"&amp;$A84, Predicciones_Master!$A$4:$Q$2000, 8, FALSE), "N/A")</f>
        <v/>
      </c>
      <c r="V84" s="12">
        <f>IF($D84="Por Jugar", "", IFERROR(VLOOKUP(U$1&amp;"_"&amp;$A84, Predicciones_Master!$A$4:$Q$2000, 11, FALSE), 0))</f>
        <v/>
      </c>
      <c r="W84" s="8">
        <f>IFERROR(VLOOKUP(W$1&amp;"_"&amp;$A84, Predicciones_Master!$A$4:$Q$2000, 7, FALSE) &amp; " - " &amp; VLOOKUP(W$1&amp;"_"&amp;$A84, Predicciones_Master!$A$4:$Q$2000, 8, FALSE), "N/A")</f>
        <v/>
      </c>
      <c r="X84" s="12">
        <f>IF($D84="Por Jugar", "", IFERROR(VLOOKUP(W$1&amp;"_"&amp;$A84, Predicciones_Master!$A$4:$Q$2000, 11, FALSE), 0))</f>
        <v/>
      </c>
    </row>
    <row r="85" ht="20" customHeight="1">
      <c r="A85" s="8">
        <f>Resultados_Reales!A85</f>
        <v/>
      </c>
      <c r="B85" s="8">
        <f>Resultados_Reales!B85</f>
        <v/>
      </c>
      <c r="C85" s="9">
        <f>Resultados_Reales!C85 &amp; " vs " &amp; Resultados_Reales!D85</f>
        <v/>
      </c>
      <c r="D85" s="10">
        <f>IF(OR(Resultados_Reales!E85="", Resultados_Reales!F85=""), "Por Jugar", Resultados_Reales!E85 &amp; " - " &amp; Resultados_Reales!F85)</f>
        <v/>
      </c>
      <c r="E85" s="8">
        <f>IFERROR(VLOOKUP(E$1&amp;"_"&amp;$A85, Predicciones_Master!$A$4:$Q$2000, 7, FALSE) &amp; " - " &amp; VLOOKUP(E$1&amp;"_"&amp;$A85, Predicciones_Master!$A$4:$Q$2000, 8, FALSE), "N/A")</f>
        <v/>
      </c>
      <c r="F85" s="12">
        <f>IF($D85="Por Jugar", "", IFERROR(VLOOKUP(E$1&amp;"_"&amp;$A85, Predicciones_Master!$A$4:$Q$2000, 11, FALSE), 0))</f>
        <v/>
      </c>
      <c r="G85" s="8">
        <f>IFERROR(VLOOKUP(G$1&amp;"_"&amp;$A85, Predicciones_Master!$A$4:$Q$2000, 7, FALSE) &amp; " - " &amp; VLOOKUP(G$1&amp;"_"&amp;$A85, Predicciones_Master!$A$4:$Q$2000, 8, FALSE), "N/A")</f>
        <v/>
      </c>
      <c r="H85" s="12">
        <f>IF($D85="Por Jugar", "", IFERROR(VLOOKUP(G$1&amp;"_"&amp;$A85, Predicciones_Master!$A$4:$Q$2000, 11, FALSE), 0))</f>
        <v/>
      </c>
      <c r="I85" s="8">
        <f>IFERROR(VLOOKUP(I$1&amp;"_"&amp;$A85, Predicciones_Master!$A$4:$Q$2000, 7, FALSE) &amp; " - " &amp; VLOOKUP(I$1&amp;"_"&amp;$A85, Predicciones_Master!$A$4:$Q$2000, 8, FALSE), "N/A")</f>
        <v/>
      </c>
      <c r="J85" s="12">
        <f>IF($D85="Por Jugar", "", IFERROR(VLOOKUP(I$1&amp;"_"&amp;$A85, Predicciones_Master!$A$4:$Q$2000, 11, FALSE), 0))</f>
        <v/>
      </c>
      <c r="K85" s="8">
        <f>IFERROR(VLOOKUP(K$1&amp;"_"&amp;$A85, Predicciones_Master!$A$4:$Q$2000, 7, FALSE) &amp; " - " &amp; VLOOKUP(K$1&amp;"_"&amp;$A85, Predicciones_Master!$A$4:$Q$2000, 8, FALSE), "N/A")</f>
        <v/>
      </c>
      <c r="L85" s="12">
        <f>IF($D85="Por Jugar", "", IFERROR(VLOOKUP(K$1&amp;"_"&amp;$A85, Predicciones_Master!$A$4:$Q$2000, 11, FALSE), 0))</f>
        <v/>
      </c>
      <c r="M85" s="8">
        <f>IFERROR(VLOOKUP(M$1&amp;"_"&amp;$A85, Predicciones_Master!$A$4:$Q$2000, 7, FALSE) &amp; " - " &amp; VLOOKUP(M$1&amp;"_"&amp;$A85, Predicciones_Master!$A$4:$Q$2000, 8, FALSE), "N/A")</f>
        <v/>
      </c>
      <c r="N85" s="12">
        <f>IF($D85="Por Jugar", "", IFERROR(VLOOKUP(M$1&amp;"_"&amp;$A85, Predicciones_Master!$A$4:$Q$2000, 11, FALSE), 0))</f>
        <v/>
      </c>
      <c r="O85" s="8">
        <f>IFERROR(VLOOKUP(O$1&amp;"_"&amp;$A85, Predicciones_Master!$A$4:$Q$2000, 7, FALSE) &amp; " - " &amp; VLOOKUP(O$1&amp;"_"&amp;$A85, Predicciones_Master!$A$4:$Q$2000, 8, FALSE), "N/A")</f>
        <v/>
      </c>
      <c r="P85" s="12">
        <f>IF($D85="Por Jugar", "", IFERROR(VLOOKUP(O$1&amp;"_"&amp;$A85, Predicciones_Master!$A$4:$Q$2000, 11, FALSE), 0))</f>
        <v/>
      </c>
      <c r="Q85" s="8">
        <f>IFERROR(VLOOKUP(Q$1&amp;"_"&amp;$A85, Predicciones_Master!$A$4:$Q$2000, 7, FALSE) &amp; " - " &amp; VLOOKUP(Q$1&amp;"_"&amp;$A85, Predicciones_Master!$A$4:$Q$2000, 8, FALSE), "N/A")</f>
        <v/>
      </c>
      <c r="R85" s="12">
        <f>IF($D85="Por Jugar", "", IFERROR(VLOOKUP(Q$1&amp;"_"&amp;$A85, Predicciones_Master!$A$4:$Q$2000, 11, FALSE), 0))</f>
        <v/>
      </c>
      <c r="S85" s="8">
        <f>IFERROR(VLOOKUP(S$1&amp;"_"&amp;$A85, Predicciones_Master!$A$4:$Q$2000, 7, FALSE) &amp; " - " &amp; VLOOKUP(S$1&amp;"_"&amp;$A85, Predicciones_Master!$A$4:$Q$2000, 8, FALSE), "N/A")</f>
        <v/>
      </c>
      <c r="T85" s="12">
        <f>IF($D85="Por Jugar", "", IFERROR(VLOOKUP(S$1&amp;"_"&amp;$A85, Predicciones_Master!$A$4:$Q$2000, 11, FALSE), 0))</f>
        <v/>
      </c>
      <c r="U85" s="8">
        <f>IFERROR(VLOOKUP(U$1&amp;"_"&amp;$A85, Predicciones_Master!$A$4:$Q$2000, 7, FALSE) &amp; " - " &amp; VLOOKUP(U$1&amp;"_"&amp;$A85, Predicciones_Master!$A$4:$Q$2000, 8, FALSE), "N/A")</f>
        <v/>
      </c>
      <c r="V85" s="12">
        <f>IF($D85="Por Jugar", "", IFERROR(VLOOKUP(U$1&amp;"_"&amp;$A85, Predicciones_Master!$A$4:$Q$2000, 11, FALSE), 0))</f>
        <v/>
      </c>
      <c r="W85" s="8">
        <f>IFERROR(VLOOKUP(W$1&amp;"_"&amp;$A85, Predicciones_Master!$A$4:$Q$2000, 7, FALSE) &amp; " - " &amp; VLOOKUP(W$1&amp;"_"&amp;$A85, Predicciones_Master!$A$4:$Q$2000, 8, FALSE), "N/A")</f>
        <v/>
      </c>
      <c r="X85" s="12">
        <f>IF($D85="Por Jugar", "", IFERROR(VLOOKUP(W$1&amp;"_"&amp;$A85, Predicciones_Master!$A$4:$Q$2000, 11, FALSE), 0))</f>
        <v/>
      </c>
    </row>
    <row r="86" ht="20" customHeight="1">
      <c r="A86" s="8">
        <f>Resultados_Reales!A86</f>
        <v/>
      </c>
      <c r="B86" s="8">
        <f>Resultados_Reales!B86</f>
        <v/>
      </c>
      <c r="C86" s="9">
        <f>Resultados_Reales!C86 &amp; " vs " &amp; Resultados_Reales!D86</f>
        <v/>
      </c>
      <c r="D86" s="10">
        <f>IF(OR(Resultados_Reales!E86="", Resultados_Reales!F86=""), "Por Jugar", Resultados_Reales!E86 &amp; " - " &amp; Resultados_Reales!F86)</f>
        <v/>
      </c>
      <c r="E86" s="8">
        <f>IFERROR(VLOOKUP(E$1&amp;"_"&amp;$A86, Predicciones_Master!$A$4:$Q$2000, 7, FALSE) &amp; " - " &amp; VLOOKUP(E$1&amp;"_"&amp;$A86, Predicciones_Master!$A$4:$Q$2000, 8, FALSE), "N/A")</f>
        <v/>
      </c>
      <c r="F86" s="12">
        <f>IF($D86="Por Jugar", "", IFERROR(VLOOKUP(E$1&amp;"_"&amp;$A86, Predicciones_Master!$A$4:$Q$2000, 11, FALSE), 0))</f>
        <v/>
      </c>
      <c r="G86" s="8">
        <f>IFERROR(VLOOKUP(G$1&amp;"_"&amp;$A86, Predicciones_Master!$A$4:$Q$2000, 7, FALSE) &amp; " - " &amp; VLOOKUP(G$1&amp;"_"&amp;$A86, Predicciones_Master!$A$4:$Q$2000, 8, FALSE), "N/A")</f>
        <v/>
      </c>
      <c r="H86" s="12">
        <f>IF($D86="Por Jugar", "", IFERROR(VLOOKUP(G$1&amp;"_"&amp;$A86, Predicciones_Master!$A$4:$Q$2000, 11, FALSE), 0))</f>
        <v/>
      </c>
      <c r="I86" s="8">
        <f>IFERROR(VLOOKUP(I$1&amp;"_"&amp;$A86, Predicciones_Master!$A$4:$Q$2000, 7, FALSE) &amp; " - " &amp; VLOOKUP(I$1&amp;"_"&amp;$A86, Predicciones_Master!$A$4:$Q$2000, 8, FALSE), "N/A")</f>
        <v/>
      </c>
      <c r="J86" s="12">
        <f>IF($D86="Por Jugar", "", IFERROR(VLOOKUP(I$1&amp;"_"&amp;$A86, Predicciones_Master!$A$4:$Q$2000, 11, FALSE), 0))</f>
        <v/>
      </c>
      <c r="K86" s="8">
        <f>IFERROR(VLOOKUP(K$1&amp;"_"&amp;$A86, Predicciones_Master!$A$4:$Q$2000, 7, FALSE) &amp; " - " &amp; VLOOKUP(K$1&amp;"_"&amp;$A86, Predicciones_Master!$A$4:$Q$2000, 8, FALSE), "N/A")</f>
        <v/>
      </c>
      <c r="L86" s="12">
        <f>IF($D86="Por Jugar", "", IFERROR(VLOOKUP(K$1&amp;"_"&amp;$A86, Predicciones_Master!$A$4:$Q$2000, 11, FALSE), 0))</f>
        <v/>
      </c>
      <c r="M86" s="8">
        <f>IFERROR(VLOOKUP(M$1&amp;"_"&amp;$A86, Predicciones_Master!$A$4:$Q$2000, 7, FALSE) &amp; " - " &amp; VLOOKUP(M$1&amp;"_"&amp;$A86, Predicciones_Master!$A$4:$Q$2000, 8, FALSE), "N/A")</f>
        <v/>
      </c>
      <c r="N86" s="12">
        <f>IF($D86="Por Jugar", "", IFERROR(VLOOKUP(M$1&amp;"_"&amp;$A86, Predicciones_Master!$A$4:$Q$2000, 11, FALSE), 0))</f>
        <v/>
      </c>
      <c r="O86" s="8">
        <f>IFERROR(VLOOKUP(O$1&amp;"_"&amp;$A86, Predicciones_Master!$A$4:$Q$2000, 7, FALSE) &amp; " - " &amp; VLOOKUP(O$1&amp;"_"&amp;$A86, Predicciones_Master!$A$4:$Q$2000, 8, FALSE), "N/A")</f>
        <v/>
      </c>
      <c r="P86" s="12">
        <f>IF($D86="Por Jugar", "", IFERROR(VLOOKUP(O$1&amp;"_"&amp;$A86, Predicciones_Master!$A$4:$Q$2000, 11, FALSE), 0))</f>
        <v/>
      </c>
      <c r="Q86" s="8">
        <f>IFERROR(VLOOKUP(Q$1&amp;"_"&amp;$A86, Predicciones_Master!$A$4:$Q$2000, 7, FALSE) &amp; " - " &amp; VLOOKUP(Q$1&amp;"_"&amp;$A86, Predicciones_Master!$A$4:$Q$2000, 8, FALSE), "N/A")</f>
        <v/>
      </c>
      <c r="R86" s="12">
        <f>IF($D86="Por Jugar", "", IFERROR(VLOOKUP(Q$1&amp;"_"&amp;$A86, Predicciones_Master!$A$4:$Q$2000, 11, FALSE), 0))</f>
        <v/>
      </c>
      <c r="S86" s="8">
        <f>IFERROR(VLOOKUP(S$1&amp;"_"&amp;$A86, Predicciones_Master!$A$4:$Q$2000, 7, FALSE) &amp; " - " &amp; VLOOKUP(S$1&amp;"_"&amp;$A86, Predicciones_Master!$A$4:$Q$2000, 8, FALSE), "N/A")</f>
        <v/>
      </c>
      <c r="T86" s="12">
        <f>IF($D86="Por Jugar", "", IFERROR(VLOOKUP(S$1&amp;"_"&amp;$A86, Predicciones_Master!$A$4:$Q$2000, 11, FALSE), 0))</f>
        <v/>
      </c>
      <c r="U86" s="8">
        <f>IFERROR(VLOOKUP(U$1&amp;"_"&amp;$A86, Predicciones_Master!$A$4:$Q$2000, 7, FALSE) &amp; " - " &amp; VLOOKUP(U$1&amp;"_"&amp;$A86, Predicciones_Master!$A$4:$Q$2000, 8, FALSE), "N/A")</f>
        <v/>
      </c>
      <c r="V86" s="12">
        <f>IF($D86="Por Jugar", "", IFERROR(VLOOKUP(U$1&amp;"_"&amp;$A86, Predicciones_Master!$A$4:$Q$2000, 11, FALSE), 0))</f>
        <v/>
      </c>
      <c r="W86" s="8">
        <f>IFERROR(VLOOKUP(W$1&amp;"_"&amp;$A86, Predicciones_Master!$A$4:$Q$2000, 7, FALSE) &amp; " - " &amp; VLOOKUP(W$1&amp;"_"&amp;$A86, Predicciones_Master!$A$4:$Q$2000, 8, FALSE), "N/A")</f>
        <v/>
      </c>
      <c r="X86" s="12">
        <f>IF($D86="Por Jugar", "", IFERROR(VLOOKUP(W$1&amp;"_"&amp;$A86, Predicciones_Master!$A$4:$Q$2000, 11, FALSE), 0))</f>
        <v/>
      </c>
    </row>
    <row r="87" ht="20" customHeight="1">
      <c r="A87" s="8">
        <f>Resultados_Reales!A87</f>
        <v/>
      </c>
      <c r="B87" s="8">
        <f>Resultados_Reales!B87</f>
        <v/>
      </c>
      <c r="C87" s="9">
        <f>Resultados_Reales!C87 &amp; " vs " &amp; Resultados_Reales!D87</f>
        <v/>
      </c>
      <c r="D87" s="10">
        <f>IF(OR(Resultados_Reales!E87="", Resultados_Reales!F87=""), "Por Jugar", Resultados_Reales!E87 &amp; " - " &amp; Resultados_Reales!F87)</f>
        <v/>
      </c>
      <c r="E87" s="8">
        <f>IFERROR(VLOOKUP(E$1&amp;"_"&amp;$A87, Predicciones_Master!$A$4:$Q$2000, 7, FALSE) &amp; " - " &amp; VLOOKUP(E$1&amp;"_"&amp;$A87, Predicciones_Master!$A$4:$Q$2000, 8, FALSE), "N/A")</f>
        <v/>
      </c>
      <c r="F87" s="12">
        <f>IF($D87="Por Jugar", "", IFERROR(VLOOKUP(E$1&amp;"_"&amp;$A87, Predicciones_Master!$A$4:$Q$2000, 11, FALSE), 0))</f>
        <v/>
      </c>
      <c r="G87" s="8">
        <f>IFERROR(VLOOKUP(G$1&amp;"_"&amp;$A87, Predicciones_Master!$A$4:$Q$2000, 7, FALSE) &amp; " - " &amp; VLOOKUP(G$1&amp;"_"&amp;$A87, Predicciones_Master!$A$4:$Q$2000, 8, FALSE), "N/A")</f>
        <v/>
      </c>
      <c r="H87" s="12">
        <f>IF($D87="Por Jugar", "", IFERROR(VLOOKUP(G$1&amp;"_"&amp;$A87, Predicciones_Master!$A$4:$Q$2000, 11, FALSE), 0))</f>
        <v/>
      </c>
      <c r="I87" s="8">
        <f>IFERROR(VLOOKUP(I$1&amp;"_"&amp;$A87, Predicciones_Master!$A$4:$Q$2000, 7, FALSE) &amp; " - " &amp; VLOOKUP(I$1&amp;"_"&amp;$A87, Predicciones_Master!$A$4:$Q$2000, 8, FALSE), "N/A")</f>
        <v/>
      </c>
      <c r="J87" s="12">
        <f>IF($D87="Por Jugar", "", IFERROR(VLOOKUP(I$1&amp;"_"&amp;$A87, Predicciones_Master!$A$4:$Q$2000, 11, FALSE), 0))</f>
        <v/>
      </c>
      <c r="K87" s="8">
        <f>IFERROR(VLOOKUP(K$1&amp;"_"&amp;$A87, Predicciones_Master!$A$4:$Q$2000, 7, FALSE) &amp; " - " &amp; VLOOKUP(K$1&amp;"_"&amp;$A87, Predicciones_Master!$A$4:$Q$2000, 8, FALSE), "N/A")</f>
        <v/>
      </c>
      <c r="L87" s="12">
        <f>IF($D87="Por Jugar", "", IFERROR(VLOOKUP(K$1&amp;"_"&amp;$A87, Predicciones_Master!$A$4:$Q$2000, 11, FALSE), 0))</f>
        <v/>
      </c>
      <c r="M87" s="8">
        <f>IFERROR(VLOOKUP(M$1&amp;"_"&amp;$A87, Predicciones_Master!$A$4:$Q$2000, 7, FALSE) &amp; " - " &amp; VLOOKUP(M$1&amp;"_"&amp;$A87, Predicciones_Master!$A$4:$Q$2000, 8, FALSE), "N/A")</f>
        <v/>
      </c>
      <c r="N87" s="12">
        <f>IF($D87="Por Jugar", "", IFERROR(VLOOKUP(M$1&amp;"_"&amp;$A87, Predicciones_Master!$A$4:$Q$2000, 11, FALSE), 0))</f>
        <v/>
      </c>
      <c r="O87" s="8">
        <f>IFERROR(VLOOKUP(O$1&amp;"_"&amp;$A87, Predicciones_Master!$A$4:$Q$2000, 7, FALSE) &amp; " - " &amp; VLOOKUP(O$1&amp;"_"&amp;$A87, Predicciones_Master!$A$4:$Q$2000, 8, FALSE), "N/A")</f>
        <v/>
      </c>
      <c r="P87" s="12">
        <f>IF($D87="Por Jugar", "", IFERROR(VLOOKUP(O$1&amp;"_"&amp;$A87, Predicciones_Master!$A$4:$Q$2000, 11, FALSE), 0))</f>
        <v/>
      </c>
      <c r="Q87" s="8">
        <f>IFERROR(VLOOKUP(Q$1&amp;"_"&amp;$A87, Predicciones_Master!$A$4:$Q$2000, 7, FALSE) &amp; " - " &amp; VLOOKUP(Q$1&amp;"_"&amp;$A87, Predicciones_Master!$A$4:$Q$2000, 8, FALSE), "N/A")</f>
        <v/>
      </c>
      <c r="R87" s="12">
        <f>IF($D87="Por Jugar", "", IFERROR(VLOOKUP(Q$1&amp;"_"&amp;$A87, Predicciones_Master!$A$4:$Q$2000, 11, FALSE), 0))</f>
        <v/>
      </c>
      <c r="S87" s="8">
        <f>IFERROR(VLOOKUP(S$1&amp;"_"&amp;$A87, Predicciones_Master!$A$4:$Q$2000, 7, FALSE) &amp; " - " &amp; VLOOKUP(S$1&amp;"_"&amp;$A87, Predicciones_Master!$A$4:$Q$2000, 8, FALSE), "N/A")</f>
        <v/>
      </c>
      <c r="T87" s="12">
        <f>IF($D87="Por Jugar", "", IFERROR(VLOOKUP(S$1&amp;"_"&amp;$A87, Predicciones_Master!$A$4:$Q$2000, 11, FALSE), 0))</f>
        <v/>
      </c>
      <c r="U87" s="8">
        <f>IFERROR(VLOOKUP(U$1&amp;"_"&amp;$A87, Predicciones_Master!$A$4:$Q$2000, 7, FALSE) &amp; " - " &amp; VLOOKUP(U$1&amp;"_"&amp;$A87, Predicciones_Master!$A$4:$Q$2000, 8, FALSE), "N/A")</f>
        <v/>
      </c>
      <c r="V87" s="12">
        <f>IF($D87="Por Jugar", "", IFERROR(VLOOKUP(U$1&amp;"_"&amp;$A87, Predicciones_Master!$A$4:$Q$2000, 11, FALSE), 0))</f>
        <v/>
      </c>
      <c r="W87" s="8">
        <f>IFERROR(VLOOKUP(W$1&amp;"_"&amp;$A87, Predicciones_Master!$A$4:$Q$2000, 7, FALSE) &amp; " - " &amp; VLOOKUP(W$1&amp;"_"&amp;$A87, Predicciones_Master!$A$4:$Q$2000, 8, FALSE), "N/A")</f>
        <v/>
      </c>
      <c r="X87" s="12">
        <f>IF($D87="Por Jugar", "", IFERROR(VLOOKUP(W$1&amp;"_"&amp;$A87, Predicciones_Master!$A$4:$Q$2000, 11, FALSE), 0))</f>
        <v/>
      </c>
    </row>
    <row r="88" ht="20" customHeight="1">
      <c r="A88" s="8">
        <f>Resultados_Reales!A88</f>
        <v/>
      </c>
      <c r="B88" s="8">
        <f>Resultados_Reales!B88</f>
        <v/>
      </c>
      <c r="C88" s="9">
        <f>Resultados_Reales!C88 &amp; " vs " &amp; Resultados_Reales!D88</f>
        <v/>
      </c>
      <c r="D88" s="10">
        <f>IF(OR(Resultados_Reales!E88="", Resultados_Reales!F88=""), "Por Jugar", Resultados_Reales!E88 &amp; " - " &amp; Resultados_Reales!F88)</f>
        <v/>
      </c>
      <c r="E88" s="8">
        <f>IFERROR(VLOOKUP(E$1&amp;"_"&amp;$A88, Predicciones_Master!$A$4:$Q$2000, 7, FALSE) &amp; " - " &amp; VLOOKUP(E$1&amp;"_"&amp;$A88, Predicciones_Master!$A$4:$Q$2000, 8, FALSE), "N/A")</f>
        <v/>
      </c>
      <c r="F88" s="12">
        <f>IF($D88="Por Jugar", "", IFERROR(VLOOKUP(E$1&amp;"_"&amp;$A88, Predicciones_Master!$A$4:$Q$2000, 11, FALSE), 0))</f>
        <v/>
      </c>
      <c r="G88" s="8">
        <f>IFERROR(VLOOKUP(G$1&amp;"_"&amp;$A88, Predicciones_Master!$A$4:$Q$2000, 7, FALSE) &amp; " - " &amp; VLOOKUP(G$1&amp;"_"&amp;$A88, Predicciones_Master!$A$4:$Q$2000, 8, FALSE), "N/A")</f>
        <v/>
      </c>
      <c r="H88" s="12">
        <f>IF($D88="Por Jugar", "", IFERROR(VLOOKUP(G$1&amp;"_"&amp;$A88, Predicciones_Master!$A$4:$Q$2000, 11, FALSE), 0))</f>
        <v/>
      </c>
      <c r="I88" s="8">
        <f>IFERROR(VLOOKUP(I$1&amp;"_"&amp;$A88, Predicciones_Master!$A$4:$Q$2000, 7, FALSE) &amp; " - " &amp; VLOOKUP(I$1&amp;"_"&amp;$A88, Predicciones_Master!$A$4:$Q$2000, 8, FALSE), "N/A")</f>
        <v/>
      </c>
      <c r="J88" s="12">
        <f>IF($D88="Por Jugar", "", IFERROR(VLOOKUP(I$1&amp;"_"&amp;$A88, Predicciones_Master!$A$4:$Q$2000, 11, FALSE), 0))</f>
        <v/>
      </c>
      <c r="K88" s="8">
        <f>IFERROR(VLOOKUP(K$1&amp;"_"&amp;$A88, Predicciones_Master!$A$4:$Q$2000, 7, FALSE) &amp; " - " &amp; VLOOKUP(K$1&amp;"_"&amp;$A88, Predicciones_Master!$A$4:$Q$2000, 8, FALSE), "N/A")</f>
        <v/>
      </c>
      <c r="L88" s="12">
        <f>IF($D88="Por Jugar", "", IFERROR(VLOOKUP(K$1&amp;"_"&amp;$A88, Predicciones_Master!$A$4:$Q$2000, 11, FALSE), 0))</f>
        <v/>
      </c>
      <c r="M88" s="8">
        <f>IFERROR(VLOOKUP(M$1&amp;"_"&amp;$A88, Predicciones_Master!$A$4:$Q$2000, 7, FALSE) &amp; " - " &amp; VLOOKUP(M$1&amp;"_"&amp;$A88, Predicciones_Master!$A$4:$Q$2000, 8, FALSE), "N/A")</f>
        <v/>
      </c>
      <c r="N88" s="12">
        <f>IF($D88="Por Jugar", "", IFERROR(VLOOKUP(M$1&amp;"_"&amp;$A88, Predicciones_Master!$A$4:$Q$2000, 11, FALSE), 0))</f>
        <v/>
      </c>
      <c r="O88" s="8">
        <f>IFERROR(VLOOKUP(O$1&amp;"_"&amp;$A88, Predicciones_Master!$A$4:$Q$2000, 7, FALSE) &amp; " - " &amp; VLOOKUP(O$1&amp;"_"&amp;$A88, Predicciones_Master!$A$4:$Q$2000, 8, FALSE), "N/A")</f>
        <v/>
      </c>
      <c r="P88" s="12">
        <f>IF($D88="Por Jugar", "", IFERROR(VLOOKUP(O$1&amp;"_"&amp;$A88, Predicciones_Master!$A$4:$Q$2000, 11, FALSE), 0))</f>
        <v/>
      </c>
      <c r="Q88" s="8">
        <f>IFERROR(VLOOKUP(Q$1&amp;"_"&amp;$A88, Predicciones_Master!$A$4:$Q$2000, 7, FALSE) &amp; " - " &amp; VLOOKUP(Q$1&amp;"_"&amp;$A88, Predicciones_Master!$A$4:$Q$2000, 8, FALSE), "N/A")</f>
        <v/>
      </c>
      <c r="R88" s="12">
        <f>IF($D88="Por Jugar", "", IFERROR(VLOOKUP(Q$1&amp;"_"&amp;$A88, Predicciones_Master!$A$4:$Q$2000, 11, FALSE), 0))</f>
        <v/>
      </c>
      <c r="S88" s="8">
        <f>IFERROR(VLOOKUP(S$1&amp;"_"&amp;$A88, Predicciones_Master!$A$4:$Q$2000, 7, FALSE) &amp; " - " &amp; VLOOKUP(S$1&amp;"_"&amp;$A88, Predicciones_Master!$A$4:$Q$2000, 8, FALSE), "N/A")</f>
        <v/>
      </c>
      <c r="T88" s="12">
        <f>IF($D88="Por Jugar", "", IFERROR(VLOOKUP(S$1&amp;"_"&amp;$A88, Predicciones_Master!$A$4:$Q$2000, 11, FALSE), 0))</f>
        <v/>
      </c>
      <c r="U88" s="8">
        <f>IFERROR(VLOOKUP(U$1&amp;"_"&amp;$A88, Predicciones_Master!$A$4:$Q$2000, 7, FALSE) &amp; " - " &amp; VLOOKUP(U$1&amp;"_"&amp;$A88, Predicciones_Master!$A$4:$Q$2000, 8, FALSE), "N/A")</f>
        <v/>
      </c>
      <c r="V88" s="12">
        <f>IF($D88="Por Jugar", "", IFERROR(VLOOKUP(U$1&amp;"_"&amp;$A88, Predicciones_Master!$A$4:$Q$2000, 11, FALSE), 0))</f>
        <v/>
      </c>
      <c r="W88" s="8">
        <f>IFERROR(VLOOKUP(W$1&amp;"_"&amp;$A88, Predicciones_Master!$A$4:$Q$2000, 7, FALSE) &amp; " - " &amp; VLOOKUP(W$1&amp;"_"&amp;$A88, Predicciones_Master!$A$4:$Q$2000, 8, FALSE), "N/A")</f>
        <v/>
      </c>
      <c r="X88" s="12">
        <f>IF($D88="Por Jugar", "", IFERROR(VLOOKUP(W$1&amp;"_"&amp;$A88, Predicciones_Master!$A$4:$Q$2000, 11, FALSE), 0))</f>
        <v/>
      </c>
    </row>
    <row r="89" ht="20" customHeight="1">
      <c r="A89" s="8">
        <f>Resultados_Reales!A89</f>
        <v/>
      </c>
      <c r="B89" s="8">
        <f>Resultados_Reales!B89</f>
        <v/>
      </c>
      <c r="C89" s="9">
        <f>Resultados_Reales!C89 &amp; " vs " &amp; Resultados_Reales!D89</f>
        <v/>
      </c>
      <c r="D89" s="10">
        <f>IF(OR(Resultados_Reales!E89="", Resultados_Reales!F89=""), "Por Jugar", Resultados_Reales!E89 &amp; " - " &amp; Resultados_Reales!F89)</f>
        <v/>
      </c>
      <c r="E89" s="8">
        <f>IFERROR(VLOOKUP(E$1&amp;"_"&amp;$A89, Predicciones_Master!$A$4:$Q$2000, 7, FALSE) &amp; " - " &amp; VLOOKUP(E$1&amp;"_"&amp;$A89, Predicciones_Master!$A$4:$Q$2000, 8, FALSE), "N/A")</f>
        <v/>
      </c>
      <c r="F89" s="12">
        <f>IF($D89="Por Jugar", "", IFERROR(VLOOKUP(E$1&amp;"_"&amp;$A89, Predicciones_Master!$A$4:$Q$2000, 11, FALSE), 0))</f>
        <v/>
      </c>
      <c r="G89" s="8">
        <f>IFERROR(VLOOKUP(G$1&amp;"_"&amp;$A89, Predicciones_Master!$A$4:$Q$2000, 7, FALSE) &amp; " - " &amp; VLOOKUP(G$1&amp;"_"&amp;$A89, Predicciones_Master!$A$4:$Q$2000, 8, FALSE), "N/A")</f>
        <v/>
      </c>
      <c r="H89" s="12">
        <f>IF($D89="Por Jugar", "", IFERROR(VLOOKUP(G$1&amp;"_"&amp;$A89, Predicciones_Master!$A$4:$Q$2000, 11, FALSE), 0))</f>
        <v/>
      </c>
      <c r="I89" s="8">
        <f>IFERROR(VLOOKUP(I$1&amp;"_"&amp;$A89, Predicciones_Master!$A$4:$Q$2000, 7, FALSE) &amp; " - " &amp; VLOOKUP(I$1&amp;"_"&amp;$A89, Predicciones_Master!$A$4:$Q$2000, 8, FALSE), "N/A")</f>
        <v/>
      </c>
      <c r="J89" s="12">
        <f>IF($D89="Por Jugar", "", IFERROR(VLOOKUP(I$1&amp;"_"&amp;$A89, Predicciones_Master!$A$4:$Q$2000, 11, FALSE), 0))</f>
        <v/>
      </c>
      <c r="K89" s="8">
        <f>IFERROR(VLOOKUP(K$1&amp;"_"&amp;$A89, Predicciones_Master!$A$4:$Q$2000, 7, FALSE) &amp; " - " &amp; VLOOKUP(K$1&amp;"_"&amp;$A89, Predicciones_Master!$A$4:$Q$2000, 8, FALSE), "N/A")</f>
        <v/>
      </c>
      <c r="L89" s="12">
        <f>IF($D89="Por Jugar", "", IFERROR(VLOOKUP(K$1&amp;"_"&amp;$A89, Predicciones_Master!$A$4:$Q$2000, 11, FALSE), 0))</f>
        <v/>
      </c>
      <c r="M89" s="8">
        <f>IFERROR(VLOOKUP(M$1&amp;"_"&amp;$A89, Predicciones_Master!$A$4:$Q$2000, 7, FALSE) &amp; " - " &amp; VLOOKUP(M$1&amp;"_"&amp;$A89, Predicciones_Master!$A$4:$Q$2000, 8, FALSE), "N/A")</f>
        <v/>
      </c>
      <c r="N89" s="12">
        <f>IF($D89="Por Jugar", "", IFERROR(VLOOKUP(M$1&amp;"_"&amp;$A89, Predicciones_Master!$A$4:$Q$2000, 11, FALSE), 0))</f>
        <v/>
      </c>
      <c r="O89" s="8">
        <f>IFERROR(VLOOKUP(O$1&amp;"_"&amp;$A89, Predicciones_Master!$A$4:$Q$2000, 7, FALSE) &amp; " - " &amp; VLOOKUP(O$1&amp;"_"&amp;$A89, Predicciones_Master!$A$4:$Q$2000, 8, FALSE), "N/A")</f>
        <v/>
      </c>
      <c r="P89" s="12">
        <f>IF($D89="Por Jugar", "", IFERROR(VLOOKUP(O$1&amp;"_"&amp;$A89, Predicciones_Master!$A$4:$Q$2000, 11, FALSE), 0))</f>
        <v/>
      </c>
      <c r="Q89" s="8">
        <f>IFERROR(VLOOKUP(Q$1&amp;"_"&amp;$A89, Predicciones_Master!$A$4:$Q$2000, 7, FALSE) &amp; " - " &amp; VLOOKUP(Q$1&amp;"_"&amp;$A89, Predicciones_Master!$A$4:$Q$2000, 8, FALSE), "N/A")</f>
        <v/>
      </c>
      <c r="R89" s="12">
        <f>IF($D89="Por Jugar", "", IFERROR(VLOOKUP(Q$1&amp;"_"&amp;$A89, Predicciones_Master!$A$4:$Q$2000, 11, FALSE), 0))</f>
        <v/>
      </c>
      <c r="S89" s="8">
        <f>IFERROR(VLOOKUP(S$1&amp;"_"&amp;$A89, Predicciones_Master!$A$4:$Q$2000, 7, FALSE) &amp; " - " &amp; VLOOKUP(S$1&amp;"_"&amp;$A89, Predicciones_Master!$A$4:$Q$2000, 8, FALSE), "N/A")</f>
        <v/>
      </c>
      <c r="T89" s="12">
        <f>IF($D89="Por Jugar", "", IFERROR(VLOOKUP(S$1&amp;"_"&amp;$A89, Predicciones_Master!$A$4:$Q$2000, 11, FALSE), 0))</f>
        <v/>
      </c>
      <c r="U89" s="8">
        <f>IFERROR(VLOOKUP(U$1&amp;"_"&amp;$A89, Predicciones_Master!$A$4:$Q$2000, 7, FALSE) &amp; " - " &amp; VLOOKUP(U$1&amp;"_"&amp;$A89, Predicciones_Master!$A$4:$Q$2000, 8, FALSE), "N/A")</f>
        <v/>
      </c>
      <c r="V89" s="12">
        <f>IF($D89="Por Jugar", "", IFERROR(VLOOKUP(U$1&amp;"_"&amp;$A89, Predicciones_Master!$A$4:$Q$2000, 11, FALSE), 0))</f>
        <v/>
      </c>
      <c r="W89" s="8">
        <f>IFERROR(VLOOKUP(W$1&amp;"_"&amp;$A89, Predicciones_Master!$A$4:$Q$2000, 7, FALSE) &amp; " - " &amp; VLOOKUP(W$1&amp;"_"&amp;$A89, Predicciones_Master!$A$4:$Q$2000, 8, FALSE), "N/A")</f>
        <v/>
      </c>
      <c r="X89" s="12">
        <f>IF($D89="Por Jugar", "", IFERROR(VLOOKUP(W$1&amp;"_"&amp;$A89, Predicciones_Master!$A$4:$Q$2000, 11, FALSE), 0))</f>
        <v/>
      </c>
    </row>
    <row r="90" ht="20" customHeight="1">
      <c r="A90" s="8">
        <f>Resultados_Reales!A90</f>
        <v/>
      </c>
      <c r="B90" s="8">
        <f>Resultados_Reales!B90</f>
        <v/>
      </c>
      <c r="C90" s="9">
        <f>Resultados_Reales!C90 &amp; " vs " &amp; Resultados_Reales!D90</f>
        <v/>
      </c>
      <c r="D90" s="10">
        <f>IF(OR(Resultados_Reales!E90="", Resultados_Reales!F90=""), "Por Jugar", Resultados_Reales!E90 &amp; " - " &amp; Resultados_Reales!F90)</f>
        <v/>
      </c>
      <c r="E90" s="8">
        <f>IFERROR(VLOOKUP(E$1&amp;"_"&amp;$A90, Predicciones_Master!$A$4:$Q$2000, 7, FALSE) &amp; " - " &amp; VLOOKUP(E$1&amp;"_"&amp;$A90, Predicciones_Master!$A$4:$Q$2000, 8, FALSE), "N/A")</f>
        <v/>
      </c>
      <c r="F90" s="12">
        <f>IF($D90="Por Jugar", "", IFERROR(VLOOKUP(E$1&amp;"_"&amp;$A90, Predicciones_Master!$A$4:$Q$2000, 11, FALSE), 0))</f>
        <v/>
      </c>
      <c r="G90" s="8">
        <f>IFERROR(VLOOKUP(G$1&amp;"_"&amp;$A90, Predicciones_Master!$A$4:$Q$2000, 7, FALSE) &amp; " - " &amp; VLOOKUP(G$1&amp;"_"&amp;$A90, Predicciones_Master!$A$4:$Q$2000, 8, FALSE), "N/A")</f>
        <v/>
      </c>
      <c r="H90" s="12">
        <f>IF($D90="Por Jugar", "", IFERROR(VLOOKUP(G$1&amp;"_"&amp;$A90, Predicciones_Master!$A$4:$Q$2000, 11, FALSE), 0))</f>
        <v/>
      </c>
      <c r="I90" s="8">
        <f>IFERROR(VLOOKUP(I$1&amp;"_"&amp;$A90, Predicciones_Master!$A$4:$Q$2000, 7, FALSE) &amp; " - " &amp; VLOOKUP(I$1&amp;"_"&amp;$A90, Predicciones_Master!$A$4:$Q$2000, 8, FALSE), "N/A")</f>
        <v/>
      </c>
      <c r="J90" s="12">
        <f>IF($D90="Por Jugar", "", IFERROR(VLOOKUP(I$1&amp;"_"&amp;$A90, Predicciones_Master!$A$4:$Q$2000, 11, FALSE), 0))</f>
        <v/>
      </c>
      <c r="K90" s="8">
        <f>IFERROR(VLOOKUP(K$1&amp;"_"&amp;$A90, Predicciones_Master!$A$4:$Q$2000, 7, FALSE) &amp; " - " &amp; VLOOKUP(K$1&amp;"_"&amp;$A90, Predicciones_Master!$A$4:$Q$2000, 8, FALSE), "N/A")</f>
        <v/>
      </c>
      <c r="L90" s="12">
        <f>IF($D90="Por Jugar", "", IFERROR(VLOOKUP(K$1&amp;"_"&amp;$A90, Predicciones_Master!$A$4:$Q$2000, 11, FALSE), 0))</f>
        <v/>
      </c>
      <c r="M90" s="8">
        <f>IFERROR(VLOOKUP(M$1&amp;"_"&amp;$A90, Predicciones_Master!$A$4:$Q$2000, 7, FALSE) &amp; " - " &amp; VLOOKUP(M$1&amp;"_"&amp;$A90, Predicciones_Master!$A$4:$Q$2000, 8, FALSE), "N/A")</f>
        <v/>
      </c>
      <c r="N90" s="12">
        <f>IF($D90="Por Jugar", "", IFERROR(VLOOKUP(M$1&amp;"_"&amp;$A90, Predicciones_Master!$A$4:$Q$2000, 11, FALSE), 0))</f>
        <v/>
      </c>
      <c r="O90" s="8">
        <f>IFERROR(VLOOKUP(O$1&amp;"_"&amp;$A90, Predicciones_Master!$A$4:$Q$2000, 7, FALSE) &amp; " - " &amp; VLOOKUP(O$1&amp;"_"&amp;$A90, Predicciones_Master!$A$4:$Q$2000, 8, FALSE), "N/A")</f>
        <v/>
      </c>
      <c r="P90" s="12">
        <f>IF($D90="Por Jugar", "", IFERROR(VLOOKUP(O$1&amp;"_"&amp;$A90, Predicciones_Master!$A$4:$Q$2000, 11, FALSE), 0))</f>
        <v/>
      </c>
      <c r="Q90" s="8">
        <f>IFERROR(VLOOKUP(Q$1&amp;"_"&amp;$A90, Predicciones_Master!$A$4:$Q$2000, 7, FALSE) &amp; " - " &amp; VLOOKUP(Q$1&amp;"_"&amp;$A90, Predicciones_Master!$A$4:$Q$2000, 8, FALSE), "N/A")</f>
        <v/>
      </c>
      <c r="R90" s="12">
        <f>IF($D90="Por Jugar", "", IFERROR(VLOOKUP(Q$1&amp;"_"&amp;$A90, Predicciones_Master!$A$4:$Q$2000, 11, FALSE), 0))</f>
        <v/>
      </c>
      <c r="S90" s="8">
        <f>IFERROR(VLOOKUP(S$1&amp;"_"&amp;$A90, Predicciones_Master!$A$4:$Q$2000, 7, FALSE) &amp; " - " &amp; VLOOKUP(S$1&amp;"_"&amp;$A90, Predicciones_Master!$A$4:$Q$2000, 8, FALSE), "N/A")</f>
        <v/>
      </c>
      <c r="T90" s="12">
        <f>IF($D90="Por Jugar", "", IFERROR(VLOOKUP(S$1&amp;"_"&amp;$A90, Predicciones_Master!$A$4:$Q$2000, 11, FALSE), 0))</f>
        <v/>
      </c>
      <c r="U90" s="8">
        <f>IFERROR(VLOOKUP(U$1&amp;"_"&amp;$A90, Predicciones_Master!$A$4:$Q$2000, 7, FALSE) &amp; " - " &amp; VLOOKUP(U$1&amp;"_"&amp;$A90, Predicciones_Master!$A$4:$Q$2000, 8, FALSE), "N/A")</f>
        <v/>
      </c>
      <c r="V90" s="12">
        <f>IF($D90="Por Jugar", "", IFERROR(VLOOKUP(U$1&amp;"_"&amp;$A90, Predicciones_Master!$A$4:$Q$2000, 11, FALSE), 0))</f>
        <v/>
      </c>
      <c r="W90" s="8">
        <f>IFERROR(VLOOKUP(W$1&amp;"_"&amp;$A90, Predicciones_Master!$A$4:$Q$2000, 7, FALSE) &amp; " - " &amp; VLOOKUP(W$1&amp;"_"&amp;$A90, Predicciones_Master!$A$4:$Q$2000, 8, FALSE), "N/A")</f>
        <v/>
      </c>
      <c r="X90" s="12">
        <f>IF($D90="Por Jugar", "", IFERROR(VLOOKUP(W$1&amp;"_"&amp;$A90, Predicciones_Master!$A$4:$Q$2000, 11, FALSE), 0))</f>
        <v/>
      </c>
    </row>
    <row r="91" ht="20" customHeight="1">
      <c r="A91" s="8">
        <f>Resultados_Reales!A91</f>
        <v/>
      </c>
      <c r="B91" s="8">
        <f>Resultados_Reales!B91</f>
        <v/>
      </c>
      <c r="C91" s="9">
        <f>Resultados_Reales!C91 &amp; " vs " &amp; Resultados_Reales!D91</f>
        <v/>
      </c>
      <c r="D91" s="10">
        <f>IF(OR(Resultados_Reales!E91="", Resultados_Reales!F91=""), "Por Jugar", Resultados_Reales!E91 &amp; " - " &amp; Resultados_Reales!F91)</f>
        <v/>
      </c>
      <c r="E91" s="8">
        <f>IFERROR(VLOOKUP(E$1&amp;"_"&amp;$A91, Predicciones_Master!$A$4:$Q$2000, 7, FALSE) &amp; " - " &amp; VLOOKUP(E$1&amp;"_"&amp;$A91, Predicciones_Master!$A$4:$Q$2000, 8, FALSE), "N/A")</f>
        <v/>
      </c>
      <c r="F91" s="12">
        <f>IF($D91="Por Jugar", "", IFERROR(VLOOKUP(E$1&amp;"_"&amp;$A91, Predicciones_Master!$A$4:$Q$2000, 11, FALSE), 0))</f>
        <v/>
      </c>
      <c r="G91" s="8">
        <f>IFERROR(VLOOKUP(G$1&amp;"_"&amp;$A91, Predicciones_Master!$A$4:$Q$2000, 7, FALSE) &amp; " - " &amp; VLOOKUP(G$1&amp;"_"&amp;$A91, Predicciones_Master!$A$4:$Q$2000, 8, FALSE), "N/A")</f>
        <v/>
      </c>
      <c r="H91" s="12">
        <f>IF($D91="Por Jugar", "", IFERROR(VLOOKUP(G$1&amp;"_"&amp;$A91, Predicciones_Master!$A$4:$Q$2000, 11, FALSE), 0))</f>
        <v/>
      </c>
      <c r="I91" s="8">
        <f>IFERROR(VLOOKUP(I$1&amp;"_"&amp;$A91, Predicciones_Master!$A$4:$Q$2000, 7, FALSE) &amp; " - " &amp; VLOOKUP(I$1&amp;"_"&amp;$A91, Predicciones_Master!$A$4:$Q$2000, 8, FALSE), "N/A")</f>
        <v/>
      </c>
      <c r="J91" s="12">
        <f>IF($D91="Por Jugar", "", IFERROR(VLOOKUP(I$1&amp;"_"&amp;$A91, Predicciones_Master!$A$4:$Q$2000, 11, FALSE), 0))</f>
        <v/>
      </c>
      <c r="K91" s="8">
        <f>IFERROR(VLOOKUP(K$1&amp;"_"&amp;$A91, Predicciones_Master!$A$4:$Q$2000, 7, FALSE) &amp; " - " &amp; VLOOKUP(K$1&amp;"_"&amp;$A91, Predicciones_Master!$A$4:$Q$2000, 8, FALSE), "N/A")</f>
        <v/>
      </c>
      <c r="L91" s="12">
        <f>IF($D91="Por Jugar", "", IFERROR(VLOOKUP(K$1&amp;"_"&amp;$A91, Predicciones_Master!$A$4:$Q$2000, 11, FALSE), 0))</f>
        <v/>
      </c>
      <c r="M91" s="8">
        <f>IFERROR(VLOOKUP(M$1&amp;"_"&amp;$A91, Predicciones_Master!$A$4:$Q$2000, 7, FALSE) &amp; " - " &amp; VLOOKUP(M$1&amp;"_"&amp;$A91, Predicciones_Master!$A$4:$Q$2000, 8, FALSE), "N/A")</f>
        <v/>
      </c>
      <c r="N91" s="12">
        <f>IF($D91="Por Jugar", "", IFERROR(VLOOKUP(M$1&amp;"_"&amp;$A91, Predicciones_Master!$A$4:$Q$2000, 11, FALSE), 0))</f>
        <v/>
      </c>
      <c r="O91" s="8">
        <f>IFERROR(VLOOKUP(O$1&amp;"_"&amp;$A91, Predicciones_Master!$A$4:$Q$2000, 7, FALSE) &amp; " - " &amp; VLOOKUP(O$1&amp;"_"&amp;$A91, Predicciones_Master!$A$4:$Q$2000, 8, FALSE), "N/A")</f>
        <v/>
      </c>
      <c r="P91" s="12">
        <f>IF($D91="Por Jugar", "", IFERROR(VLOOKUP(O$1&amp;"_"&amp;$A91, Predicciones_Master!$A$4:$Q$2000, 11, FALSE), 0))</f>
        <v/>
      </c>
      <c r="Q91" s="8">
        <f>IFERROR(VLOOKUP(Q$1&amp;"_"&amp;$A91, Predicciones_Master!$A$4:$Q$2000, 7, FALSE) &amp; " - " &amp; VLOOKUP(Q$1&amp;"_"&amp;$A91, Predicciones_Master!$A$4:$Q$2000, 8, FALSE), "N/A")</f>
        <v/>
      </c>
      <c r="R91" s="12">
        <f>IF($D91="Por Jugar", "", IFERROR(VLOOKUP(Q$1&amp;"_"&amp;$A91, Predicciones_Master!$A$4:$Q$2000, 11, FALSE), 0))</f>
        <v/>
      </c>
      <c r="S91" s="8">
        <f>IFERROR(VLOOKUP(S$1&amp;"_"&amp;$A91, Predicciones_Master!$A$4:$Q$2000, 7, FALSE) &amp; " - " &amp; VLOOKUP(S$1&amp;"_"&amp;$A91, Predicciones_Master!$A$4:$Q$2000, 8, FALSE), "N/A")</f>
        <v/>
      </c>
      <c r="T91" s="12">
        <f>IF($D91="Por Jugar", "", IFERROR(VLOOKUP(S$1&amp;"_"&amp;$A91, Predicciones_Master!$A$4:$Q$2000, 11, FALSE), 0))</f>
        <v/>
      </c>
      <c r="U91" s="8">
        <f>IFERROR(VLOOKUP(U$1&amp;"_"&amp;$A91, Predicciones_Master!$A$4:$Q$2000, 7, FALSE) &amp; " - " &amp; VLOOKUP(U$1&amp;"_"&amp;$A91, Predicciones_Master!$A$4:$Q$2000, 8, FALSE), "N/A")</f>
        <v/>
      </c>
      <c r="V91" s="12">
        <f>IF($D91="Por Jugar", "", IFERROR(VLOOKUP(U$1&amp;"_"&amp;$A91, Predicciones_Master!$A$4:$Q$2000, 11, FALSE), 0))</f>
        <v/>
      </c>
      <c r="W91" s="8">
        <f>IFERROR(VLOOKUP(W$1&amp;"_"&amp;$A91, Predicciones_Master!$A$4:$Q$2000, 7, FALSE) &amp; " - " &amp; VLOOKUP(W$1&amp;"_"&amp;$A91, Predicciones_Master!$A$4:$Q$2000, 8, FALSE), "N/A")</f>
        <v/>
      </c>
      <c r="X91" s="12">
        <f>IF($D91="Por Jugar", "", IFERROR(VLOOKUP(W$1&amp;"_"&amp;$A91, Predicciones_Master!$A$4:$Q$2000, 11, FALSE), 0))</f>
        <v/>
      </c>
    </row>
    <row r="92" ht="20" customHeight="1">
      <c r="A92" s="8">
        <f>Resultados_Reales!A92</f>
        <v/>
      </c>
      <c r="B92" s="8">
        <f>Resultados_Reales!B92</f>
        <v/>
      </c>
      <c r="C92" s="9">
        <f>Resultados_Reales!C92 &amp; " vs " &amp; Resultados_Reales!D92</f>
        <v/>
      </c>
      <c r="D92" s="10">
        <f>IF(OR(Resultados_Reales!E92="", Resultados_Reales!F92=""), "Por Jugar", Resultados_Reales!E92 &amp; " - " &amp; Resultados_Reales!F92)</f>
        <v/>
      </c>
      <c r="E92" s="8">
        <f>IFERROR(VLOOKUP(E$1&amp;"_"&amp;$A92, Predicciones_Master!$A$4:$Q$2000, 7, FALSE) &amp; " - " &amp; VLOOKUP(E$1&amp;"_"&amp;$A92, Predicciones_Master!$A$4:$Q$2000, 8, FALSE), "N/A")</f>
        <v/>
      </c>
      <c r="F92" s="12">
        <f>IF($D92="Por Jugar", "", IFERROR(VLOOKUP(E$1&amp;"_"&amp;$A92, Predicciones_Master!$A$4:$Q$2000, 11, FALSE), 0))</f>
        <v/>
      </c>
      <c r="G92" s="8">
        <f>IFERROR(VLOOKUP(G$1&amp;"_"&amp;$A92, Predicciones_Master!$A$4:$Q$2000, 7, FALSE) &amp; " - " &amp; VLOOKUP(G$1&amp;"_"&amp;$A92, Predicciones_Master!$A$4:$Q$2000, 8, FALSE), "N/A")</f>
        <v/>
      </c>
      <c r="H92" s="12">
        <f>IF($D92="Por Jugar", "", IFERROR(VLOOKUP(G$1&amp;"_"&amp;$A92, Predicciones_Master!$A$4:$Q$2000, 11, FALSE), 0))</f>
        <v/>
      </c>
      <c r="I92" s="8">
        <f>IFERROR(VLOOKUP(I$1&amp;"_"&amp;$A92, Predicciones_Master!$A$4:$Q$2000, 7, FALSE) &amp; " - " &amp; VLOOKUP(I$1&amp;"_"&amp;$A92, Predicciones_Master!$A$4:$Q$2000, 8, FALSE), "N/A")</f>
        <v/>
      </c>
      <c r="J92" s="12">
        <f>IF($D92="Por Jugar", "", IFERROR(VLOOKUP(I$1&amp;"_"&amp;$A92, Predicciones_Master!$A$4:$Q$2000, 11, FALSE), 0))</f>
        <v/>
      </c>
      <c r="K92" s="8">
        <f>IFERROR(VLOOKUP(K$1&amp;"_"&amp;$A92, Predicciones_Master!$A$4:$Q$2000, 7, FALSE) &amp; " - " &amp; VLOOKUP(K$1&amp;"_"&amp;$A92, Predicciones_Master!$A$4:$Q$2000, 8, FALSE), "N/A")</f>
        <v/>
      </c>
      <c r="L92" s="12">
        <f>IF($D92="Por Jugar", "", IFERROR(VLOOKUP(K$1&amp;"_"&amp;$A92, Predicciones_Master!$A$4:$Q$2000, 11, FALSE), 0))</f>
        <v/>
      </c>
      <c r="M92" s="8">
        <f>IFERROR(VLOOKUP(M$1&amp;"_"&amp;$A92, Predicciones_Master!$A$4:$Q$2000, 7, FALSE) &amp; " - " &amp; VLOOKUP(M$1&amp;"_"&amp;$A92, Predicciones_Master!$A$4:$Q$2000, 8, FALSE), "N/A")</f>
        <v/>
      </c>
      <c r="N92" s="12">
        <f>IF($D92="Por Jugar", "", IFERROR(VLOOKUP(M$1&amp;"_"&amp;$A92, Predicciones_Master!$A$4:$Q$2000, 11, FALSE), 0))</f>
        <v/>
      </c>
      <c r="O92" s="8">
        <f>IFERROR(VLOOKUP(O$1&amp;"_"&amp;$A92, Predicciones_Master!$A$4:$Q$2000, 7, FALSE) &amp; " - " &amp; VLOOKUP(O$1&amp;"_"&amp;$A92, Predicciones_Master!$A$4:$Q$2000, 8, FALSE), "N/A")</f>
        <v/>
      </c>
      <c r="P92" s="12">
        <f>IF($D92="Por Jugar", "", IFERROR(VLOOKUP(O$1&amp;"_"&amp;$A92, Predicciones_Master!$A$4:$Q$2000, 11, FALSE), 0))</f>
        <v/>
      </c>
      <c r="Q92" s="8">
        <f>IFERROR(VLOOKUP(Q$1&amp;"_"&amp;$A92, Predicciones_Master!$A$4:$Q$2000, 7, FALSE) &amp; " - " &amp; VLOOKUP(Q$1&amp;"_"&amp;$A92, Predicciones_Master!$A$4:$Q$2000, 8, FALSE), "N/A")</f>
        <v/>
      </c>
      <c r="R92" s="12">
        <f>IF($D92="Por Jugar", "", IFERROR(VLOOKUP(Q$1&amp;"_"&amp;$A92, Predicciones_Master!$A$4:$Q$2000, 11, FALSE), 0))</f>
        <v/>
      </c>
      <c r="S92" s="8">
        <f>IFERROR(VLOOKUP(S$1&amp;"_"&amp;$A92, Predicciones_Master!$A$4:$Q$2000, 7, FALSE) &amp; " - " &amp; VLOOKUP(S$1&amp;"_"&amp;$A92, Predicciones_Master!$A$4:$Q$2000, 8, FALSE), "N/A")</f>
        <v/>
      </c>
      <c r="T92" s="12">
        <f>IF($D92="Por Jugar", "", IFERROR(VLOOKUP(S$1&amp;"_"&amp;$A92, Predicciones_Master!$A$4:$Q$2000, 11, FALSE), 0))</f>
        <v/>
      </c>
      <c r="U92" s="8">
        <f>IFERROR(VLOOKUP(U$1&amp;"_"&amp;$A92, Predicciones_Master!$A$4:$Q$2000, 7, FALSE) &amp; " - " &amp; VLOOKUP(U$1&amp;"_"&amp;$A92, Predicciones_Master!$A$4:$Q$2000, 8, FALSE), "N/A")</f>
        <v/>
      </c>
      <c r="V92" s="12">
        <f>IF($D92="Por Jugar", "", IFERROR(VLOOKUP(U$1&amp;"_"&amp;$A92, Predicciones_Master!$A$4:$Q$2000, 11, FALSE), 0))</f>
        <v/>
      </c>
      <c r="W92" s="8">
        <f>IFERROR(VLOOKUP(W$1&amp;"_"&amp;$A92, Predicciones_Master!$A$4:$Q$2000, 7, FALSE) &amp; " - " &amp; VLOOKUP(W$1&amp;"_"&amp;$A92, Predicciones_Master!$A$4:$Q$2000, 8, FALSE), "N/A")</f>
        <v/>
      </c>
      <c r="X92" s="12">
        <f>IF($D92="Por Jugar", "", IFERROR(VLOOKUP(W$1&amp;"_"&amp;$A92, Predicciones_Master!$A$4:$Q$2000, 11, FALSE), 0))</f>
        <v/>
      </c>
    </row>
    <row r="93" ht="20" customHeight="1">
      <c r="A93" s="8">
        <f>Resultados_Reales!A93</f>
        <v/>
      </c>
      <c r="B93" s="8">
        <f>Resultados_Reales!B93</f>
        <v/>
      </c>
      <c r="C93" s="9">
        <f>Resultados_Reales!C93 &amp; " vs " &amp; Resultados_Reales!D93</f>
        <v/>
      </c>
      <c r="D93" s="10">
        <f>IF(OR(Resultados_Reales!E93="", Resultados_Reales!F93=""), "Por Jugar", Resultados_Reales!E93 &amp; " - " &amp; Resultados_Reales!F93)</f>
        <v/>
      </c>
      <c r="E93" s="8">
        <f>IFERROR(VLOOKUP(E$1&amp;"_"&amp;$A93, Predicciones_Master!$A$4:$Q$2000, 7, FALSE) &amp; " - " &amp; VLOOKUP(E$1&amp;"_"&amp;$A93, Predicciones_Master!$A$4:$Q$2000, 8, FALSE), "N/A")</f>
        <v/>
      </c>
      <c r="F93" s="12">
        <f>IF($D93="Por Jugar", "", IFERROR(VLOOKUP(E$1&amp;"_"&amp;$A93, Predicciones_Master!$A$4:$Q$2000, 11, FALSE), 0))</f>
        <v/>
      </c>
      <c r="G93" s="8">
        <f>IFERROR(VLOOKUP(G$1&amp;"_"&amp;$A93, Predicciones_Master!$A$4:$Q$2000, 7, FALSE) &amp; " - " &amp; VLOOKUP(G$1&amp;"_"&amp;$A93, Predicciones_Master!$A$4:$Q$2000, 8, FALSE), "N/A")</f>
        <v/>
      </c>
      <c r="H93" s="12">
        <f>IF($D93="Por Jugar", "", IFERROR(VLOOKUP(G$1&amp;"_"&amp;$A93, Predicciones_Master!$A$4:$Q$2000, 11, FALSE), 0))</f>
        <v/>
      </c>
      <c r="I93" s="8">
        <f>IFERROR(VLOOKUP(I$1&amp;"_"&amp;$A93, Predicciones_Master!$A$4:$Q$2000, 7, FALSE) &amp; " - " &amp; VLOOKUP(I$1&amp;"_"&amp;$A93, Predicciones_Master!$A$4:$Q$2000, 8, FALSE), "N/A")</f>
        <v/>
      </c>
      <c r="J93" s="12">
        <f>IF($D93="Por Jugar", "", IFERROR(VLOOKUP(I$1&amp;"_"&amp;$A93, Predicciones_Master!$A$4:$Q$2000, 11, FALSE), 0))</f>
        <v/>
      </c>
      <c r="K93" s="8">
        <f>IFERROR(VLOOKUP(K$1&amp;"_"&amp;$A93, Predicciones_Master!$A$4:$Q$2000, 7, FALSE) &amp; " - " &amp; VLOOKUP(K$1&amp;"_"&amp;$A93, Predicciones_Master!$A$4:$Q$2000, 8, FALSE), "N/A")</f>
        <v/>
      </c>
      <c r="L93" s="12">
        <f>IF($D93="Por Jugar", "", IFERROR(VLOOKUP(K$1&amp;"_"&amp;$A93, Predicciones_Master!$A$4:$Q$2000, 11, FALSE), 0))</f>
        <v/>
      </c>
      <c r="M93" s="8">
        <f>IFERROR(VLOOKUP(M$1&amp;"_"&amp;$A93, Predicciones_Master!$A$4:$Q$2000, 7, FALSE) &amp; " - " &amp; VLOOKUP(M$1&amp;"_"&amp;$A93, Predicciones_Master!$A$4:$Q$2000, 8, FALSE), "N/A")</f>
        <v/>
      </c>
      <c r="N93" s="12">
        <f>IF($D93="Por Jugar", "", IFERROR(VLOOKUP(M$1&amp;"_"&amp;$A93, Predicciones_Master!$A$4:$Q$2000, 11, FALSE), 0))</f>
        <v/>
      </c>
      <c r="O93" s="8">
        <f>IFERROR(VLOOKUP(O$1&amp;"_"&amp;$A93, Predicciones_Master!$A$4:$Q$2000, 7, FALSE) &amp; " - " &amp; VLOOKUP(O$1&amp;"_"&amp;$A93, Predicciones_Master!$A$4:$Q$2000, 8, FALSE), "N/A")</f>
        <v/>
      </c>
      <c r="P93" s="12">
        <f>IF($D93="Por Jugar", "", IFERROR(VLOOKUP(O$1&amp;"_"&amp;$A93, Predicciones_Master!$A$4:$Q$2000, 11, FALSE), 0))</f>
        <v/>
      </c>
      <c r="Q93" s="8">
        <f>IFERROR(VLOOKUP(Q$1&amp;"_"&amp;$A93, Predicciones_Master!$A$4:$Q$2000, 7, FALSE) &amp; " - " &amp; VLOOKUP(Q$1&amp;"_"&amp;$A93, Predicciones_Master!$A$4:$Q$2000, 8, FALSE), "N/A")</f>
        <v/>
      </c>
      <c r="R93" s="12">
        <f>IF($D93="Por Jugar", "", IFERROR(VLOOKUP(Q$1&amp;"_"&amp;$A93, Predicciones_Master!$A$4:$Q$2000, 11, FALSE), 0))</f>
        <v/>
      </c>
      <c r="S93" s="8">
        <f>IFERROR(VLOOKUP(S$1&amp;"_"&amp;$A93, Predicciones_Master!$A$4:$Q$2000, 7, FALSE) &amp; " - " &amp; VLOOKUP(S$1&amp;"_"&amp;$A93, Predicciones_Master!$A$4:$Q$2000, 8, FALSE), "N/A")</f>
        <v/>
      </c>
      <c r="T93" s="12">
        <f>IF($D93="Por Jugar", "", IFERROR(VLOOKUP(S$1&amp;"_"&amp;$A93, Predicciones_Master!$A$4:$Q$2000, 11, FALSE), 0))</f>
        <v/>
      </c>
      <c r="U93" s="8">
        <f>IFERROR(VLOOKUP(U$1&amp;"_"&amp;$A93, Predicciones_Master!$A$4:$Q$2000, 7, FALSE) &amp; " - " &amp; VLOOKUP(U$1&amp;"_"&amp;$A93, Predicciones_Master!$A$4:$Q$2000, 8, FALSE), "N/A")</f>
        <v/>
      </c>
      <c r="V93" s="12">
        <f>IF($D93="Por Jugar", "", IFERROR(VLOOKUP(U$1&amp;"_"&amp;$A93, Predicciones_Master!$A$4:$Q$2000, 11, FALSE), 0))</f>
        <v/>
      </c>
      <c r="W93" s="8">
        <f>IFERROR(VLOOKUP(W$1&amp;"_"&amp;$A93, Predicciones_Master!$A$4:$Q$2000, 7, FALSE) &amp; " - " &amp; VLOOKUP(W$1&amp;"_"&amp;$A93, Predicciones_Master!$A$4:$Q$2000, 8, FALSE), "N/A")</f>
        <v/>
      </c>
      <c r="X93" s="12">
        <f>IF($D93="Por Jugar", "", IFERROR(VLOOKUP(W$1&amp;"_"&amp;$A93, Predicciones_Master!$A$4:$Q$2000, 11, FALSE), 0))</f>
        <v/>
      </c>
    </row>
    <row r="94" ht="20" customHeight="1">
      <c r="A94" s="8">
        <f>Resultados_Reales!A94</f>
        <v/>
      </c>
      <c r="B94" s="8">
        <f>Resultados_Reales!B94</f>
        <v/>
      </c>
      <c r="C94" s="9">
        <f>Resultados_Reales!C94 &amp; " vs " &amp; Resultados_Reales!D94</f>
        <v/>
      </c>
      <c r="D94" s="10">
        <f>IF(OR(Resultados_Reales!E94="", Resultados_Reales!F94=""), "Por Jugar", Resultados_Reales!E94 &amp; " - " &amp; Resultados_Reales!F94)</f>
        <v/>
      </c>
      <c r="E94" s="8">
        <f>IFERROR(VLOOKUP(E$1&amp;"_"&amp;$A94, Predicciones_Master!$A$4:$Q$2000, 7, FALSE) &amp; " - " &amp; VLOOKUP(E$1&amp;"_"&amp;$A94, Predicciones_Master!$A$4:$Q$2000, 8, FALSE), "N/A")</f>
        <v/>
      </c>
      <c r="F94" s="12">
        <f>IF($D94="Por Jugar", "", IFERROR(VLOOKUP(E$1&amp;"_"&amp;$A94, Predicciones_Master!$A$4:$Q$2000, 11, FALSE), 0))</f>
        <v/>
      </c>
      <c r="G94" s="8">
        <f>IFERROR(VLOOKUP(G$1&amp;"_"&amp;$A94, Predicciones_Master!$A$4:$Q$2000, 7, FALSE) &amp; " - " &amp; VLOOKUP(G$1&amp;"_"&amp;$A94, Predicciones_Master!$A$4:$Q$2000, 8, FALSE), "N/A")</f>
        <v/>
      </c>
      <c r="H94" s="12">
        <f>IF($D94="Por Jugar", "", IFERROR(VLOOKUP(G$1&amp;"_"&amp;$A94, Predicciones_Master!$A$4:$Q$2000, 11, FALSE), 0))</f>
        <v/>
      </c>
      <c r="I94" s="8">
        <f>IFERROR(VLOOKUP(I$1&amp;"_"&amp;$A94, Predicciones_Master!$A$4:$Q$2000, 7, FALSE) &amp; " - " &amp; VLOOKUP(I$1&amp;"_"&amp;$A94, Predicciones_Master!$A$4:$Q$2000, 8, FALSE), "N/A")</f>
        <v/>
      </c>
      <c r="J94" s="12">
        <f>IF($D94="Por Jugar", "", IFERROR(VLOOKUP(I$1&amp;"_"&amp;$A94, Predicciones_Master!$A$4:$Q$2000, 11, FALSE), 0))</f>
        <v/>
      </c>
      <c r="K94" s="8">
        <f>IFERROR(VLOOKUP(K$1&amp;"_"&amp;$A94, Predicciones_Master!$A$4:$Q$2000, 7, FALSE) &amp; " - " &amp; VLOOKUP(K$1&amp;"_"&amp;$A94, Predicciones_Master!$A$4:$Q$2000, 8, FALSE), "N/A")</f>
        <v/>
      </c>
      <c r="L94" s="12">
        <f>IF($D94="Por Jugar", "", IFERROR(VLOOKUP(K$1&amp;"_"&amp;$A94, Predicciones_Master!$A$4:$Q$2000, 11, FALSE), 0))</f>
        <v/>
      </c>
      <c r="M94" s="8">
        <f>IFERROR(VLOOKUP(M$1&amp;"_"&amp;$A94, Predicciones_Master!$A$4:$Q$2000, 7, FALSE) &amp; " - " &amp; VLOOKUP(M$1&amp;"_"&amp;$A94, Predicciones_Master!$A$4:$Q$2000, 8, FALSE), "N/A")</f>
        <v/>
      </c>
      <c r="N94" s="12">
        <f>IF($D94="Por Jugar", "", IFERROR(VLOOKUP(M$1&amp;"_"&amp;$A94, Predicciones_Master!$A$4:$Q$2000, 11, FALSE), 0))</f>
        <v/>
      </c>
      <c r="O94" s="8">
        <f>IFERROR(VLOOKUP(O$1&amp;"_"&amp;$A94, Predicciones_Master!$A$4:$Q$2000, 7, FALSE) &amp; " - " &amp; VLOOKUP(O$1&amp;"_"&amp;$A94, Predicciones_Master!$A$4:$Q$2000, 8, FALSE), "N/A")</f>
        <v/>
      </c>
      <c r="P94" s="12">
        <f>IF($D94="Por Jugar", "", IFERROR(VLOOKUP(O$1&amp;"_"&amp;$A94, Predicciones_Master!$A$4:$Q$2000, 11, FALSE), 0))</f>
        <v/>
      </c>
      <c r="Q94" s="8">
        <f>IFERROR(VLOOKUP(Q$1&amp;"_"&amp;$A94, Predicciones_Master!$A$4:$Q$2000, 7, FALSE) &amp; " - " &amp; VLOOKUP(Q$1&amp;"_"&amp;$A94, Predicciones_Master!$A$4:$Q$2000, 8, FALSE), "N/A")</f>
        <v/>
      </c>
      <c r="R94" s="12">
        <f>IF($D94="Por Jugar", "", IFERROR(VLOOKUP(Q$1&amp;"_"&amp;$A94, Predicciones_Master!$A$4:$Q$2000, 11, FALSE), 0))</f>
        <v/>
      </c>
      <c r="S94" s="8">
        <f>IFERROR(VLOOKUP(S$1&amp;"_"&amp;$A94, Predicciones_Master!$A$4:$Q$2000, 7, FALSE) &amp; " - " &amp; VLOOKUP(S$1&amp;"_"&amp;$A94, Predicciones_Master!$A$4:$Q$2000, 8, FALSE), "N/A")</f>
        <v/>
      </c>
      <c r="T94" s="12">
        <f>IF($D94="Por Jugar", "", IFERROR(VLOOKUP(S$1&amp;"_"&amp;$A94, Predicciones_Master!$A$4:$Q$2000, 11, FALSE), 0))</f>
        <v/>
      </c>
      <c r="U94" s="8">
        <f>IFERROR(VLOOKUP(U$1&amp;"_"&amp;$A94, Predicciones_Master!$A$4:$Q$2000, 7, FALSE) &amp; " - " &amp; VLOOKUP(U$1&amp;"_"&amp;$A94, Predicciones_Master!$A$4:$Q$2000, 8, FALSE), "N/A")</f>
        <v/>
      </c>
      <c r="V94" s="12">
        <f>IF($D94="Por Jugar", "", IFERROR(VLOOKUP(U$1&amp;"_"&amp;$A94, Predicciones_Master!$A$4:$Q$2000, 11, FALSE), 0))</f>
        <v/>
      </c>
      <c r="W94" s="8">
        <f>IFERROR(VLOOKUP(W$1&amp;"_"&amp;$A94, Predicciones_Master!$A$4:$Q$2000, 7, FALSE) &amp; " - " &amp; VLOOKUP(W$1&amp;"_"&amp;$A94, Predicciones_Master!$A$4:$Q$2000, 8, FALSE), "N/A")</f>
        <v/>
      </c>
      <c r="X94" s="12">
        <f>IF($D94="Por Jugar", "", IFERROR(VLOOKUP(W$1&amp;"_"&amp;$A94, Predicciones_Master!$A$4:$Q$2000, 11, FALSE), 0))</f>
        <v/>
      </c>
    </row>
    <row r="95" ht="20" customHeight="1">
      <c r="A95" s="8">
        <f>Resultados_Reales!A95</f>
        <v/>
      </c>
      <c r="B95" s="8">
        <f>Resultados_Reales!B95</f>
        <v/>
      </c>
      <c r="C95" s="9">
        <f>Resultados_Reales!C95 &amp; " vs " &amp; Resultados_Reales!D95</f>
        <v/>
      </c>
      <c r="D95" s="10">
        <f>IF(OR(Resultados_Reales!E95="", Resultados_Reales!F95=""), "Por Jugar", Resultados_Reales!E95 &amp; " - " &amp; Resultados_Reales!F95)</f>
        <v/>
      </c>
      <c r="E95" s="8">
        <f>IFERROR(VLOOKUP(E$1&amp;"_"&amp;$A95, Predicciones_Master!$A$4:$Q$2000, 7, FALSE) &amp; " - " &amp; VLOOKUP(E$1&amp;"_"&amp;$A95, Predicciones_Master!$A$4:$Q$2000, 8, FALSE), "N/A")</f>
        <v/>
      </c>
      <c r="F95" s="12">
        <f>IF($D95="Por Jugar", "", IFERROR(VLOOKUP(E$1&amp;"_"&amp;$A95, Predicciones_Master!$A$4:$Q$2000, 11, FALSE), 0))</f>
        <v/>
      </c>
      <c r="G95" s="8">
        <f>IFERROR(VLOOKUP(G$1&amp;"_"&amp;$A95, Predicciones_Master!$A$4:$Q$2000, 7, FALSE) &amp; " - " &amp; VLOOKUP(G$1&amp;"_"&amp;$A95, Predicciones_Master!$A$4:$Q$2000, 8, FALSE), "N/A")</f>
        <v/>
      </c>
      <c r="H95" s="12">
        <f>IF($D95="Por Jugar", "", IFERROR(VLOOKUP(G$1&amp;"_"&amp;$A95, Predicciones_Master!$A$4:$Q$2000, 11, FALSE), 0))</f>
        <v/>
      </c>
      <c r="I95" s="8">
        <f>IFERROR(VLOOKUP(I$1&amp;"_"&amp;$A95, Predicciones_Master!$A$4:$Q$2000, 7, FALSE) &amp; " - " &amp; VLOOKUP(I$1&amp;"_"&amp;$A95, Predicciones_Master!$A$4:$Q$2000, 8, FALSE), "N/A")</f>
        <v/>
      </c>
      <c r="J95" s="12">
        <f>IF($D95="Por Jugar", "", IFERROR(VLOOKUP(I$1&amp;"_"&amp;$A95, Predicciones_Master!$A$4:$Q$2000, 11, FALSE), 0))</f>
        <v/>
      </c>
      <c r="K95" s="8">
        <f>IFERROR(VLOOKUP(K$1&amp;"_"&amp;$A95, Predicciones_Master!$A$4:$Q$2000, 7, FALSE) &amp; " - " &amp; VLOOKUP(K$1&amp;"_"&amp;$A95, Predicciones_Master!$A$4:$Q$2000, 8, FALSE), "N/A")</f>
        <v/>
      </c>
      <c r="L95" s="12">
        <f>IF($D95="Por Jugar", "", IFERROR(VLOOKUP(K$1&amp;"_"&amp;$A95, Predicciones_Master!$A$4:$Q$2000, 11, FALSE), 0))</f>
        <v/>
      </c>
      <c r="M95" s="8">
        <f>IFERROR(VLOOKUP(M$1&amp;"_"&amp;$A95, Predicciones_Master!$A$4:$Q$2000, 7, FALSE) &amp; " - " &amp; VLOOKUP(M$1&amp;"_"&amp;$A95, Predicciones_Master!$A$4:$Q$2000, 8, FALSE), "N/A")</f>
        <v/>
      </c>
      <c r="N95" s="12">
        <f>IF($D95="Por Jugar", "", IFERROR(VLOOKUP(M$1&amp;"_"&amp;$A95, Predicciones_Master!$A$4:$Q$2000, 11, FALSE), 0))</f>
        <v/>
      </c>
      <c r="O95" s="8">
        <f>IFERROR(VLOOKUP(O$1&amp;"_"&amp;$A95, Predicciones_Master!$A$4:$Q$2000, 7, FALSE) &amp; " - " &amp; VLOOKUP(O$1&amp;"_"&amp;$A95, Predicciones_Master!$A$4:$Q$2000, 8, FALSE), "N/A")</f>
        <v/>
      </c>
      <c r="P95" s="12">
        <f>IF($D95="Por Jugar", "", IFERROR(VLOOKUP(O$1&amp;"_"&amp;$A95, Predicciones_Master!$A$4:$Q$2000, 11, FALSE), 0))</f>
        <v/>
      </c>
      <c r="Q95" s="8">
        <f>IFERROR(VLOOKUP(Q$1&amp;"_"&amp;$A95, Predicciones_Master!$A$4:$Q$2000, 7, FALSE) &amp; " - " &amp; VLOOKUP(Q$1&amp;"_"&amp;$A95, Predicciones_Master!$A$4:$Q$2000, 8, FALSE), "N/A")</f>
        <v/>
      </c>
      <c r="R95" s="12">
        <f>IF($D95="Por Jugar", "", IFERROR(VLOOKUP(Q$1&amp;"_"&amp;$A95, Predicciones_Master!$A$4:$Q$2000, 11, FALSE), 0))</f>
        <v/>
      </c>
      <c r="S95" s="8">
        <f>IFERROR(VLOOKUP(S$1&amp;"_"&amp;$A95, Predicciones_Master!$A$4:$Q$2000, 7, FALSE) &amp; " - " &amp; VLOOKUP(S$1&amp;"_"&amp;$A95, Predicciones_Master!$A$4:$Q$2000, 8, FALSE), "N/A")</f>
        <v/>
      </c>
      <c r="T95" s="12">
        <f>IF($D95="Por Jugar", "", IFERROR(VLOOKUP(S$1&amp;"_"&amp;$A95, Predicciones_Master!$A$4:$Q$2000, 11, FALSE), 0))</f>
        <v/>
      </c>
      <c r="U95" s="8">
        <f>IFERROR(VLOOKUP(U$1&amp;"_"&amp;$A95, Predicciones_Master!$A$4:$Q$2000, 7, FALSE) &amp; " - " &amp; VLOOKUP(U$1&amp;"_"&amp;$A95, Predicciones_Master!$A$4:$Q$2000, 8, FALSE), "N/A")</f>
        <v/>
      </c>
      <c r="V95" s="12">
        <f>IF($D95="Por Jugar", "", IFERROR(VLOOKUP(U$1&amp;"_"&amp;$A95, Predicciones_Master!$A$4:$Q$2000, 11, FALSE), 0))</f>
        <v/>
      </c>
      <c r="W95" s="8">
        <f>IFERROR(VLOOKUP(W$1&amp;"_"&amp;$A95, Predicciones_Master!$A$4:$Q$2000, 7, FALSE) &amp; " - " &amp; VLOOKUP(W$1&amp;"_"&amp;$A95, Predicciones_Master!$A$4:$Q$2000, 8, FALSE), "N/A")</f>
        <v/>
      </c>
      <c r="X95" s="12">
        <f>IF($D95="Por Jugar", "", IFERROR(VLOOKUP(W$1&amp;"_"&amp;$A95, Predicciones_Master!$A$4:$Q$2000, 11, FALSE), 0))</f>
        <v/>
      </c>
    </row>
    <row r="96" ht="20" customHeight="1">
      <c r="A96" s="8">
        <f>Resultados_Reales!A96</f>
        <v/>
      </c>
      <c r="B96" s="8">
        <f>Resultados_Reales!B96</f>
        <v/>
      </c>
      <c r="C96" s="9">
        <f>Resultados_Reales!C96 &amp; " vs " &amp; Resultados_Reales!D96</f>
        <v/>
      </c>
      <c r="D96" s="10">
        <f>IF(OR(Resultados_Reales!E96="", Resultados_Reales!F96=""), "Por Jugar", Resultados_Reales!E96 &amp; " - " &amp; Resultados_Reales!F96)</f>
        <v/>
      </c>
      <c r="E96" s="8">
        <f>IFERROR(VLOOKUP(E$1&amp;"_"&amp;$A96, Predicciones_Master!$A$4:$Q$2000, 7, FALSE) &amp; " - " &amp; VLOOKUP(E$1&amp;"_"&amp;$A96, Predicciones_Master!$A$4:$Q$2000, 8, FALSE), "N/A")</f>
        <v/>
      </c>
      <c r="F96" s="12">
        <f>IF($D96="Por Jugar", "", IFERROR(VLOOKUP(E$1&amp;"_"&amp;$A96, Predicciones_Master!$A$4:$Q$2000, 11, FALSE), 0))</f>
        <v/>
      </c>
      <c r="G96" s="8">
        <f>IFERROR(VLOOKUP(G$1&amp;"_"&amp;$A96, Predicciones_Master!$A$4:$Q$2000, 7, FALSE) &amp; " - " &amp; VLOOKUP(G$1&amp;"_"&amp;$A96, Predicciones_Master!$A$4:$Q$2000, 8, FALSE), "N/A")</f>
        <v/>
      </c>
      <c r="H96" s="12">
        <f>IF($D96="Por Jugar", "", IFERROR(VLOOKUP(G$1&amp;"_"&amp;$A96, Predicciones_Master!$A$4:$Q$2000, 11, FALSE), 0))</f>
        <v/>
      </c>
      <c r="I96" s="8">
        <f>IFERROR(VLOOKUP(I$1&amp;"_"&amp;$A96, Predicciones_Master!$A$4:$Q$2000, 7, FALSE) &amp; " - " &amp; VLOOKUP(I$1&amp;"_"&amp;$A96, Predicciones_Master!$A$4:$Q$2000, 8, FALSE), "N/A")</f>
        <v/>
      </c>
      <c r="J96" s="12">
        <f>IF($D96="Por Jugar", "", IFERROR(VLOOKUP(I$1&amp;"_"&amp;$A96, Predicciones_Master!$A$4:$Q$2000, 11, FALSE), 0))</f>
        <v/>
      </c>
      <c r="K96" s="8">
        <f>IFERROR(VLOOKUP(K$1&amp;"_"&amp;$A96, Predicciones_Master!$A$4:$Q$2000, 7, FALSE) &amp; " - " &amp; VLOOKUP(K$1&amp;"_"&amp;$A96, Predicciones_Master!$A$4:$Q$2000, 8, FALSE), "N/A")</f>
        <v/>
      </c>
      <c r="L96" s="12">
        <f>IF($D96="Por Jugar", "", IFERROR(VLOOKUP(K$1&amp;"_"&amp;$A96, Predicciones_Master!$A$4:$Q$2000, 11, FALSE), 0))</f>
        <v/>
      </c>
      <c r="M96" s="8">
        <f>IFERROR(VLOOKUP(M$1&amp;"_"&amp;$A96, Predicciones_Master!$A$4:$Q$2000, 7, FALSE) &amp; " - " &amp; VLOOKUP(M$1&amp;"_"&amp;$A96, Predicciones_Master!$A$4:$Q$2000, 8, FALSE), "N/A")</f>
        <v/>
      </c>
      <c r="N96" s="12">
        <f>IF($D96="Por Jugar", "", IFERROR(VLOOKUP(M$1&amp;"_"&amp;$A96, Predicciones_Master!$A$4:$Q$2000, 11, FALSE), 0))</f>
        <v/>
      </c>
      <c r="O96" s="8">
        <f>IFERROR(VLOOKUP(O$1&amp;"_"&amp;$A96, Predicciones_Master!$A$4:$Q$2000, 7, FALSE) &amp; " - " &amp; VLOOKUP(O$1&amp;"_"&amp;$A96, Predicciones_Master!$A$4:$Q$2000, 8, FALSE), "N/A")</f>
        <v/>
      </c>
      <c r="P96" s="12">
        <f>IF($D96="Por Jugar", "", IFERROR(VLOOKUP(O$1&amp;"_"&amp;$A96, Predicciones_Master!$A$4:$Q$2000, 11, FALSE), 0))</f>
        <v/>
      </c>
      <c r="Q96" s="8">
        <f>IFERROR(VLOOKUP(Q$1&amp;"_"&amp;$A96, Predicciones_Master!$A$4:$Q$2000, 7, FALSE) &amp; " - " &amp; VLOOKUP(Q$1&amp;"_"&amp;$A96, Predicciones_Master!$A$4:$Q$2000, 8, FALSE), "N/A")</f>
        <v/>
      </c>
      <c r="R96" s="12">
        <f>IF($D96="Por Jugar", "", IFERROR(VLOOKUP(Q$1&amp;"_"&amp;$A96, Predicciones_Master!$A$4:$Q$2000, 11, FALSE), 0))</f>
        <v/>
      </c>
      <c r="S96" s="8">
        <f>IFERROR(VLOOKUP(S$1&amp;"_"&amp;$A96, Predicciones_Master!$A$4:$Q$2000, 7, FALSE) &amp; " - " &amp; VLOOKUP(S$1&amp;"_"&amp;$A96, Predicciones_Master!$A$4:$Q$2000, 8, FALSE), "N/A")</f>
        <v/>
      </c>
      <c r="T96" s="12">
        <f>IF($D96="Por Jugar", "", IFERROR(VLOOKUP(S$1&amp;"_"&amp;$A96, Predicciones_Master!$A$4:$Q$2000, 11, FALSE), 0))</f>
        <v/>
      </c>
      <c r="U96" s="8">
        <f>IFERROR(VLOOKUP(U$1&amp;"_"&amp;$A96, Predicciones_Master!$A$4:$Q$2000, 7, FALSE) &amp; " - " &amp; VLOOKUP(U$1&amp;"_"&amp;$A96, Predicciones_Master!$A$4:$Q$2000, 8, FALSE), "N/A")</f>
        <v/>
      </c>
      <c r="V96" s="12">
        <f>IF($D96="Por Jugar", "", IFERROR(VLOOKUP(U$1&amp;"_"&amp;$A96, Predicciones_Master!$A$4:$Q$2000, 11, FALSE), 0))</f>
        <v/>
      </c>
      <c r="W96" s="8">
        <f>IFERROR(VLOOKUP(W$1&amp;"_"&amp;$A96, Predicciones_Master!$A$4:$Q$2000, 7, FALSE) &amp; " - " &amp; VLOOKUP(W$1&amp;"_"&amp;$A96, Predicciones_Master!$A$4:$Q$2000, 8, FALSE), "N/A")</f>
        <v/>
      </c>
      <c r="X96" s="12">
        <f>IF($D96="Por Jugar", "", IFERROR(VLOOKUP(W$1&amp;"_"&amp;$A96, Predicciones_Master!$A$4:$Q$2000, 11, FALSE), 0))</f>
        <v/>
      </c>
    </row>
    <row r="97" ht="20" customHeight="1">
      <c r="A97" s="8">
        <f>Resultados_Reales!A97</f>
        <v/>
      </c>
      <c r="B97" s="8">
        <f>Resultados_Reales!B97</f>
        <v/>
      </c>
      <c r="C97" s="9">
        <f>Resultados_Reales!C97 &amp; " vs " &amp; Resultados_Reales!D97</f>
        <v/>
      </c>
      <c r="D97" s="10">
        <f>IF(OR(Resultados_Reales!E97="", Resultados_Reales!F97=""), "Por Jugar", Resultados_Reales!E97 &amp; " - " &amp; Resultados_Reales!F97)</f>
        <v/>
      </c>
      <c r="E97" s="8">
        <f>IFERROR(VLOOKUP(E$1&amp;"_"&amp;$A97, Predicciones_Master!$A$4:$Q$2000, 7, FALSE) &amp; " - " &amp; VLOOKUP(E$1&amp;"_"&amp;$A97, Predicciones_Master!$A$4:$Q$2000, 8, FALSE), "N/A")</f>
        <v/>
      </c>
      <c r="F97" s="12">
        <f>IF($D97="Por Jugar", "", IFERROR(VLOOKUP(E$1&amp;"_"&amp;$A97, Predicciones_Master!$A$4:$Q$2000, 11, FALSE), 0))</f>
        <v/>
      </c>
      <c r="G97" s="8">
        <f>IFERROR(VLOOKUP(G$1&amp;"_"&amp;$A97, Predicciones_Master!$A$4:$Q$2000, 7, FALSE) &amp; " - " &amp; VLOOKUP(G$1&amp;"_"&amp;$A97, Predicciones_Master!$A$4:$Q$2000, 8, FALSE), "N/A")</f>
        <v/>
      </c>
      <c r="H97" s="12">
        <f>IF($D97="Por Jugar", "", IFERROR(VLOOKUP(G$1&amp;"_"&amp;$A97, Predicciones_Master!$A$4:$Q$2000, 11, FALSE), 0))</f>
        <v/>
      </c>
      <c r="I97" s="8">
        <f>IFERROR(VLOOKUP(I$1&amp;"_"&amp;$A97, Predicciones_Master!$A$4:$Q$2000, 7, FALSE) &amp; " - " &amp; VLOOKUP(I$1&amp;"_"&amp;$A97, Predicciones_Master!$A$4:$Q$2000, 8, FALSE), "N/A")</f>
        <v/>
      </c>
      <c r="J97" s="12">
        <f>IF($D97="Por Jugar", "", IFERROR(VLOOKUP(I$1&amp;"_"&amp;$A97, Predicciones_Master!$A$4:$Q$2000, 11, FALSE), 0))</f>
        <v/>
      </c>
      <c r="K97" s="8">
        <f>IFERROR(VLOOKUP(K$1&amp;"_"&amp;$A97, Predicciones_Master!$A$4:$Q$2000, 7, FALSE) &amp; " - " &amp; VLOOKUP(K$1&amp;"_"&amp;$A97, Predicciones_Master!$A$4:$Q$2000, 8, FALSE), "N/A")</f>
        <v/>
      </c>
      <c r="L97" s="12">
        <f>IF($D97="Por Jugar", "", IFERROR(VLOOKUP(K$1&amp;"_"&amp;$A97, Predicciones_Master!$A$4:$Q$2000, 11, FALSE), 0))</f>
        <v/>
      </c>
      <c r="M97" s="8">
        <f>IFERROR(VLOOKUP(M$1&amp;"_"&amp;$A97, Predicciones_Master!$A$4:$Q$2000, 7, FALSE) &amp; " - " &amp; VLOOKUP(M$1&amp;"_"&amp;$A97, Predicciones_Master!$A$4:$Q$2000, 8, FALSE), "N/A")</f>
        <v/>
      </c>
      <c r="N97" s="12">
        <f>IF($D97="Por Jugar", "", IFERROR(VLOOKUP(M$1&amp;"_"&amp;$A97, Predicciones_Master!$A$4:$Q$2000, 11, FALSE), 0))</f>
        <v/>
      </c>
      <c r="O97" s="8">
        <f>IFERROR(VLOOKUP(O$1&amp;"_"&amp;$A97, Predicciones_Master!$A$4:$Q$2000, 7, FALSE) &amp; " - " &amp; VLOOKUP(O$1&amp;"_"&amp;$A97, Predicciones_Master!$A$4:$Q$2000, 8, FALSE), "N/A")</f>
        <v/>
      </c>
      <c r="P97" s="12">
        <f>IF($D97="Por Jugar", "", IFERROR(VLOOKUP(O$1&amp;"_"&amp;$A97, Predicciones_Master!$A$4:$Q$2000, 11, FALSE), 0))</f>
        <v/>
      </c>
      <c r="Q97" s="8">
        <f>IFERROR(VLOOKUP(Q$1&amp;"_"&amp;$A97, Predicciones_Master!$A$4:$Q$2000, 7, FALSE) &amp; " - " &amp; VLOOKUP(Q$1&amp;"_"&amp;$A97, Predicciones_Master!$A$4:$Q$2000, 8, FALSE), "N/A")</f>
        <v/>
      </c>
      <c r="R97" s="12">
        <f>IF($D97="Por Jugar", "", IFERROR(VLOOKUP(Q$1&amp;"_"&amp;$A97, Predicciones_Master!$A$4:$Q$2000, 11, FALSE), 0))</f>
        <v/>
      </c>
      <c r="S97" s="8">
        <f>IFERROR(VLOOKUP(S$1&amp;"_"&amp;$A97, Predicciones_Master!$A$4:$Q$2000, 7, FALSE) &amp; " - " &amp; VLOOKUP(S$1&amp;"_"&amp;$A97, Predicciones_Master!$A$4:$Q$2000, 8, FALSE), "N/A")</f>
        <v/>
      </c>
      <c r="T97" s="12">
        <f>IF($D97="Por Jugar", "", IFERROR(VLOOKUP(S$1&amp;"_"&amp;$A97, Predicciones_Master!$A$4:$Q$2000, 11, FALSE), 0))</f>
        <v/>
      </c>
      <c r="U97" s="8">
        <f>IFERROR(VLOOKUP(U$1&amp;"_"&amp;$A97, Predicciones_Master!$A$4:$Q$2000, 7, FALSE) &amp; " - " &amp; VLOOKUP(U$1&amp;"_"&amp;$A97, Predicciones_Master!$A$4:$Q$2000, 8, FALSE), "N/A")</f>
        <v/>
      </c>
      <c r="V97" s="12">
        <f>IF($D97="Por Jugar", "", IFERROR(VLOOKUP(U$1&amp;"_"&amp;$A97, Predicciones_Master!$A$4:$Q$2000, 11, FALSE), 0))</f>
        <v/>
      </c>
      <c r="W97" s="8">
        <f>IFERROR(VLOOKUP(W$1&amp;"_"&amp;$A97, Predicciones_Master!$A$4:$Q$2000, 7, FALSE) &amp; " - " &amp; VLOOKUP(W$1&amp;"_"&amp;$A97, Predicciones_Master!$A$4:$Q$2000, 8, FALSE), "N/A")</f>
        <v/>
      </c>
      <c r="X97" s="12">
        <f>IF($D97="Por Jugar", "", IFERROR(VLOOKUP(W$1&amp;"_"&amp;$A97, Predicciones_Master!$A$4:$Q$2000, 11, FALSE), 0))</f>
        <v/>
      </c>
    </row>
    <row r="98" ht="20" customHeight="1">
      <c r="A98" s="8">
        <f>Resultados_Reales!A98</f>
        <v/>
      </c>
      <c r="B98" s="8">
        <f>Resultados_Reales!B98</f>
        <v/>
      </c>
      <c r="C98" s="9">
        <f>Resultados_Reales!C98 &amp; " vs " &amp; Resultados_Reales!D98</f>
        <v/>
      </c>
      <c r="D98" s="10">
        <f>IF(OR(Resultados_Reales!E98="", Resultados_Reales!F98=""), "Por Jugar", Resultados_Reales!E98 &amp; " - " &amp; Resultados_Reales!F98)</f>
        <v/>
      </c>
      <c r="E98" s="8">
        <f>IFERROR(VLOOKUP(E$1&amp;"_"&amp;$A98, Predicciones_Master!$A$4:$Q$2000, 7, FALSE) &amp; " - " &amp; VLOOKUP(E$1&amp;"_"&amp;$A98, Predicciones_Master!$A$4:$Q$2000, 8, FALSE), "N/A")</f>
        <v/>
      </c>
      <c r="F98" s="12">
        <f>IF($D98="Por Jugar", "", IFERROR(VLOOKUP(E$1&amp;"_"&amp;$A98, Predicciones_Master!$A$4:$Q$2000, 11, FALSE), 0))</f>
        <v/>
      </c>
      <c r="G98" s="8">
        <f>IFERROR(VLOOKUP(G$1&amp;"_"&amp;$A98, Predicciones_Master!$A$4:$Q$2000, 7, FALSE) &amp; " - " &amp; VLOOKUP(G$1&amp;"_"&amp;$A98, Predicciones_Master!$A$4:$Q$2000, 8, FALSE), "N/A")</f>
        <v/>
      </c>
      <c r="H98" s="12">
        <f>IF($D98="Por Jugar", "", IFERROR(VLOOKUP(G$1&amp;"_"&amp;$A98, Predicciones_Master!$A$4:$Q$2000, 11, FALSE), 0))</f>
        <v/>
      </c>
      <c r="I98" s="8">
        <f>IFERROR(VLOOKUP(I$1&amp;"_"&amp;$A98, Predicciones_Master!$A$4:$Q$2000, 7, FALSE) &amp; " - " &amp; VLOOKUP(I$1&amp;"_"&amp;$A98, Predicciones_Master!$A$4:$Q$2000, 8, FALSE), "N/A")</f>
        <v/>
      </c>
      <c r="J98" s="12">
        <f>IF($D98="Por Jugar", "", IFERROR(VLOOKUP(I$1&amp;"_"&amp;$A98, Predicciones_Master!$A$4:$Q$2000, 11, FALSE), 0))</f>
        <v/>
      </c>
      <c r="K98" s="8">
        <f>IFERROR(VLOOKUP(K$1&amp;"_"&amp;$A98, Predicciones_Master!$A$4:$Q$2000, 7, FALSE) &amp; " - " &amp; VLOOKUP(K$1&amp;"_"&amp;$A98, Predicciones_Master!$A$4:$Q$2000, 8, FALSE), "N/A")</f>
        <v/>
      </c>
      <c r="L98" s="12">
        <f>IF($D98="Por Jugar", "", IFERROR(VLOOKUP(K$1&amp;"_"&amp;$A98, Predicciones_Master!$A$4:$Q$2000, 11, FALSE), 0))</f>
        <v/>
      </c>
      <c r="M98" s="8">
        <f>IFERROR(VLOOKUP(M$1&amp;"_"&amp;$A98, Predicciones_Master!$A$4:$Q$2000, 7, FALSE) &amp; " - " &amp; VLOOKUP(M$1&amp;"_"&amp;$A98, Predicciones_Master!$A$4:$Q$2000, 8, FALSE), "N/A")</f>
        <v/>
      </c>
      <c r="N98" s="12">
        <f>IF($D98="Por Jugar", "", IFERROR(VLOOKUP(M$1&amp;"_"&amp;$A98, Predicciones_Master!$A$4:$Q$2000, 11, FALSE), 0))</f>
        <v/>
      </c>
      <c r="O98" s="8">
        <f>IFERROR(VLOOKUP(O$1&amp;"_"&amp;$A98, Predicciones_Master!$A$4:$Q$2000, 7, FALSE) &amp; " - " &amp; VLOOKUP(O$1&amp;"_"&amp;$A98, Predicciones_Master!$A$4:$Q$2000, 8, FALSE), "N/A")</f>
        <v/>
      </c>
      <c r="P98" s="12">
        <f>IF($D98="Por Jugar", "", IFERROR(VLOOKUP(O$1&amp;"_"&amp;$A98, Predicciones_Master!$A$4:$Q$2000, 11, FALSE), 0))</f>
        <v/>
      </c>
      <c r="Q98" s="8">
        <f>IFERROR(VLOOKUP(Q$1&amp;"_"&amp;$A98, Predicciones_Master!$A$4:$Q$2000, 7, FALSE) &amp; " - " &amp; VLOOKUP(Q$1&amp;"_"&amp;$A98, Predicciones_Master!$A$4:$Q$2000, 8, FALSE), "N/A")</f>
        <v/>
      </c>
      <c r="R98" s="12">
        <f>IF($D98="Por Jugar", "", IFERROR(VLOOKUP(Q$1&amp;"_"&amp;$A98, Predicciones_Master!$A$4:$Q$2000, 11, FALSE), 0))</f>
        <v/>
      </c>
      <c r="S98" s="8">
        <f>IFERROR(VLOOKUP(S$1&amp;"_"&amp;$A98, Predicciones_Master!$A$4:$Q$2000, 7, FALSE) &amp; " - " &amp; VLOOKUP(S$1&amp;"_"&amp;$A98, Predicciones_Master!$A$4:$Q$2000, 8, FALSE), "N/A")</f>
        <v/>
      </c>
      <c r="T98" s="12">
        <f>IF($D98="Por Jugar", "", IFERROR(VLOOKUP(S$1&amp;"_"&amp;$A98, Predicciones_Master!$A$4:$Q$2000, 11, FALSE), 0))</f>
        <v/>
      </c>
      <c r="U98" s="8">
        <f>IFERROR(VLOOKUP(U$1&amp;"_"&amp;$A98, Predicciones_Master!$A$4:$Q$2000, 7, FALSE) &amp; " - " &amp; VLOOKUP(U$1&amp;"_"&amp;$A98, Predicciones_Master!$A$4:$Q$2000, 8, FALSE), "N/A")</f>
        <v/>
      </c>
      <c r="V98" s="12">
        <f>IF($D98="Por Jugar", "", IFERROR(VLOOKUP(U$1&amp;"_"&amp;$A98, Predicciones_Master!$A$4:$Q$2000, 11, FALSE), 0))</f>
        <v/>
      </c>
      <c r="W98" s="8">
        <f>IFERROR(VLOOKUP(W$1&amp;"_"&amp;$A98, Predicciones_Master!$A$4:$Q$2000, 7, FALSE) &amp; " - " &amp; VLOOKUP(W$1&amp;"_"&amp;$A98, Predicciones_Master!$A$4:$Q$2000, 8, FALSE), "N/A")</f>
        <v/>
      </c>
      <c r="X98" s="12">
        <f>IF($D98="Por Jugar", "", IFERROR(VLOOKUP(W$1&amp;"_"&amp;$A98, Predicciones_Master!$A$4:$Q$2000, 11, FALSE), 0))</f>
        <v/>
      </c>
    </row>
    <row r="99" ht="20" customHeight="1">
      <c r="A99" s="8">
        <f>Resultados_Reales!A99</f>
        <v/>
      </c>
      <c r="B99" s="8">
        <f>Resultados_Reales!B99</f>
        <v/>
      </c>
      <c r="C99" s="9">
        <f>Resultados_Reales!C99 &amp; " vs " &amp; Resultados_Reales!D99</f>
        <v/>
      </c>
      <c r="D99" s="10">
        <f>IF(OR(Resultados_Reales!E99="", Resultados_Reales!F99=""), "Por Jugar", Resultados_Reales!E99 &amp; " - " &amp; Resultados_Reales!F99)</f>
        <v/>
      </c>
      <c r="E99" s="8">
        <f>IFERROR(VLOOKUP(E$1&amp;"_"&amp;$A99, Predicciones_Master!$A$4:$Q$2000, 7, FALSE) &amp; " - " &amp; VLOOKUP(E$1&amp;"_"&amp;$A99, Predicciones_Master!$A$4:$Q$2000, 8, FALSE), "N/A")</f>
        <v/>
      </c>
      <c r="F99" s="12">
        <f>IF($D99="Por Jugar", "", IFERROR(VLOOKUP(E$1&amp;"_"&amp;$A99, Predicciones_Master!$A$4:$Q$2000, 11, FALSE), 0))</f>
        <v/>
      </c>
      <c r="G99" s="8">
        <f>IFERROR(VLOOKUP(G$1&amp;"_"&amp;$A99, Predicciones_Master!$A$4:$Q$2000, 7, FALSE) &amp; " - " &amp; VLOOKUP(G$1&amp;"_"&amp;$A99, Predicciones_Master!$A$4:$Q$2000, 8, FALSE), "N/A")</f>
        <v/>
      </c>
      <c r="H99" s="12">
        <f>IF($D99="Por Jugar", "", IFERROR(VLOOKUP(G$1&amp;"_"&amp;$A99, Predicciones_Master!$A$4:$Q$2000, 11, FALSE), 0))</f>
        <v/>
      </c>
      <c r="I99" s="8">
        <f>IFERROR(VLOOKUP(I$1&amp;"_"&amp;$A99, Predicciones_Master!$A$4:$Q$2000, 7, FALSE) &amp; " - " &amp; VLOOKUP(I$1&amp;"_"&amp;$A99, Predicciones_Master!$A$4:$Q$2000, 8, FALSE), "N/A")</f>
        <v/>
      </c>
      <c r="J99" s="12">
        <f>IF($D99="Por Jugar", "", IFERROR(VLOOKUP(I$1&amp;"_"&amp;$A99, Predicciones_Master!$A$4:$Q$2000, 11, FALSE), 0))</f>
        <v/>
      </c>
      <c r="K99" s="8">
        <f>IFERROR(VLOOKUP(K$1&amp;"_"&amp;$A99, Predicciones_Master!$A$4:$Q$2000, 7, FALSE) &amp; " - " &amp; VLOOKUP(K$1&amp;"_"&amp;$A99, Predicciones_Master!$A$4:$Q$2000, 8, FALSE), "N/A")</f>
        <v/>
      </c>
      <c r="L99" s="12">
        <f>IF($D99="Por Jugar", "", IFERROR(VLOOKUP(K$1&amp;"_"&amp;$A99, Predicciones_Master!$A$4:$Q$2000, 11, FALSE), 0))</f>
        <v/>
      </c>
      <c r="M99" s="8">
        <f>IFERROR(VLOOKUP(M$1&amp;"_"&amp;$A99, Predicciones_Master!$A$4:$Q$2000, 7, FALSE) &amp; " - " &amp; VLOOKUP(M$1&amp;"_"&amp;$A99, Predicciones_Master!$A$4:$Q$2000, 8, FALSE), "N/A")</f>
        <v/>
      </c>
      <c r="N99" s="12">
        <f>IF($D99="Por Jugar", "", IFERROR(VLOOKUP(M$1&amp;"_"&amp;$A99, Predicciones_Master!$A$4:$Q$2000, 11, FALSE), 0))</f>
        <v/>
      </c>
      <c r="O99" s="8">
        <f>IFERROR(VLOOKUP(O$1&amp;"_"&amp;$A99, Predicciones_Master!$A$4:$Q$2000, 7, FALSE) &amp; " - " &amp; VLOOKUP(O$1&amp;"_"&amp;$A99, Predicciones_Master!$A$4:$Q$2000, 8, FALSE), "N/A")</f>
        <v/>
      </c>
      <c r="P99" s="12">
        <f>IF($D99="Por Jugar", "", IFERROR(VLOOKUP(O$1&amp;"_"&amp;$A99, Predicciones_Master!$A$4:$Q$2000, 11, FALSE), 0))</f>
        <v/>
      </c>
      <c r="Q99" s="8">
        <f>IFERROR(VLOOKUP(Q$1&amp;"_"&amp;$A99, Predicciones_Master!$A$4:$Q$2000, 7, FALSE) &amp; " - " &amp; VLOOKUP(Q$1&amp;"_"&amp;$A99, Predicciones_Master!$A$4:$Q$2000, 8, FALSE), "N/A")</f>
        <v/>
      </c>
      <c r="R99" s="12">
        <f>IF($D99="Por Jugar", "", IFERROR(VLOOKUP(Q$1&amp;"_"&amp;$A99, Predicciones_Master!$A$4:$Q$2000, 11, FALSE), 0))</f>
        <v/>
      </c>
      <c r="S99" s="8">
        <f>IFERROR(VLOOKUP(S$1&amp;"_"&amp;$A99, Predicciones_Master!$A$4:$Q$2000, 7, FALSE) &amp; " - " &amp; VLOOKUP(S$1&amp;"_"&amp;$A99, Predicciones_Master!$A$4:$Q$2000, 8, FALSE), "N/A")</f>
        <v/>
      </c>
      <c r="T99" s="12">
        <f>IF($D99="Por Jugar", "", IFERROR(VLOOKUP(S$1&amp;"_"&amp;$A99, Predicciones_Master!$A$4:$Q$2000, 11, FALSE), 0))</f>
        <v/>
      </c>
      <c r="U99" s="8">
        <f>IFERROR(VLOOKUP(U$1&amp;"_"&amp;$A99, Predicciones_Master!$A$4:$Q$2000, 7, FALSE) &amp; " - " &amp; VLOOKUP(U$1&amp;"_"&amp;$A99, Predicciones_Master!$A$4:$Q$2000, 8, FALSE), "N/A")</f>
        <v/>
      </c>
      <c r="V99" s="12">
        <f>IF($D99="Por Jugar", "", IFERROR(VLOOKUP(U$1&amp;"_"&amp;$A99, Predicciones_Master!$A$4:$Q$2000, 11, FALSE), 0))</f>
        <v/>
      </c>
      <c r="W99" s="8">
        <f>IFERROR(VLOOKUP(W$1&amp;"_"&amp;$A99, Predicciones_Master!$A$4:$Q$2000, 7, FALSE) &amp; " - " &amp; VLOOKUP(W$1&amp;"_"&amp;$A99, Predicciones_Master!$A$4:$Q$2000, 8, FALSE), "N/A")</f>
        <v/>
      </c>
      <c r="X99" s="12">
        <f>IF($D99="Por Jugar", "", IFERROR(VLOOKUP(W$1&amp;"_"&amp;$A99, Predicciones_Master!$A$4:$Q$2000, 11, FALSE), 0))</f>
        <v/>
      </c>
    </row>
    <row r="100" ht="20" customHeight="1">
      <c r="A100" s="8">
        <f>Resultados_Reales!A100</f>
        <v/>
      </c>
      <c r="B100" s="8">
        <f>Resultados_Reales!B100</f>
        <v/>
      </c>
      <c r="C100" s="9">
        <f>Resultados_Reales!C100 &amp; " vs " &amp; Resultados_Reales!D100</f>
        <v/>
      </c>
      <c r="D100" s="10">
        <f>IF(OR(Resultados_Reales!E100="", Resultados_Reales!F100=""), "Por Jugar", Resultados_Reales!E100 &amp; " - " &amp; Resultados_Reales!F100)</f>
        <v/>
      </c>
      <c r="E100" s="8">
        <f>IFERROR(VLOOKUP(E$1&amp;"_"&amp;$A100, Predicciones_Master!$A$4:$Q$2000, 7, FALSE) &amp; " - " &amp; VLOOKUP(E$1&amp;"_"&amp;$A100, Predicciones_Master!$A$4:$Q$2000, 8, FALSE), "N/A")</f>
        <v/>
      </c>
      <c r="F100" s="12">
        <f>IF($D100="Por Jugar", "", IFERROR(VLOOKUP(E$1&amp;"_"&amp;$A100, Predicciones_Master!$A$4:$Q$2000, 11, FALSE), 0))</f>
        <v/>
      </c>
      <c r="G100" s="8">
        <f>IFERROR(VLOOKUP(G$1&amp;"_"&amp;$A100, Predicciones_Master!$A$4:$Q$2000, 7, FALSE) &amp; " - " &amp; VLOOKUP(G$1&amp;"_"&amp;$A100, Predicciones_Master!$A$4:$Q$2000, 8, FALSE), "N/A")</f>
        <v/>
      </c>
      <c r="H100" s="12">
        <f>IF($D100="Por Jugar", "", IFERROR(VLOOKUP(G$1&amp;"_"&amp;$A100, Predicciones_Master!$A$4:$Q$2000, 11, FALSE), 0))</f>
        <v/>
      </c>
      <c r="I100" s="8">
        <f>IFERROR(VLOOKUP(I$1&amp;"_"&amp;$A100, Predicciones_Master!$A$4:$Q$2000, 7, FALSE) &amp; " - " &amp; VLOOKUP(I$1&amp;"_"&amp;$A100, Predicciones_Master!$A$4:$Q$2000, 8, FALSE), "N/A")</f>
        <v/>
      </c>
      <c r="J100" s="12">
        <f>IF($D100="Por Jugar", "", IFERROR(VLOOKUP(I$1&amp;"_"&amp;$A100, Predicciones_Master!$A$4:$Q$2000, 11, FALSE), 0))</f>
        <v/>
      </c>
      <c r="K100" s="8">
        <f>IFERROR(VLOOKUP(K$1&amp;"_"&amp;$A100, Predicciones_Master!$A$4:$Q$2000, 7, FALSE) &amp; " - " &amp; VLOOKUP(K$1&amp;"_"&amp;$A100, Predicciones_Master!$A$4:$Q$2000, 8, FALSE), "N/A")</f>
        <v/>
      </c>
      <c r="L100" s="12">
        <f>IF($D100="Por Jugar", "", IFERROR(VLOOKUP(K$1&amp;"_"&amp;$A100, Predicciones_Master!$A$4:$Q$2000, 11, FALSE), 0))</f>
        <v/>
      </c>
      <c r="M100" s="8">
        <f>IFERROR(VLOOKUP(M$1&amp;"_"&amp;$A100, Predicciones_Master!$A$4:$Q$2000, 7, FALSE) &amp; " - " &amp; VLOOKUP(M$1&amp;"_"&amp;$A100, Predicciones_Master!$A$4:$Q$2000, 8, FALSE), "N/A")</f>
        <v/>
      </c>
      <c r="N100" s="12">
        <f>IF($D100="Por Jugar", "", IFERROR(VLOOKUP(M$1&amp;"_"&amp;$A100, Predicciones_Master!$A$4:$Q$2000, 11, FALSE), 0))</f>
        <v/>
      </c>
      <c r="O100" s="8">
        <f>IFERROR(VLOOKUP(O$1&amp;"_"&amp;$A100, Predicciones_Master!$A$4:$Q$2000, 7, FALSE) &amp; " - " &amp; VLOOKUP(O$1&amp;"_"&amp;$A100, Predicciones_Master!$A$4:$Q$2000, 8, FALSE), "N/A")</f>
        <v/>
      </c>
      <c r="P100" s="12">
        <f>IF($D100="Por Jugar", "", IFERROR(VLOOKUP(O$1&amp;"_"&amp;$A100, Predicciones_Master!$A$4:$Q$2000, 11, FALSE), 0))</f>
        <v/>
      </c>
      <c r="Q100" s="8">
        <f>IFERROR(VLOOKUP(Q$1&amp;"_"&amp;$A100, Predicciones_Master!$A$4:$Q$2000, 7, FALSE) &amp; " - " &amp; VLOOKUP(Q$1&amp;"_"&amp;$A100, Predicciones_Master!$A$4:$Q$2000, 8, FALSE), "N/A")</f>
        <v/>
      </c>
      <c r="R100" s="12">
        <f>IF($D100="Por Jugar", "", IFERROR(VLOOKUP(Q$1&amp;"_"&amp;$A100, Predicciones_Master!$A$4:$Q$2000, 11, FALSE), 0))</f>
        <v/>
      </c>
      <c r="S100" s="8">
        <f>IFERROR(VLOOKUP(S$1&amp;"_"&amp;$A100, Predicciones_Master!$A$4:$Q$2000, 7, FALSE) &amp; " - " &amp; VLOOKUP(S$1&amp;"_"&amp;$A100, Predicciones_Master!$A$4:$Q$2000, 8, FALSE), "N/A")</f>
        <v/>
      </c>
      <c r="T100" s="12">
        <f>IF($D100="Por Jugar", "", IFERROR(VLOOKUP(S$1&amp;"_"&amp;$A100, Predicciones_Master!$A$4:$Q$2000, 11, FALSE), 0))</f>
        <v/>
      </c>
      <c r="U100" s="8">
        <f>IFERROR(VLOOKUP(U$1&amp;"_"&amp;$A100, Predicciones_Master!$A$4:$Q$2000, 7, FALSE) &amp; " - " &amp; VLOOKUP(U$1&amp;"_"&amp;$A100, Predicciones_Master!$A$4:$Q$2000, 8, FALSE), "N/A")</f>
        <v/>
      </c>
      <c r="V100" s="12">
        <f>IF($D100="Por Jugar", "", IFERROR(VLOOKUP(U$1&amp;"_"&amp;$A100, Predicciones_Master!$A$4:$Q$2000, 11, FALSE), 0))</f>
        <v/>
      </c>
      <c r="W100" s="8">
        <f>IFERROR(VLOOKUP(W$1&amp;"_"&amp;$A100, Predicciones_Master!$A$4:$Q$2000, 7, FALSE) &amp; " - " &amp; VLOOKUP(W$1&amp;"_"&amp;$A100, Predicciones_Master!$A$4:$Q$2000, 8, FALSE), "N/A")</f>
        <v/>
      </c>
      <c r="X100" s="12">
        <f>IF($D100="Por Jugar", "", IFERROR(VLOOKUP(W$1&amp;"_"&amp;$A100, Predicciones_Master!$A$4:$Q$2000, 11, FALSE), 0))</f>
        <v/>
      </c>
    </row>
    <row r="101" ht="20" customHeight="1">
      <c r="A101" s="8">
        <f>Resultados_Reales!A101</f>
        <v/>
      </c>
      <c r="B101" s="8">
        <f>Resultados_Reales!B101</f>
        <v/>
      </c>
      <c r="C101" s="9">
        <f>Resultados_Reales!C101 &amp; " vs " &amp; Resultados_Reales!D101</f>
        <v/>
      </c>
      <c r="D101" s="10">
        <f>IF(OR(Resultados_Reales!E101="", Resultados_Reales!F101=""), "Por Jugar", Resultados_Reales!E101 &amp; " - " &amp; Resultados_Reales!F101)</f>
        <v/>
      </c>
      <c r="E101" s="8">
        <f>IFERROR(VLOOKUP(E$1&amp;"_"&amp;$A101, Predicciones_Master!$A$4:$Q$2000, 7, FALSE) &amp; " - " &amp; VLOOKUP(E$1&amp;"_"&amp;$A101, Predicciones_Master!$A$4:$Q$2000, 8, FALSE), "N/A")</f>
        <v/>
      </c>
      <c r="F101" s="12">
        <f>IF($D101="Por Jugar", "", IFERROR(VLOOKUP(E$1&amp;"_"&amp;$A101, Predicciones_Master!$A$4:$Q$2000, 11, FALSE), 0))</f>
        <v/>
      </c>
      <c r="G101" s="8">
        <f>IFERROR(VLOOKUP(G$1&amp;"_"&amp;$A101, Predicciones_Master!$A$4:$Q$2000, 7, FALSE) &amp; " - " &amp; VLOOKUP(G$1&amp;"_"&amp;$A101, Predicciones_Master!$A$4:$Q$2000, 8, FALSE), "N/A")</f>
        <v/>
      </c>
      <c r="H101" s="12">
        <f>IF($D101="Por Jugar", "", IFERROR(VLOOKUP(G$1&amp;"_"&amp;$A101, Predicciones_Master!$A$4:$Q$2000, 11, FALSE), 0))</f>
        <v/>
      </c>
      <c r="I101" s="8">
        <f>IFERROR(VLOOKUP(I$1&amp;"_"&amp;$A101, Predicciones_Master!$A$4:$Q$2000, 7, FALSE) &amp; " - " &amp; VLOOKUP(I$1&amp;"_"&amp;$A101, Predicciones_Master!$A$4:$Q$2000, 8, FALSE), "N/A")</f>
        <v/>
      </c>
      <c r="J101" s="12">
        <f>IF($D101="Por Jugar", "", IFERROR(VLOOKUP(I$1&amp;"_"&amp;$A101, Predicciones_Master!$A$4:$Q$2000, 11, FALSE), 0))</f>
        <v/>
      </c>
      <c r="K101" s="8">
        <f>IFERROR(VLOOKUP(K$1&amp;"_"&amp;$A101, Predicciones_Master!$A$4:$Q$2000, 7, FALSE) &amp; " - " &amp; VLOOKUP(K$1&amp;"_"&amp;$A101, Predicciones_Master!$A$4:$Q$2000, 8, FALSE), "N/A")</f>
        <v/>
      </c>
      <c r="L101" s="12">
        <f>IF($D101="Por Jugar", "", IFERROR(VLOOKUP(K$1&amp;"_"&amp;$A101, Predicciones_Master!$A$4:$Q$2000, 11, FALSE), 0))</f>
        <v/>
      </c>
      <c r="M101" s="8">
        <f>IFERROR(VLOOKUP(M$1&amp;"_"&amp;$A101, Predicciones_Master!$A$4:$Q$2000, 7, FALSE) &amp; " - " &amp; VLOOKUP(M$1&amp;"_"&amp;$A101, Predicciones_Master!$A$4:$Q$2000, 8, FALSE), "N/A")</f>
        <v/>
      </c>
      <c r="N101" s="12">
        <f>IF($D101="Por Jugar", "", IFERROR(VLOOKUP(M$1&amp;"_"&amp;$A101, Predicciones_Master!$A$4:$Q$2000, 11, FALSE), 0))</f>
        <v/>
      </c>
      <c r="O101" s="8">
        <f>IFERROR(VLOOKUP(O$1&amp;"_"&amp;$A101, Predicciones_Master!$A$4:$Q$2000, 7, FALSE) &amp; " - " &amp; VLOOKUP(O$1&amp;"_"&amp;$A101, Predicciones_Master!$A$4:$Q$2000, 8, FALSE), "N/A")</f>
        <v/>
      </c>
      <c r="P101" s="12">
        <f>IF($D101="Por Jugar", "", IFERROR(VLOOKUP(O$1&amp;"_"&amp;$A101, Predicciones_Master!$A$4:$Q$2000, 11, FALSE), 0))</f>
        <v/>
      </c>
      <c r="Q101" s="8">
        <f>IFERROR(VLOOKUP(Q$1&amp;"_"&amp;$A101, Predicciones_Master!$A$4:$Q$2000, 7, FALSE) &amp; " - " &amp; VLOOKUP(Q$1&amp;"_"&amp;$A101, Predicciones_Master!$A$4:$Q$2000, 8, FALSE), "N/A")</f>
        <v/>
      </c>
      <c r="R101" s="12">
        <f>IF($D101="Por Jugar", "", IFERROR(VLOOKUP(Q$1&amp;"_"&amp;$A101, Predicciones_Master!$A$4:$Q$2000, 11, FALSE), 0))</f>
        <v/>
      </c>
      <c r="S101" s="8">
        <f>IFERROR(VLOOKUP(S$1&amp;"_"&amp;$A101, Predicciones_Master!$A$4:$Q$2000, 7, FALSE) &amp; " - " &amp; VLOOKUP(S$1&amp;"_"&amp;$A101, Predicciones_Master!$A$4:$Q$2000, 8, FALSE), "N/A")</f>
        <v/>
      </c>
      <c r="T101" s="12">
        <f>IF($D101="Por Jugar", "", IFERROR(VLOOKUP(S$1&amp;"_"&amp;$A101, Predicciones_Master!$A$4:$Q$2000, 11, FALSE), 0))</f>
        <v/>
      </c>
      <c r="U101" s="8">
        <f>IFERROR(VLOOKUP(U$1&amp;"_"&amp;$A101, Predicciones_Master!$A$4:$Q$2000, 7, FALSE) &amp; " - " &amp; VLOOKUP(U$1&amp;"_"&amp;$A101, Predicciones_Master!$A$4:$Q$2000, 8, FALSE), "N/A")</f>
        <v/>
      </c>
      <c r="V101" s="12">
        <f>IF($D101="Por Jugar", "", IFERROR(VLOOKUP(U$1&amp;"_"&amp;$A101, Predicciones_Master!$A$4:$Q$2000, 11, FALSE), 0))</f>
        <v/>
      </c>
      <c r="W101" s="8">
        <f>IFERROR(VLOOKUP(W$1&amp;"_"&amp;$A101, Predicciones_Master!$A$4:$Q$2000, 7, FALSE) &amp; " - " &amp; VLOOKUP(W$1&amp;"_"&amp;$A101, Predicciones_Master!$A$4:$Q$2000, 8, FALSE), "N/A")</f>
        <v/>
      </c>
      <c r="X101" s="12">
        <f>IF($D101="Por Jugar", "", IFERROR(VLOOKUP(W$1&amp;"_"&amp;$A101, Predicciones_Master!$A$4:$Q$2000, 11, FALSE), 0))</f>
        <v/>
      </c>
    </row>
    <row r="102" ht="20" customHeight="1">
      <c r="A102" s="8">
        <f>Resultados_Reales!A102</f>
        <v/>
      </c>
      <c r="B102" s="8">
        <f>Resultados_Reales!B102</f>
        <v/>
      </c>
      <c r="C102" s="9">
        <f>Resultados_Reales!C102 &amp; " vs " &amp; Resultados_Reales!D102</f>
        <v/>
      </c>
      <c r="D102" s="10">
        <f>IF(OR(Resultados_Reales!E102="", Resultados_Reales!F102=""), "Por Jugar", Resultados_Reales!E102 &amp; " - " &amp; Resultados_Reales!F102)</f>
        <v/>
      </c>
      <c r="E102" s="8">
        <f>IFERROR(VLOOKUP(E$1&amp;"_"&amp;$A102, Predicciones_Master!$A$4:$Q$2000, 7, FALSE) &amp; " - " &amp; VLOOKUP(E$1&amp;"_"&amp;$A102, Predicciones_Master!$A$4:$Q$2000, 8, FALSE), "N/A")</f>
        <v/>
      </c>
      <c r="F102" s="12">
        <f>IF($D102="Por Jugar", "", IFERROR(VLOOKUP(E$1&amp;"_"&amp;$A102, Predicciones_Master!$A$4:$Q$2000, 11, FALSE), 0))</f>
        <v/>
      </c>
      <c r="G102" s="8">
        <f>IFERROR(VLOOKUP(G$1&amp;"_"&amp;$A102, Predicciones_Master!$A$4:$Q$2000, 7, FALSE) &amp; " - " &amp; VLOOKUP(G$1&amp;"_"&amp;$A102, Predicciones_Master!$A$4:$Q$2000, 8, FALSE), "N/A")</f>
        <v/>
      </c>
      <c r="H102" s="12">
        <f>IF($D102="Por Jugar", "", IFERROR(VLOOKUP(G$1&amp;"_"&amp;$A102, Predicciones_Master!$A$4:$Q$2000, 11, FALSE), 0))</f>
        <v/>
      </c>
      <c r="I102" s="8">
        <f>IFERROR(VLOOKUP(I$1&amp;"_"&amp;$A102, Predicciones_Master!$A$4:$Q$2000, 7, FALSE) &amp; " - " &amp; VLOOKUP(I$1&amp;"_"&amp;$A102, Predicciones_Master!$A$4:$Q$2000, 8, FALSE), "N/A")</f>
        <v/>
      </c>
      <c r="J102" s="12">
        <f>IF($D102="Por Jugar", "", IFERROR(VLOOKUP(I$1&amp;"_"&amp;$A102, Predicciones_Master!$A$4:$Q$2000, 11, FALSE), 0))</f>
        <v/>
      </c>
      <c r="K102" s="8">
        <f>IFERROR(VLOOKUP(K$1&amp;"_"&amp;$A102, Predicciones_Master!$A$4:$Q$2000, 7, FALSE) &amp; " - " &amp; VLOOKUP(K$1&amp;"_"&amp;$A102, Predicciones_Master!$A$4:$Q$2000, 8, FALSE), "N/A")</f>
        <v/>
      </c>
      <c r="L102" s="12">
        <f>IF($D102="Por Jugar", "", IFERROR(VLOOKUP(K$1&amp;"_"&amp;$A102, Predicciones_Master!$A$4:$Q$2000, 11, FALSE), 0))</f>
        <v/>
      </c>
      <c r="M102" s="8">
        <f>IFERROR(VLOOKUP(M$1&amp;"_"&amp;$A102, Predicciones_Master!$A$4:$Q$2000, 7, FALSE) &amp; " - " &amp; VLOOKUP(M$1&amp;"_"&amp;$A102, Predicciones_Master!$A$4:$Q$2000, 8, FALSE), "N/A")</f>
        <v/>
      </c>
      <c r="N102" s="12">
        <f>IF($D102="Por Jugar", "", IFERROR(VLOOKUP(M$1&amp;"_"&amp;$A102, Predicciones_Master!$A$4:$Q$2000, 11, FALSE), 0))</f>
        <v/>
      </c>
      <c r="O102" s="8">
        <f>IFERROR(VLOOKUP(O$1&amp;"_"&amp;$A102, Predicciones_Master!$A$4:$Q$2000, 7, FALSE) &amp; " - " &amp; VLOOKUP(O$1&amp;"_"&amp;$A102, Predicciones_Master!$A$4:$Q$2000, 8, FALSE), "N/A")</f>
        <v/>
      </c>
      <c r="P102" s="12">
        <f>IF($D102="Por Jugar", "", IFERROR(VLOOKUP(O$1&amp;"_"&amp;$A102, Predicciones_Master!$A$4:$Q$2000, 11, FALSE), 0))</f>
        <v/>
      </c>
      <c r="Q102" s="8">
        <f>IFERROR(VLOOKUP(Q$1&amp;"_"&amp;$A102, Predicciones_Master!$A$4:$Q$2000, 7, FALSE) &amp; " - " &amp; VLOOKUP(Q$1&amp;"_"&amp;$A102, Predicciones_Master!$A$4:$Q$2000, 8, FALSE), "N/A")</f>
        <v/>
      </c>
      <c r="R102" s="12">
        <f>IF($D102="Por Jugar", "", IFERROR(VLOOKUP(Q$1&amp;"_"&amp;$A102, Predicciones_Master!$A$4:$Q$2000, 11, FALSE), 0))</f>
        <v/>
      </c>
      <c r="S102" s="8">
        <f>IFERROR(VLOOKUP(S$1&amp;"_"&amp;$A102, Predicciones_Master!$A$4:$Q$2000, 7, FALSE) &amp; " - " &amp; VLOOKUP(S$1&amp;"_"&amp;$A102, Predicciones_Master!$A$4:$Q$2000, 8, FALSE), "N/A")</f>
        <v/>
      </c>
      <c r="T102" s="12">
        <f>IF($D102="Por Jugar", "", IFERROR(VLOOKUP(S$1&amp;"_"&amp;$A102, Predicciones_Master!$A$4:$Q$2000, 11, FALSE), 0))</f>
        <v/>
      </c>
      <c r="U102" s="8">
        <f>IFERROR(VLOOKUP(U$1&amp;"_"&amp;$A102, Predicciones_Master!$A$4:$Q$2000, 7, FALSE) &amp; " - " &amp; VLOOKUP(U$1&amp;"_"&amp;$A102, Predicciones_Master!$A$4:$Q$2000, 8, FALSE), "N/A")</f>
        <v/>
      </c>
      <c r="V102" s="12">
        <f>IF($D102="Por Jugar", "", IFERROR(VLOOKUP(U$1&amp;"_"&amp;$A102, Predicciones_Master!$A$4:$Q$2000, 11, FALSE), 0))</f>
        <v/>
      </c>
      <c r="W102" s="8">
        <f>IFERROR(VLOOKUP(W$1&amp;"_"&amp;$A102, Predicciones_Master!$A$4:$Q$2000, 7, FALSE) &amp; " - " &amp; VLOOKUP(W$1&amp;"_"&amp;$A102, Predicciones_Master!$A$4:$Q$2000, 8, FALSE), "N/A")</f>
        <v/>
      </c>
      <c r="X102" s="12">
        <f>IF($D102="Por Jugar", "", IFERROR(VLOOKUP(W$1&amp;"_"&amp;$A102, Predicciones_Master!$A$4:$Q$2000, 11, FALSE), 0))</f>
        <v/>
      </c>
    </row>
    <row r="103" ht="20" customHeight="1">
      <c r="A103" s="8">
        <f>Resultados_Reales!A103</f>
        <v/>
      </c>
      <c r="B103" s="8">
        <f>Resultados_Reales!B103</f>
        <v/>
      </c>
      <c r="C103" s="9">
        <f>Resultados_Reales!C103 &amp; " vs " &amp; Resultados_Reales!D103</f>
        <v/>
      </c>
      <c r="D103" s="10">
        <f>IF(OR(Resultados_Reales!E103="", Resultados_Reales!F103=""), "Por Jugar", Resultados_Reales!E103 &amp; " - " &amp; Resultados_Reales!F103)</f>
        <v/>
      </c>
      <c r="E103" s="8">
        <f>IFERROR(VLOOKUP(E$1&amp;"_"&amp;$A103, Predicciones_Master!$A$4:$Q$2000, 7, FALSE) &amp; " - " &amp; VLOOKUP(E$1&amp;"_"&amp;$A103, Predicciones_Master!$A$4:$Q$2000, 8, FALSE), "N/A")</f>
        <v/>
      </c>
      <c r="F103" s="12">
        <f>IF($D103="Por Jugar", "", IFERROR(VLOOKUP(E$1&amp;"_"&amp;$A103, Predicciones_Master!$A$4:$Q$2000, 11, FALSE), 0))</f>
        <v/>
      </c>
      <c r="G103" s="8">
        <f>IFERROR(VLOOKUP(G$1&amp;"_"&amp;$A103, Predicciones_Master!$A$4:$Q$2000, 7, FALSE) &amp; " - " &amp; VLOOKUP(G$1&amp;"_"&amp;$A103, Predicciones_Master!$A$4:$Q$2000, 8, FALSE), "N/A")</f>
        <v/>
      </c>
      <c r="H103" s="12">
        <f>IF($D103="Por Jugar", "", IFERROR(VLOOKUP(G$1&amp;"_"&amp;$A103, Predicciones_Master!$A$4:$Q$2000, 11, FALSE), 0))</f>
        <v/>
      </c>
      <c r="I103" s="8">
        <f>IFERROR(VLOOKUP(I$1&amp;"_"&amp;$A103, Predicciones_Master!$A$4:$Q$2000, 7, FALSE) &amp; " - " &amp; VLOOKUP(I$1&amp;"_"&amp;$A103, Predicciones_Master!$A$4:$Q$2000, 8, FALSE), "N/A")</f>
        <v/>
      </c>
      <c r="J103" s="12">
        <f>IF($D103="Por Jugar", "", IFERROR(VLOOKUP(I$1&amp;"_"&amp;$A103, Predicciones_Master!$A$4:$Q$2000, 11, FALSE), 0))</f>
        <v/>
      </c>
      <c r="K103" s="8">
        <f>IFERROR(VLOOKUP(K$1&amp;"_"&amp;$A103, Predicciones_Master!$A$4:$Q$2000, 7, FALSE) &amp; " - " &amp; VLOOKUP(K$1&amp;"_"&amp;$A103, Predicciones_Master!$A$4:$Q$2000, 8, FALSE), "N/A")</f>
        <v/>
      </c>
      <c r="L103" s="12">
        <f>IF($D103="Por Jugar", "", IFERROR(VLOOKUP(K$1&amp;"_"&amp;$A103, Predicciones_Master!$A$4:$Q$2000, 11, FALSE), 0))</f>
        <v/>
      </c>
      <c r="M103" s="8">
        <f>IFERROR(VLOOKUP(M$1&amp;"_"&amp;$A103, Predicciones_Master!$A$4:$Q$2000, 7, FALSE) &amp; " - " &amp; VLOOKUP(M$1&amp;"_"&amp;$A103, Predicciones_Master!$A$4:$Q$2000, 8, FALSE), "N/A")</f>
        <v/>
      </c>
      <c r="N103" s="12">
        <f>IF($D103="Por Jugar", "", IFERROR(VLOOKUP(M$1&amp;"_"&amp;$A103, Predicciones_Master!$A$4:$Q$2000, 11, FALSE), 0))</f>
        <v/>
      </c>
      <c r="O103" s="8">
        <f>IFERROR(VLOOKUP(O$1&amp;"_"&amp;$A103, Predicciones_Master!$A$4:$Q$2000, 7, FALSE) &amp; " - " &amp; VLOOKUP(O$1&amp;"_"&amp;$A103, Predicciones_Master!$A$4:$Q$2000, 8, FALSE), "N/A")</f>
        <v/>
      </c>
      <c r="P103" s="12">
        <f>IF($D103="Por Jugar", "", IFERROR(VLOOKUP(O$1&amp;"_"&amp;$A103, Predicciones_Master!$A$4:$Q$2000, 11, FALSE), 0))</f>
        <v/>
      </c>
      <c r="Q103" s="8">
        <f>IFERROR(VLOOKUP(Q$1&amp;"_"&amp;$A103, Predicciones_Master!$A$4:$Q$2000, 7, FALSE) &amp; " - " &amp; VLOOKUP(Q$1&amp;"_"&amp;$A103, Predicciones_Master!$A$4:$Q$2000, 8, FALSE), "N/A")</f>
        <v/>
      </c>
      <c r="R103" s="12">
        <f>IF($D103="Por Jugar", "", IFERROR(VLOOKUP(Q$1&amp;"_"&amp;$A103, Predicciones_Master!$A$4:$Q$2000, 11, FALSE), 0))</f>
        <v/>
      </c>
      <c r="S103" s="8">
        <f>IFERROR(VLOOKUP(S$1&amp;"_"&amp;$A103, Predicciones_Master!$A$4:$Q$2000, 7, FALSE) &amp; " - " &amp; VLOOKUP(S$1&amp;"_"&amp;$A103, Predicciones_Master!$A$4:$Q$2000, 8, FALSE), "N/A")</f>
        <v/>
      </c>
      <c r="T103" s="12">
        <f>IF($D103="Por Jugar", "", IFERROR(VLOOKUP(S$1&amp;"_"&amp;$A103, Predicciones_Master!$A$4:$Q$2000, 11, FALSE), 0))</f>
        <v/>
      </c>
      <c r="U103" s="8">
        <f>IFERROR(VLOOKUP(U$1&amp;"_"&amp;$A103, Predicciones_Master!$A$4:$Q$2000, 7, FALSE) &amp; " - " &amp; VLOOKUP(U$1&amp;"_"&amp;$A103, Predicciones_Master!$A$4:$Q$2000, 8, FALSE), "N/A")</f>
        <v/>
      </c>
      <c r="V103" s="12">
        <f>IF($D103="Por Jugar", "", IFERROR(VLOOKUP(U$1&amp;"_"&amp;$A103, Predicciones_Master!$A$4:$Q$2000, 11, FALSE), 0))</f>
        <v/>
      </c>
      <c r="W103" s="8">
        <f>IFERROR(VLOOKUP(W$1&amp;"_"&amp;$A103, Predicciones_Master!$A$4:$Q$2000, 7, FALSE) &amp; " - " &amp; VLOOKUP(W$1&amp;"_"&amp;$A103, Predicciones_Master!$A$4:$Q$2000, 8, FALSE), "N/A")</f>
        <v/>
      </c>
      <c r="X103" s="12">
        <f>IF($D103="Por Jugar", "", IFERROR(VLOOKUP(W$1&amp;"_"&amp;$A103, Predicciones_Master!$A$4:$Q$2000, 11, FALSE), 0))</f>
        <v/>
      </c>
    </row>
    <row r="104" ht="20" customHeight="1">
      <c r="A104" s="8">
        <f>Resultados_Reales!A104</f>
        <v/>
      </c>
      <c r="B104" s="8">
        <f>Resultados_Reales!B104</f>
        <v/>
      </c>
      <c r="C104" s="9">
        <f>Resultados_Reales!C104 &amp; " vs " &amp; Resultados_Reales!D104</f>
        <v/>
      </c>
      <c r="D104" s="10">
        <f>IF(OR(Resultados_Reales!E104="", Resultados_Reales!F104=""), "Por Jugar", Resultados_Reales!E104 &amp; " - " &amp; Resultados_Reales!F104)</f>
        <v/>
      </c>
      <c r="E104" s="8">
        <f>IFERROR(VLOOKUP(E$1&amp;"_"&amp;$A104, Predicciones_Master!$A$4:$Q$2000, 7, FALSE) &amp; " - " &amp; VLOOKUP(E$1&amp;"_"&amp;$A104, Predicciones_Master!$A$4:$Q$2000, 8, FALSE), "N/A")</f>
        <v/>
      </c>
      <c r="F104" s="12">
        <f>IF($D104="Por Jugar", "", IFERROR(VLOOKUP(E$1&amp;"_"&amp;$A104, Predicciones_Master!$A$4:$Q$2000, 11, FALSE), 0))</f>
        <v/>
      </c>
      <c r="G104" s="8">
        <f>IFERROR(VLOOKUP(G$1&amp;"_"&amp;$A104, Predicciones_Master!$A$4:$Q$2000, 7, FALSE) &amp; " - " &amp; VLOOKUP(G$1&amp;"_"&amp;$A104, Predicciones_Master!$A$4:$Q$2000, 8, FALSE), "N/A")</f>
        <v/>
      </c>
      <c r="H104" s="12">
        <f>IF($D104="Por Jugar", "", IFERROR(VLOOKUP(G$1&amp;"_"&amp;$A104, Predicciones_Master!$A$4:$Q$2000, 11, FALSE), 0))</f>
        <v/>
      </c>
      <c r="I104" s="8">
        <f>IFERROR(VLOOKUP(I$1&amp;"_"&amp;$A104, Predicciones_Master!$A$4:$Q$2000, 7, FALSE) &amp; " - " &amp; VLOOKUP(I$1&amp;"_"&amp;$A104, Predicciones_Master!$A$4:$Q$2000, 8, FALSE), "N/A")</f>
        <v/>
      </c>
      <c r="J104" s="12">
        <f>IF($D104="Por Jugar", "", IFERROR(VLOOKUP(I$1&amp;"_"&amp;$A104, Predicciones_Master!$A$4:$Q$2000, 11, FALSE), 0))</f>
        <v/>
      </c>
      <c r="K104" s="8">
        <f>IFERROR(VLOOKUP(K$1&amp;"_"&amp;$A104, Predicciones_Master!$A$4:$Q$2000, 7, FALSE) &amp; " - " &amp; VLOOKUP(K$1&amp;"_"&amp;$A104, Predicciones_Master!$A$4:$Q$2000, 8, FALSE), "N/A")</f>
        <v/>
      </c>
      <c r="L104" s="12">
        <f>IF($D104="Por Jugar", "", IFERROR(VLOOKUP(K$1&amp;"_"&amp;$A104, Predicciones_Master!$A$4:$Q$2000, 11, FALSE), 0))</f>
        <v/>
      </c>
      <c r="M104" s="8">
        <f>IFERROR(VLOOKUP(M$1&amp;"_"&amp;$A104, Predicciones_Master!$A$4:$Q$2000, 7, FALSE) &amp; " - " &amp; VLOOKUP(M$1&amp;"_"&amp;$A104, Predicciones_Master!$A$4:$Q$2000, 8, FALSE), "N/A")</f>
        <v/>
      </c>
      <c r="N104" s="12">
        <f>IF($D104="Por Jugar", "", IFERROR(VLOOKUP(M$1&amp;"_"&amp;$A104, Predicciones_Master!$A$4:$Q$2000, 11, FALSE), 0))</f>
        <v/>
      </c>
      <c r="O104" s="8">
        <f>IFERROR(VLOOKUP(O$1&amp;"_"&amp;$A104, Predicciones_Master!$A$4:$Q$2000, 7, FALSE) &amp; " - " &amp; VLOOKUP(O$1&amp;"_"&amp;$A104, Predicciones_Master!$A$4:$Q$2000, 8, FALSE), "N/A")</f>
        <v/>
      </c>
      <c r="P104" s="12">
        <f>IF($D104="Por Jugar", "", IFERROR(VLOOKUP(O$1&amp;"_"&amp;$A104, Predicciones_Master!$A$4:$Q$2000, 11, FALSE), 0))</f>
        <v/>
      </c>
      <c r="Q104" s="8">
        <f>IFERROR(VLOOKUP(Q$1&amp;"_"&amp;$A104, Predicciones_Master!$A$4:$Q$2000, 7, FALSE) &amp; " - " &amp; VLOOKUP(Q$1&amp;"_"&amp;$A104, Predicciones_Master!$A$4:$Q$2000, 8, FALSE), "N/A")</f>
        <v/>
      </c>
      <c r="R104" s="12">
        <f>IF($D104="Por Jugar", "", IFERROR(VLOOKUP(Q$1&amp;"_"&amp;$A104, Predicciones_Master!$A$4:$Q$2000, 11, FALSE), 0))</f>
        <v/>
      </c>
      <c r="S104" s="8">
        <f>IFERROR(VLOOKUP(S$1&amp;"_"&amp;$A104, Predicciones_Master!$A$4:$Q$2000, 7, FALSE) &amp; " - " &amp; VLOOKUP(S$1&amp;"_"&amp;$A104, Predicciones_Master!$A$4:$Q$2000, 8, FALSE), "N/A")</f>
        <v/>
      </c>
      <c r="T104" s="12">
        <f>IF($D104="Por Jugar", "", IFERROR(VLOOKUP(S$1&amp;"_"&amp;$A104, Predicciones_Master!$A$4:$Q$2000, 11, FALSE), 0))</f>
        <v/>
      </c>
      <c r="U104" s="8">
        <f>IFERROR(VLOOKUP(U$1&amp;"_"&amp;$A104, Predicciones_Master!$A$4:$Q$2000, 7, FALSE) &amp; " - " &amp; VLOOKUP(U$1&amp;"_"&amp;$A104, Predicciones_Master!$A$4:$Q$2000, 8, FALSE), "N/A")</f>
        <v/>
      </c>
      <c r="V104" s="12">
        <f>IF($D104="Por Jugar", "", IFERROR(VLOOKUP(U$1&amp;"_"&amp;$A104, Predicciones_Master!$A$4:$Q$2000, 11, FALSE), 0))</f>
        <v/>
      </c>
      <c r="W104" s="8">
        <f>IFERROR(VLOOKUP(W$1&amp;"_"&amp;$A104, Predicciones_Master!$A$4:$Q$2000, 7, FALSE) &amp; " - " &amp; VLOOKUP(W$1&amp;"_"&amp;$A104, Predicciones_Master!$A$4:$Q$2000, 8, FALSE), "N/A")</f>
        <v/>
      </c>
      <c r="X104" s="12">
        <f>IF($D104="Por Jugar", "", IFERROR(VLOOKUP(W$1&amp;"_"&amp;$A104, Predicciones_Master!$A$4:$Q$2000, 11, FALSE), 0))</f>
        <v/>
      </c>
    </row>
    <row r="105" ht="20" customHeight="1">
      <c r="A105" s="8">
        <f>Resultados_Reales!A105</f>
        <v/>
      </c>
      <c r="B105" s="8">
        <f>Resultados_Reales!B105</f>
        <v/>
      </c>
      <c r="C105" s="9">
        <f>Resultados_Reales!C105 &amp; " vs " &amp; Resultados_Reales!D105</f>
        <v/>
      </c>
      <c r="D105" s="10">
        <f>IF(OR(Resultados_Reales!E105="", Resultados_Reales!F105=""), "Por Jugar", Resultados_Reales!E105 &amp; " - " &amp; Resultados_Reales!F105)</f>
        <v/>
      </c>
      <c r="E105" s="8">
        <f>IFERROR(VLOOKUP(E$1&amp;"_"&amp;$A105, Predicciones_Master!$A$4:$Q$2000, 7, FALSE) &amp; " - " &amp; VLOOKUP(E$1&amp;"_"&amp;$A105, Predicciones_Master!$A$4:$Q$2000, 8, FALSE), "N/A")</f>
        <v/>
      </c>
      <c r="F105" s="12">
        <f>IF($D105="Por Jugar", "", IFERROR(VLOOKUP(E$1&amp;"_"&amp;$A105, Predicciones_Master!$A$4:$Q$2000, 11, FALSE), 0))</f>
        <v/>
      </c>
      <c r="G105" s="8">
        <f>IFERROR(VLOOKUP(G$1&amp;"_"&amp;$A105, Predicciones_Master!$A$4:$Q$2000, 7, FALSE) &amp; " - " &amp; VLOOKUP(G$1&amp;"_"&amp;$A105, Predicciones_Master!$A$4:$Q$2000, 8, FALSE), "N/A")</f>
        <v/>
      </c>
      <c r="H105" s="12">
        <f>IF($D105="Por Jugar", "", IFERROR(VLOOKUP(G$1&amp;"_"&amp;$A105, Predicciones_Master!$A$4:$Q$2000, 11, FALSE), 0))</f>
        <v/>
      </c>
      <c r="I105" s="8">
        <f>IFERROR(VLOOKUP(I$1&amp;"_"&amp;$A105, Predicciones_Master!$A$4:$Q$2000, 7, FALSE) &amp; " - " &amp; VLOOKUP(I$1&amp;"_"&amp;$A105, Predicciones_Master!$A$4:$Q$2000, 8, FALSE), "N/A")</f>
        <v/>
      </c>
      <c r="J105" s="12">
        <f>IF($D105="Por Jugar", "", IFERROR(VLOOKUP(I$1&amp;"_"&amp;$A105, Predicciones_Master!$A$4:$Q$2000, 11, FALSE), 0))</f>
        <v/>
      </c>
      <c r="K105" s="8">
        <f>IFERROR(VLOOKUP(K$1&amp;"_"&amp;$A105, Predicciones_Master!$A$4:$Q$2000, 7, FALSE) &amp; " - " &amp; VLOOKUP(K$1&amp;"_"&amp;$A105, Predicciones_Master!$A$4:$Q$2000, 8, FALSE), "N/A")</f>
        <v/>
      </c>
      <c r="L105" s="12">
        <f>IF($D105="Por Jugar", "", IFERROR(VLOOKUP(K$1&amp;"_"&amp;$A105, Predicciones_Master!$A$4:$Q$2000, 11, FALSE), 0))</f>
        <v/>
      </c>
      <c r="M105" s="8">
        <f>IFERROR(VLOOKUP(M$1&amp;"_"&amp;$A105, Predicciones_Master!$A$4:$Q$2000, 7, FALSE) &amp; " - " &amp; VLOOKUP(M$1&amp;"_"&amp;$A105, Predicciones_Master!$A$4:$Q$2000, 8, FALSE), "N/A")</f>
        <v/>
      </c>
      <c r="N105" s="12">
        <f>IF($D105="Por Jugar", "", IFERROR(VLOOKUP(M$1&amp;"_"&amp;$A105, Predicciones_Master!$A$4:$Q$2000, 11, FALSE), 0))</f>
        <v/>
      </c>
      <c r="O105" s="8">
        <f>IFERROR(VLOOKUP(O$1&amp;"_"&amp;$A105, Predicciones_Master!$A$4:$Q$2000, 7, FALSE) &amp; " - " &amp; VLOOKUP(O$1&amp;"_"&amp;$A105, Predicciones_Master!$A$4:$Q$2000, 8, FALSE), "N/A")</f>
        <v/>
      </c>
      <c r="P105" s="12">
        <f>IF($D105="Por Jugar", "", IFERROR(VLOOKUP(O$1&amp;"_"&amp;$A105, Predicciones_Master!$A$4:$Q$2000, 11, FALSE), 0))</f>
        <v/>
      </c>
      <c r="Q105" s="8">
        <f>IFERROR(VLOOKUP(Q$1&amp;"_"&amp;$A105, Predicciones_Master!$A$4:$Q$2000, 7, FALSE) &amp; " - " &amp; VLOOKUP(Q$1&amp;"_"&amp;$A105, Predicciones_Master!$A$4:$Q$2000, 8, FALSE), "N/A")</f>
        <v/>
      </c>
      <c r="R105" s="12">
        <f>IF($D105="Por Jugar", "", IFERROR(VLOOKUP(Q$1&amp;"_"&amp;$A105, Predicciones_Master!$A$4:$Q$2000, 11, FALSE), 0))</f>
        <v/>
      </c>
      <c r="S105" s="8">
        <f>IFERROR(VLOOKUP(S$1&amp;"_"&amp;$A105, Predicciones_Master!$A$4:$Q$2000, 7, FALSE) &amp; " - " &amp; VLOOKUP(S$1&amp;"_"&amp;$A105, Predicciones_Master!$A$4:$Q$2000, 8, FALSE), "N/A")</f>
        <v/>
      </c>
      <c r="T105" s="12">
        <f>IF($D105="Por Jugar", "", IFERROR(VLOOKUP(S$1&amp;"_"&amp;$A105, Predicciones_Master!$A$4:$Q$2000, 11, FALSE), 0))</f>
        <v/>
      </c>
      <c r="U105" s="8">
        <f>IFERROR(VLOOKUP(U$1&amp;"_"&amp;$A105, Predicciones_Master!$A$4:$Q$2000, 7, FALSE) &amp; " - " &amp; VLOOKUP(U$1&amp;"_"&amp;$A105, Predicciones_Master!$A$4:$Q$2000, 8, FALSE), "N/A")</f>
        <v/>
      </c>
      <c r="V105" s="12">
        <f>IF($D105="Por Jugar", "", IFERROR(VLOOKUP(U$1&amp;"_"&amp;$A105, Predicciones_Master!$A$4:$Q$2000, 11, FALSE), 0))</f>
        <v/>
      </c>
      <c r="W105" s="8">
        <f>IFERROR(VLOOKUP(W$1&amp;"_"&amp;$A105, Predicciones_Master!$A$4:$Q$2000, 7, FALSE) &amp; " - " &amp; VLOOKUP(W$1&amp;"_"&amp;$A105, Predicciones_Master!$A$4:$Q$2000, 8, FALSE), "N/A")</f>
        <v/>
      </c>
      <c r="X105" s="12">
        <f>IF($D105="Por Jugar", "", IFERROR(VLOOKUP(W$1&amp;"_"&amp;$A105, Predicciones_Master!$A$4:$Q$2000, 11, FALSE), 0))</f>
        <v/>
      </c>
    </row>
    <row r="106" ht="20" customHeight="1">
      <c r="A106" s="8">
        <f>Resultados_Reales!A106</f>
        <v/>
      </c>
      <c r="B106" s="8">
        <f>Resultados_Reales!B106</f>
        <v/>
      </c>
      <c r="C106" s="9">
        <f>Resultados_Reales!C106 &amp; " vs " &amp; Resultados_Reales!D106</f>
        <v/>
      </c>
      <c r="D106" s="10">
        <f>IF(OR(Resultados_Reales!E106="", Resultados_Reales!F106=""), "Por Jugar", Resultados_Reales!E106 &amp; " - " &amp; Resultados_Reales!F106)</f>
        <v/>
      </c>
      <c r="E106" s="8">
        <f>IFERROR(VLOOKUP(E$1&amp;"_"&amp;$A106, Predicciones_Master!$A$4:$Q$2000, 7, FALSE) &amp; " - " &amp; VLOOKUP(E$1&amp;"_"&amp;$A106, Predicciones_Master!$A$4:$Q$2000, 8, FALSE), "N/A")</f>
        <v/>
      </c>
      <c r="F106" s="12">
        <f>IF($D106="Por Jugar", "", IFERROR(VLOOKUP(E$1&amp;"_"&amp;$A106, Predicciones_Master!$A$4:$Q$2000, 11, FALSE), 0))</f>
        <v/>
      </c>
      <c r="G106" s="8">
        <f>IFERROR(VLOOKUP(G$1&amp;"_"&amp;$A106, Predicciones_Master!$A$4:$Q$2000, 7, FALSE) &amp; " - " &amp; VLOOKUP(G$1&amp;"_"&amp;$A106, Predicciones_Master!$A$4:$Q$2000, 8, FALSE), "N/A")</f>
        <v/>
      </c>
      <c r="H106" s="12">
        <f>IF($D106="Por Jugar", "", IFERROR(VLOOKUP(G$1&amp;"_"&amp;$A106, Predicciones_Master!$A$4:$Q$2000, 11, FALSE), 0))</f>
        <v/>
      </c>
      <c r="I106" s="8">
        <f>IFERROR(VLOOKUP(I$1&amp;"_"&amp;$A106, Predicciones_Master!$A$4:$Q$2000, 7, FALSE) &amp; " - " &amp; VLOOKUP(I$1&amp;"_"&amp;$A106, Predicciones_Master!$A$4:$Q$2000, 8, FALSE), "N/A")</f>
        <v/>
      </c>
      <c r="J106" s="12">
        <f>IF($D106="Por Jugar", "", IFERROR(VLOOKUP(I$1&amp;"_"&amp;$A106, Predicciones_Master!$A$4:$Q$2000, 11, FALSE), 0))</f>
        <v/>
      </c>
      <c r="K106" s="8">
        <f>IFERROR(VLOOKUP(K$1&amp;"_"&amp;$A106, Predicciones_Master!$A$4:$Q$2000, 7, FALSE) &amp; " - " &amp; VLOOKUP(K$1&amp;"_"&amp;$A106, Predicciones_Master!$A$4:$Q$2000, 8, FALSE), "N/A")</f>
        <v/>
      </c>
      <c r="L106" s="12">
        <f>IF($D106="Por Jugar", "", IFERROR(VLOOKUP(K$1&amp;"_"&amp;$A106, Predicciones_Master!$A$4:$Q$2000, 11, FALSE), 0))</f>
        <v/>
      </c>
      <c r="M106" s="8">
        <f>IFERROR(VLOOKUP(M$1&amp;"_"&amp;$A106, Predicciones_Master!$A$4:$Q$2000, 7, FALSE) &amp; " - " &amp; VLOOKUP(M$1&amp;"_"&amp;$A106, Predicciones_Master!$A$4:$Q$2000, 8, FALSE), "N/A")</f>
        <v/>
      </c>
      <c r="N106" s="12">
        <f>IF($D106="Por Jugar", "", IFERROR(VLOOKUP(M$1&amp;"_"&amp;$A106, Predicciones_Master!$A$4:$Q$2000, 11, FALSE), 0))</f>
        <v/>
      </c>
      <c r="O106" s="8">
        <f>IFERROR(VLOOKUP(O$1&amp;"_"&amp;$A106, Predicciones_Master!$A$4:$Q$2000, 7, FALSE) &amp; " - " &amp; VLOOKUP(O$1&amp;"_"&amp;$A106, Predicciones_Master!$A$4:$Q$2000, 8, FALSE), "N/A")</f>
        <v/>
      </c>
      <c r="P106" s="12">
        <f>IF($D106="Por Jugar", "", IFERROR(VLOOKUP(O$1&amp;"_"&amp;$A106, Predicciones_Master!$A$4:$Q$2000, 11, FALSE), 0))</f>
        <v/>
      </c>
      <c r="Q106" s="8">
        <f>IFERROR(VLOOKUP(Q$1&amp;"_"&amp;$A106, Predicciones_Master!$A$4:$Q$2000, 7, FALSE) &amp; " - " &amp; VLOOKUP(Q$1&amp;"_"&amp;$A106, Predicciones_Master!$A$4:$Q$2000, 8, FALSE), "N/A")</f>
        <v/>
      </c>
      <c r="R106" s="12">
        <f>IF($D106="Por Jugar", "", IFERROR(VLOOKUP(Q$1&amp;"_"&amp;$A106, Predicciones_Master!$A$4:$Q$2000, 11, FALSE), 0))</f>
        <v/>
      </c>
      <c r="S106" s="8">
        <f>IFERROR(VLOOKUP(S$1&amp;"_"&amp;$A106, Predicciones_Master!$A$4:$Q$2000, 7, FALSE) &amp; " - " &amp; VLOOKUP(S$1&amp;"_"&amp;$A106, Predicciones_Master!$A$4:$Q$2000, 8, FALSE), "N/A")</f>
        <v/>
      </c>
      <c r="T106" s="12">
        <f>IF($D106="Por Jugar", "", IFERROR(VLOOKUP(S$1&amp;"_"&amp;$A106, Predicciones_Master!$A$4:$Q$2000, 11, FALSE), 0))</f>
        <v/>
      </c>
      <c r="U106" s="8">
        <f>IFERROR(VLOOKUP(U$1&amp;"_"&amp;$A106, Predicciones_Master!$A$4:$Q$2000, 7, FALSE) &amp; " - " &amp; VLOOKUP(U$1&amp;"_"&amp;$A106, Predicciones_Master!$A$4:$Q$2000, 8, FALSE), "N/A")</f>
        <v/>
      </c>
      <c r="V106" s="12">
        <f>IF($D106="Por Jugar", "", IFERROR(VLOOKUP(U$1&amp;"_"&amp;$A106, Predicciones_Master!$A$4:$Q$2000, 11, FALSE), 0))</f>
        <v/>
      </c>
      <c r="W106" s="8">
        <f>IFERROR(VLOOKUP(W$1&amp;"_"&amp;$A106, Predicciones_Master!$A$4:$Q$2000, 7, FALSE) &amp; " - " &amp; VLOOKUP(W$1&amp;"_"&amp;$A106, Predicciones_Master!$A$4:$Q$2000, 8, FALSE), "N/A")</f>
        <v/>
      </c>
      <c r="X106" s="12">
        <f>IF($D106="Por Jugar", "", IFERROR(VLOOKUP(W$1&amp;"_"&amp;$A106, Predicciones_Master!$A$4:$Q$2000, 11, FALSE), 0))</f>
        <v/>
      </c>
    </row>
    <row r="107" ht="20" customHeight="1">
      <c r="A107" s="8">
        <f>Resultados_Reales!A107</f>
        <v/>
      </c>
      <c r="B107" s="8">
        <f>Resultados_Reales!B107</f>
        <v/>
      </c>
      <c r="C107" s="9">
        <f>Resultados_Reales!C107 &amp; " vs " &amp; Resultados_Reales!D107</f>
        <v/>
      </c>
      <c r="D107" s="10">
        <f>IF(OR(Resultados_Reales!E107="", Resultados_Reales!F107=""), "Por Jugar", Resultados_Reales!E107 &amp; " - " &amp; Resultados_Reales!F107)</f>
        <v/>
      </c>
      <c r="E107" s="8">
        <f>IFERROR(VLOOKUP(E$1&amp;"_"&amp;$A107, Predicciones_Master!$A$4:$Q$2000, 7, FALSE) &amp; " - " &amp; VLOOKUP(E$1&amp;"_"&amp;$A107, Predicciones_Master!$A$4:$Q$2000, 8, FALSE), "N/A")</f>
        <v/>
      </c>
      <c r="F107" s="12">
        <f>IF($D107="Por Jugar", "", IFERROR(VLOOKUP(E$1&amp;"_"&amp;$A107, Predicciones_Master!$A$4:$Q$2000, 11, FALSE), 0))</f>
        <v/>
      </c>
      <c r="G107" s="8">
        <f>IFERROR(VLOOKUP(G$1&amp;"_"&amp;$A107, Predicciones_Master!$A$4:$Q$2000, 7, FALSE) &amp; " - " &amp; VLOOKUP(G$1&amp;"_"&amp;$A107, Predicciones_Master!$A$4:$Q$2000, 8, FALSE), "N/A")</f>
        <v/>
      </c>
      <c r="H107" s="12">
        <f>IF($D107="Por Jugar", "", IFERROR(VLOOKUP(G$1&amp;"_"&amp;$A107, Predicciones_Master!$A$4:$Q$2000, 11, FALSE), 0))</f>
        <v/>
      </c>
      <c r="I107" s="8">
        <f>IFERROR(VLOOKUP(I$1&amp;"_"&amp;$A107, Predicciones_Master!$A$4:$Q$2000, 7, FALSE) &amp; " - " &amp; VLOOKUP(I$1&amp;"_"&amp;$A107, Predicciones_Master!$A$4:$Q$2000, 8, FALSE), "N/A")</f>
        <v/>
      </c>
      <c r="J107" s="12">
        <f>IF($D107="Por Jugar", "", IFERROR(VLOOKUP(I$1&amp;"_"&amp;$A107, Predicciones_Master!$A$4:$Q$2000, 11, FALSE), 0))</f>
        <v/>
      </c>
      <c r="K107" s="8">
        <f>IFERROR(VLOOKUP(K$1&amp;"_"&amp;$A107, Predicciones_Master!$A$4:$Q$2000, 7, FALSE) &amp; " - " &amp; VLOOKUP(K$1&amp;"_"&amp;$A107, Predicciones_Master!$A$4:$Q$2000, 8, FALSE), "N/A")</f>
        <v/>
      </c>
      <c r="L107" s="12">
        <f>IF($D107="Por Jugar", "", IFERROR(VLOOKUP(K$1&amp;"_"&amp;$A107, Predicciones_Master!$A$4:$Q$2000, 11, FALSE), 0))</f>
        <v/>
      </c>
      <c r="M107" s="8">
        <f>IFERROR(VLOOKUP(M$1&amp;"_"&amp;$A107, Predicciones_Master!$A$4:$Q$2000, 7, FALSE) &amp; " - " &amp; VLOOKUP(M$1&amp;"_"&amp;$A107, Predicciones_Master!$A$4:$Q$2000, 8, FALSE), "N/A")</f>
        <v/>
      </c>
      <c r="N107" s="12">
        <f>IF($D107="Por Jugar", "", IFERROR(VLOOKUP(M$1&amp;"_"&amp;$A107, Predicciones_Master!$A$4:$Q$2000, 11, FALSE), 0))</f>
        <v/>
      </c>
      <c r="O107" s="8">
        <f>IFERROR(VLOOKUP(O$1&amp;"_"&amp;$A107, Predicciones_Master!$A$4:$Q$2000, 7, FALSE) &amp; " - " &amp; VLOOKUP(O$1&amp;"_"&amp;$A107, Predicciones_Master!$A$4:$Q$2000, 8, FALSE), "N/A")</f>
        <v/>
      </c>
      <c r="P107" s="12">
        <f>IF($D107="Por Jugar", "", IFERROR(VLOOKUP(O$1&amp;"_"&amp;$A107, Predicciones_Master!$A$4:$Q$2000, 11, FALSE), 0))</f>
        <v/>
      </c>
      <c r="Q107" s="8">
        <f>IFERROR(VLOOKUP(Q$1&amp;"_"&amp;$A107, Predicciones_Master!$A$4:$Q$2000, 7, FALSE) &amp; " - " &amp; VLOOKUP(Q$1&amp;"_"&amp;$A107, Predicciones_Master!$A$4:$Q$2000, 8, FALSE), "N/A")</f>
        <v/>
      </c>
      <c r="R107" s="12">
        <f>IF($D107="Por Jugar", "", IFERROR(VLOOKUP(Q$1&amp;"_"&amp;$A107, Predicciones_Master!$A$4:$Q$2000, 11, FALSE), 0))</f>
        <v/>
      </c>
      <c r="S107" s="8">
        <f>IFERROR(VLOOKUP(S$1&amp;"_"&amp;$A107, Predicciones_Master!$A$4:$Q$2000, 7, FALSE) &amp; " - " &amp; VLOOKUP(S$1&amp;"_"&amp;$A107, Predicciones_Master!$A$4:$Q$2000, 8, FALSE), "N/A")</f>
        <v/>
      </c>
      <c r="T107" s="12">
        <f>IF($D107="Por Jugar", "", IFERROR(VLOOKUP(S$1&amp;"_"&amp;$A107, Predicciones_Master!$A$4:$Q$2000, 11, FALSE), 0))</f>
        <v/>
      </c>
      <c r="U107" s="8">
        <f>IFERROR(VLOOKUP(U$1&amp;"_"&amp;$A107, Predicciones_Master!$A$4:$Q$2000, 7, FALSE) &amp; " - " &amp; VLOOKUP(U$1&amp;"_"&amp;$A107, Predicciones_Master!$A$4:$Q$2000, 8, FALSE), "N/A")</f>
        <v/>
      </c>
      <c r="V107" s="12">
        <f>IF($D107="Por Jugar", "", IFERROR(VLOOKUP(U$1&amp;"_"&amp;$A107, Predicciones_Master!$A$4:$Q$2000, 11, FALSE), 0))</f>
        <v/>
      </c>
      <c r="W107" s="8">
        <f>IFERROR(VLOOKUP(W$1&amp;"_"&amp;$A107, Predicciones_Master!$A$4:$Q$2000, 7, FALSE) &amp; " - " &amp; VLOOKUP(W$1&amp;"_"&amp;$A107, Predicciones_Master!$A$4:$Q$2000, 8, FALSE), "N/A")</f>
        <v/>
      </c>
      <c r="X107" s="12">
        <f>IF($D107="Por Jugar", "", IFERROR(VLOOKUP(W$1&amp;"_"&amp;$A107, Predicciones_Master!$A$4:$Q$2000, 11, FALSE), 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D6B20"/>
    <outlinePr summaryBelow="1" summaryRight="1"/>
    <pageSetUpPr/>
  </sheetPr>
  <dimension ref="A1:N3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4" customWidth="1" min="5" max="5"/>
    <col width="18" customWidth="1" min="6" max="6"/>
    <col width="14" customWidth="1" min="7" max="7"/>
    <col width="18" customWidth="1" min="8" max="8"/>
    <col width="14" customWidth="1" min="9" max="9"/>
    <col width="18" customWidth="1" min="10" max="10"/>
    <col width="14" customWidth="1" min="11" max="11"/>
    <col width="18" customWidth="1" min="12" max="12"/>
    <col width="14" customWidth="1" min="13" max="13"/>
    <col width="14" customWidth="1" min="14" max="14"/>
  </cols>
  <sheetData>
    <row r="1" ht="30" customHeight="1">
      <c r="A1" s="1" t="inlineStr">
        <is>
          <t>CONTROL DE PREMIOS ESPECIALES DE LOS PARTICIPANTES</t>
        </is>
      </c>
    </row>
    <row r="3">
      <c r="A3" s="2" t="inlineStr">
        <is>
          <t>Participante</t>
        </is>
      </c>
      <c r="B3" s="2" t="inlineStr">
        <is>
          <t>Balón de Oro Pred.</t>
        </is>
      </c>
      <c r="C3" s="2" t="inlineStr">
        <is>
          <t>Puntos Balón Oro</t>
        </is>
      </c>
      <c r="D3" s="2" t="inlineStr">
        <is>
          <t>Balón de Plata Pred.</t>
        </is>
      </c>
      <c r="E3" s="2" t="inlineStr">
        <is>
          <t>Puntos Balón Plata</t>
        </is>
      </c>
      <c r="F3" s="2" t="inlineStr">
        <is>
          <t>Balón de Bronce Pred.</t>
        </is>
      </c>
      <c r="G3" s="2" t="inlineStr">
        <is>
          <t>Puntos Balón Bronce</t>
        </is>
      </c>
      <c r="H3" s="2" t="inlineStr">
        <is>
          <t>Bota de Oro Pred.</t>
        </is>
      </c>
      <c r="I3" s="2" t="inlineStr">
        <is>
          <t>Puntos Bota Oro</t>
        </is>
      </c>
      <c r="J3" s="2" t="inlineStr">
        <is>
          <t>Bota de Plata Pred.</t>
        </is>
      </c>
      <c r="K3" s="2" t="inlineStr">
        <is>
          <t>Puntos Bota Plata</t>
        </is>
      </c>
      <c r="L3" s="2" t="inlineStr">
        <is>
          <t>Bota de Bronce Pred.</t>
        </is>
      </c>
      <c r="M3" s="2" t="inlineStr">
        <is>
          <t>Puntos Bota Bronce</t>
        </is>
      </c>
      <c r="N3" s="2" t="inlineStr">
        <is>
          <t>TOTAL EXTRA</t>
        </is>
      </c>
    </row>
    <row r="4" ht="22" customHeight="1">
      <c r="A4" s="17">
        <f>Clasificacion_General!B4</f>
        <v/>
      </c>
      <c r="B4" s="11">
        <f>IF(A4="","",IFERROR(VLOOKUP(A4, Predicciones_Master!$B$4:$Q$2000, 11, FALSE),""))</f>
        <v/>
      </c>
      <c r="C4" s="12">
        <f>IF(A4="","",Clasificacion_General!D4)</f>
        <v/>
      </c>
      <c r="D4" s="11">
        <f>IF(A4="","",IFERROR(VLOOKUP(A4, Predicciones_Master!$B$4:$Q$2000, 12, FALSE),""))</f>
        <v/>
      </c>
      <c r="E4" s="12">
        <f>IF(A4="","",Clasificacion_General!E4)</f>
        <v/>
      </c>
      <c r="F4" s="11">
        <f>IF(A4="","",IFERROR(VLOOKUP(A4, Predicciones_Master!$B$4:$Q$2000, 13, FALSE),""))</f>
        <v/>
      </c>
      <c r="G4" s="12">
        <f>IF(A4="","",Clasificacion_General!F4)</f>
        <v/>
      </c>
      <c r="H4" s="11">
        <f>IF(A4="","",IFERROR(VLOOKUP(A4, Predicciones_Master!$B$4:$Q$2000, 14, FALSE),""))</f>
        <v/>
      </c>
      <c r="I4" s="12">
        <f>IF(A4="","",Clasificacion_General!G4)</f>
        <v/>
      </c>
      <c r="J4" s="11">
        <f>IF(A4="","",IFERROR(VLOOKUP(A4, Predicciones_Master!$B$4:$Q$2000, 15, FALSE),""))</f>
        <v/>
      </c>
      <c r="K4" s="12">
        <f>IF(A4="","",Clasificacion_General!H4)</f>
        <v/>
      </c>
      <c r="L4" s="11">
        <f>IF(A4="","",IFERROR(VLOOKUP(A4, Predicciones_Master!$B$4:$Q$2000, 16, FALSE),""))</f>
        <v/>
      </c>
      <c r="M4" s="12">
        <f>IF(A4="","",Clasificacion_General!I4)</f>
        <v/>
      </c>
      <c r="N4" s="15">
        <f>IF(A4="","",C4+E4+G4+I4+K4+M4)</f>
        <v/>
      </c>
    </row>
    <row r="5" ht="22" customHeight="1">
      <c r="A5" s="17">
        <f>Clasificacion_General!B5</f>
        <v/>
      </c>
      <c r="B5" s="11">
        <f>IF(A5="","",IFERROR(VLOOKUP(A5, Predicciones_Master!$B$4:$Q$2000, 11, FALSE),""))</f>
        <v/>
      </c>
      <c r="C5" s="12">
        <f>IF(A5="","",Clasificacion_General!D5)</f>
        <v/>
      </c>
      <c r="D5" s="11">
        <f>IF(A5="","",IFERROR(VLOOKUP(A5, Predicciones_Master!$B$4:$Q$2000, 12, FALSE),""))</f>
        <v/>
      </c>
      <c r="E5" s="12">
        <f>IF(A5="","",Clasificacion_General!E5)</f>
        <v/>
      </c>
      <c r="F5" s="11">
        <f>IF(A5="","",IFERROR(VLOOKUP(A5, Predicciones_Master!$B$4:$Q$2000, 13, FALSE),""))</f>
        <v/>
      </c>
      <c r="G5" s="12">
        <f>IF(A5="","",Clasificacion_General!F5)</f>
        <v/>
      </c>
      <c r="H5" s="11">
        <f>IF(A5="","",IFERROR(VLOOKUP(A5, Predicciones_Master!$B$4:$Q$2000, 14, FALSE),""))</f>
        <v/>
      </c>
      <c r="I5" s="12">
        <f>IF(A5="","",Clasificacion_General!G5)</f>
        <v/>
      </c>
      <c r="J5" s="11">
        <f>IF(A5="","",IFERROR(VLOOKUP(A5, Predicciones_Master!$B$4:$Q$2000, 15, FALSE),""))</f>
        <v/>
      </c>
      <c r="K5" s="12">
        <f>IF(A5="","",Clasificacion_General!H5)</f>
        <v/>
      </c>
      <c r="L5" s="11">
        <f>IF(A5="","",IFERROR(VLOOKUP(A5, Predicciones_Master!$B$4:$Q$2000, 16, FALSE),""))</f>
        <v/>
      </c>
      <c r="M5" s="12">
        <f>IF(A5="","",Clasificacion_General!I5)</f>
        <v/>
      </c>
      <c r="N5" s="15">
        <f>IF(A5="","",C5+E5+G5+I5+K5+M5)</f>
        <v/>
      </c>
    </row>
    <row r="6" ht="22" customHeight="1">
      <c r="A6" s="17">
        <f>Clasificacion_General!B6</f>
        <v/>
      </c>
      <c r="B6" s="11">
        <f>IF(A6="","",IFERROR(VLOOKUP(A6, Predicciones_Master!$B$4:$Q$2000, 11, FALSE),""))</f>
        <v/>
      </c>
      <c r="C6" s="12">
        <f>IF(A6="","",Clasificacion_General!D6)</f>
        <v/>
      </c>
      <c r="D6" s="11">
        <f>IF(A6="","",IFERROR(VLOOKUP(A6, Predicciones_Master!$B$4:$Q$2000, 12, FALSE),""))</f>
        <v/>
      </c>
      <c r="E6" s="12">
        <f>IF(A6="","",Clasificacion_General!E6)</f>
        <v/>
      </c>
      <c r="F6" s="11">
        <f>IF(A6="","",IFERROR(VLOOKUP(A6, Predicciones_Master!$B$4:$Q$2000, 13, FALSE),""))</f>
        <v/>
      </c>
      <c r="G6" s="12">
        <f>IF(A6="","",Clasificacion_General!F6)</f>
        <v/>
      </c>
      <c r="H6" s="11">
        <f>IF(A6="","",IFERROR(VLOOKUP(A6, Predicciones_Master!$B$4:$Q$2000, 14, FALSE),""))</f>
        <v/>
      </c>
      <c r="I6" s="12">
        <f>IF(A6="","",Clasificacion_General!G6)</f>
        <v/>
      </c>
      <c r="J6" s="11">
        <f>IF(A6="","",IFERROR(VLOOKUP(A6, Predicciones_Master!$B$4:$Q$2000, 15, FALSE),""))</f>
        <v/>
      </c>
      <c r="K6" s="12">
        <f>IF(A6="","",Clasificacion_General!H6)</f>
        <v/>
      </c>
      <c r="L6" s="11">
        <f>IF(A6="","",IFERROR(VLOOKUP(A6, Predicciones_Master!$B$4:$Q$2000, 16, FALSE),""))</f>
        <v/>
      </c>
      <c r="M6" s="12">
        <f>IF(A6="","",Clasificacion_General!I6)</f>
        <v/>
      </c>
      <c r="N6" s="15">
        <f>IF(A6="","",C6+E6+G6+I6+K6+M6)</f>
        <v/>
      </c>
    </row>
    <row r="7" ht="22" customHeight="1">
      <c r="A7" s="17">
        <f>Clasificacion_General!B7</f>
        <v/>
      </c>
      <c r="B7" s="11">
        <f>IF(A7="","",IFERROR(VLOOKUP(A7, Predicciones_Master!$B$4:$Q$2000, 11, FALSE),""))</f>
        <v/>
      </c>
      <c r="C7" s="12">
        <f>IF(A7="","",Clasificacion_General!D7)</f>
        <v/>
      </c>
      <c r="D7" s="11">
        <f>IF(A7="","",IFERROR(VLOOKUP(A7, Predicciones_Master!$B$4:$Q$2000, 12, FALSE),""))</f>
        <v/>
      </c>
      <c r="E7" s="12">
        <f>IF(A7="","",Clasificacion_General!E7)</f>
        <v/>
      </c>
      <c r="F7" s="11">
        <f>IF(A7="","",IFERROR(VLOOKUP(A7, Predicciones_Master!$B$4:$Q$2000, 13, FALSE),""))</f>
        <v/>
      </c>
      <c r="G7" s="12">
        <f>IF(A7="","",Clasificacion_General!F7)</f>
        <v/>
      </c>
      <c r="H7" s="11">
        <f>IF(A7="","",IFERROR(VLOOKUP(A7, Predicciones_Master!$B$4:$Q$2000, 14, FALSE),""))</f>
        <v/>
      </c>
      <c r="I7" s="12">
        <f>IF(A7="","",Clasificacion_General!G7)</f>
        <v/>
      </c>
      <c r="J7" s="11">
        <f>IF(A7="","",IFERROR(VLOOKUP(A7, Predicciones_Master!$B$4:$Q$2000, 15, FALSE),""))</f>
        <v/>
      </c>
      <c r="K7" s="12">
        <f>IF(A7="","",Clasificacion_General!H7)</f>
        <v/>
      </c>
      <c r="L7" s="11">
        <f>IF(A7="","",IFERROR(VLOOKUP(A7, Predicciones_Master!$B$4:$Q$2000, 16, FALSE),""))</f>
        <v/>
      </c>
      <c r="M7" s="12">
        <f>IF(A7="","",Clasificacion_General!I7)</f>
        <v/>
      </c>
      <c r="N7" s="15">
        <f>IF(A7="","",C7+E7+G7+I7+K7+M7)</f>
        <v/>
      </c>
    </row>
    <row r="8" ht="22" customHeight="1">
      <c r="A8" s="17">
        <f>Clasificacion_General!B8</f>
        <v/>
      </c>
      <c r="B8" s="11">
        <f>IF(A8="","",IFERROR(VLOOKUP(A8, Predicciones_Master!$B$4:$Q$2000, 11, FALSE),""))</f>
        <v/>
      </c>
      <c r="C8" s="12">
        <f>IF(A8="","",Clasificacion_General!D8)</f>
        <v/>
      </c>
      <c r="D8" s="11">
        <f>IF(A8="","",IFERROR(VLOOKUP(A8, Predicciones_Master!$B$4:$Q$2000, 12, FALSE),""))</f>
        <v/>
      </c>
      <c r="E8" s="12">
        <f>IF(A8="","",Clasificacion_General!E8)</f>
        <v/>
      </c>
      <c r="F8" s="11">
        <f>IF(A8="","",IFERROR(VLOOKUP(A8, Predicciones_Master!$B$4:$Q$2000, 13, FALSE),""))</f>
        <v/>
      </c>
      <c r="G8" s="12">
        <f>IF(A8="","",Clasificacion_General!F8)</f>
        <v/>
      </c>
      <c r="H8" s="11">
        <f>IF(A8="","",IFERROR(VLOOKUP(A8, Predicciones_Master!$B$4:$Q$2000, 14, FALSE),""))</f>
        <v/>
      </c>
      <c r="I8" s="12">
        <f>IF(A8="","",Clasificacion_General!G8)</f>
        <v/>
      </c>
      <c r="J8" s="11">
        <f>IF(A8="","",IFERROR(VLOOKUP(A8, Predicciones_Master!$B$4:$Q$2000, 15, FALSE),""))</f>
        <v/>
      </c>
      <c r="K8" s="12">
        <f>IF(A8="","",Clasificacion_General!H8)</f>
        <v/>
      </c>
      <c r="L8" s="11">
        <f>IF(A8="","",IFERROR(VLOOKUP(A8, Predicciones_Master!$B$4:$Q$2000, 16, FALSE),""))</f>
        <v/>
      </c>
      <c r="M8" s="12">
        <f>IF(A8="","",Clasificacion_General!I8)</f>
        <v/>
      </c>
      <c r="N8" s="15">
        <f>IF(A8="","",C8+E8+G8+I8+K8+M8)</f>
        <v/>
      </c>
    </row>
    <row r="9" ht="22" customHeight="1">
      <c r="A9" s="17">
        <f>Clasificacion_General!B9</f>
        <v/>
      </c>
      <c r="B9" s="11">
        <f>IF(A9="","",IFERROR(VLOOKUP(A9, Predicciones_Master!$B$4:$Q$2000, 11, FALSE),""))</f>
        <v/>
      </c>
      <c r="C9" s="12">
        <f>IF(A9="","",Clasificacion_General!D9)</f>
        <v/>
      </c>
      <c r="D9" s="11">
        <f>IF(A9="","",IFERROR(VLOOKUP(A9, Predicciones_Master!$B$4:$Q$2000, 12, FALSE),""))</f>
        <v/>
      </c>
      <c r="E9" s="12">
        <f>IF(A9="","",Clasificacion_General!E9)</f>
        <v/>
      </c>
      <c r="F9" s="11">
        <f>IF(A9="","",IFERROR(VLOOKUP(A9, Predicciones_Master!$B$4:$Q$2000, 13, FALSE),""))</f>
        <v/>
      </c>
      <c r="G9" s="12">
        <f>IF(A9="","",Clasificacion_General!F9)</f>
        <v/>
      </c>
      <c r="H9" s="11">
        <f>IF(A9="","",IFERROR(VLOOKUP(A9, Predicciones_Master!$B$4:$Q$2000, 14, FALSE),""))</f>
        <v/>
      </c>
      <c r="I9" s="12">
        <f>IF(A9="","",Clasificacion_General!G9)</f>
        <v/>
      </c>
      <c r="J9" s="11">
        <f>IF(A9="","",IFERROR(VLOOKUP(A9, Predicciones_Master!$B$4:$Q$2000, 15, FALSE),""))</f>
        <v/>
      </c>
      <c r="K9" s="12">
        <f>IF(A9="","",Clasificacion_General!H9)</f>
        <v/>
      </c>
      <c r="L9" s="11">
        <f>IF(A9="","",IFERROR(VLOOKUP(A9, Predicciones_Master!$B$4:$Q$2000, 16, FALSE),""))</f>
        <v/>
      </c>
      <c r="M9" s="12">
        <f>IF(A9="","",Clasificacion_General!I9)</f>
        <v/>
      </c>
      <c r="N9" s="15">
        <f>IF(A9="","",C9+E9+G9+I9+K9+M9)</f>
        <v/>
      </c>
    </row>
    <row r="10" ht="22" customHeight="1">
      <c r="A10" s="17">
        <f>Clasificacion_General!B10</f>
        <v/>
      </c>
      <c r="B10" s="11">
        <f>IF(A10="","",IFERROR(VLOOKUP(A10, Predicciones_Master!$B$4:$Q$2000, 11, FALSE),""))</f>
        <v/>
      </c>
      <c r="C10" s="12">
        <f>IF(A10="","",Clasificacion_General!D10)</f>
        <v/>
      </c>
      <c r="D10" s="11">
        <f>IF(A10="","",IFERROR(VLOOKUP(A10, Predicciones_Master!$B$4:$Q$2000, 12, FALSE),""))</f>
        <v/>
      </c>
      <c r="E10" s="12">
        <f>IF(A10="","",Clasificacion_General!E10)</f>
        <v/>
      </c>
      <c r="F10" s="11">
        <f>IF(A10="","",IFERROR(VLOOKUP(A10, Predicciones_Master!$B$4:$Q$2000, 13, FALSE),""))</f>
        <v/>
      </c>
      <c r="G10" s="12">
        <f>IF(A10="","",Clasificacion_General!F10)</f>
        <v/>
      </c>
      <c r="H10" s="11">
        <f>IF(A10="","",IFERROR(VLOOKUP(A10, Predicciones_Master!$B$4:$Q$2000, 14, FALSE),""))</f>
        <v/>
      </c>
      <c r="I10" s="12">
        <f>IF(A10="","",Clasificacion_General!G10)</f>
        <v/>
      </c>
      <c r="J10" s="11">
        <f>IF(A10="","",IFERROR(VLOOKUP(A10, Predicciones_Master!$B$4:$Q$2000, 15, FALSE),""))</f>
        <v/>
      </c>
      <c r="K10" s="12">
        <f>IF(A10="","",Clasificacion_General!H10)</f>
        <v/>
      </c>
      <c r="L10" s="11">
        <f>IF(A10="","",IFERROR(VLOOKUP(A10, Predicciones_Master!$B$4:$Q$2000, 16, FALSE),""))</f>
        <v/>
      </c>
      <c r="M10" s="12">
        <f>IF(A10="","",Clasificacion_General!I10)</f>
        <v/>
      </c>
      <c r="N10" s="15">
        <f>IF(A10="","",C10+E10+G10+I10+K10+M10)</f>
        <v/>
      </c>
    </row>
    <row r="11" ht="22" customHeight="1">
      <c r="A11" s="17">
        <f>Clasificacion_General!B11</f>
        <v/>
      </c>
      <c r="B11" s="11">
        <f>IF(A11="","",IFERROR(VLOOKUP(A11, Predicciones_Master!$B$4:$Q$2000, 11, FALSE),""))</f>
        <v/>
      </c>
      <c r="C11" s="12">
        <f>IF(A11="","",Clasificacion_General!D11)</f>
        <v/>
      </c>
      <c r="D11" s="11">
        <f>IF(A11="","",IFERROR(VLOOKUP(A11, Predicciones_Master!$B$4:$Q$2000, 12, FALSE),""))</f>
        <v/>
      </c>
      <c r="E11" s="12">
        <f>IF(A11="","",Clasificacion_General!E11)</f>
        <v/>
      </c>
      <c r="F11" s="11">
        <f>IF(A11="","",IFERROR(VLOOKUP(A11, Predicciones_Master!$B$4:$Q$2000, 13, FALSE),""))</f>
        <v/>
      </c>
      <c r="G11" s="12">
        <f>IF(A11="","",Clasificacion_General!F11)</f>
        <v/>
      </c>
      <c r="H11" s="11">
        <f>IF(A11="","",IFERROR(VLOOKUP(A11, Predicciones_Master!$B$4:$Q$2000, 14, FALSE),""))</f>
        <v/>
      </c>
      <c r="I11" s="12">
        <f>IF(A11="","",Clasificacion_General!G11)</f>
        <v/>
      </c>
      <c r="J11" s="11">
        <f>IF(A11="","",IFERROR(VLOOKUP(A11, Predicciones_Master!$B$4:$Q$2000, 15, FALSE),""))</f>
        <v/>
      </c>
      <c r="K11" s="12">
        <f>IF(A11="","",Clasificacion_General!H11)</f>
        <v/>
      </c>
      <c r="L11" s="11">
        <f>IF(A11="","",IFERROR(VLOOKUP(A11, Predicciones_Master!$B$4:$Q$2000, 16, FALSE),""))</f>
        <v/>
      </c>
      <c r="M11" s="12">
        <f>IF(A11="","",Clasificacion_General!I11)</f>
        <v/>
      </c>
      <c r="N11" s="15">
        <f>IF(A11="","",C11+E11+G11+I11+K11+M11)</f>
        <v/>
      </c>
    </row>
    <row r="12" ht="22" customHeight="1">
      <c r="A12" s="17">
        <f>Clasificacion_General!B12</f>
        <v/>
      </c>
      <c r="B12" s="11">
        <f>IF(A12="","",IFERROR(VLOOKUP(A12, Predicciones_Master!$B$4:$Q$2000, 11, FALSE),""))</f>
        <v/>
      </c>
      <c r="C12" s="12">
        <f>IF(A12="","",Clasificacion_General!D12)</f>
        <v/>
      </c>
      <c r="D12" s="11">
        <f>IF(A12="","",IFERROR(VLOOKUP(A12, Predicciones_Master!$B$4:$Q$2000, 12, FALSE),""))</f>
        <v/>
      </c>
      <c r="E12" s="12">
        <f>IF(A12="","",Clasificacion_General!E12)</f>
        <v/>
      </c>
      <c r="F12" s="11">
        <f>IF(A12="","",IFERROR(VLOOKUP(A12, Predicciones_Master!$B$4:$Q$2000, 13, FALSE),""))</f>
        <v/>
      </c>
      <c r="G12" s="12">
        <f>IF(A12="","",Clasificacion_General!F12)</f>
        <v/>
      </c>
      <c r="H12" s="11">
        <f>IF(A12="","",IFERROR(VLOOKUP(A12, Predicciones_Master!$B$4:$Q$2000, 14, FALSE),""))</f>
        <v/>
      </c>
      <c r="I12" s="12">
        <f>IF(A12="","",Clasificacion_General!G12)</f>
        <v/>
      </c>
      <c r="J12" s="11">
        <f>IF(A12="","",IFERROR(VLOOKUP(A12, Predicciones_Master!$B$4:$Q$2000, 15, FALSE),""))</f>
        <v/>
      </c>
      <c r="K12" s="12">
        <f>IF(A12="","",Clasificacion_General!H12)</f>
        <v/>
      </c>
      <c r="L12" s="11">
        <f>IF(A12="","",IFERROR(VLOOKUP(A12, Predicciones_Master!$B$4:$Q$2000, 16, FALSE),""))</f>
        <v/>
      </c>
      <c r="M12" s="12">
        <f>IF(A12="","",Clasificacion_General!I12)</f>
        <v/>
      </c>
      <c r="N12" s="15">
        <f>IF(A12="","",C12+E12+G12+I12+K12+M12)</f>
        <v/>
      </c>
    </row>
    <row r="13" ht="22" customHeight="1">
      <c r="A13" s="17">
        <f>Clasificacion_General!B13</f>
        <v/>
      </c>
      <c r="B13" s="11">
        <f>IF(A13="","",IFERROR(VLOOKUP(A13, Predicciones_Master!$B$4:$Q$2000, 11, FALSE),""))</f>
        <v/>
      </c>
      <c r="C13" s="12">
        <f>IF(A13="","",Clasificacion_General!D13)</f>
        <v/>
      </c>
      <c r="D13" s="11">
        <f>IF(A13="","",IFERROR(VLOOKUP(A13, Predicciones_Master!$B$4:$Q$2000, 12, FALSE),""))</f>
        <v/>
      </c>
      <c r="E13" s="12">
        <f>IF(A13="","",Clasificacion_General!E13)</f>
        <v/>
      </c>
      <c r="F13" s="11">
        <f>IF(A13="","",IFERROR(VLOOKUP(A13, Predicciones_Master!$B$4:$Q$2000, 13, FALSE),""))</f>
        <v/>
      </c>
      <c r="G13" s="12">
        <f>IF(A13="","",Clasificacion_General!F13)</f>
        <v/>
      </c>
      <c r="H13" s="11">
        <f>IF(A13="","",IFERROR(VLOOKUP(A13, Predicciones_Master!$B$4:$Q$2000, 14, FALSE),""))</f>
        <v/>
      </c>
      <c r="I13" s="12">
        <f>IF(A13="","",Clasificacion_General!G13)</f>
        <v/>
      </c>
      <c r="J13" s="11">
        <f>IF(A13="","",IFERROR(VLOOKUP(A13, Predicciones_Master!$B$4:$Q$2000, 15, FALSE),""))</f>
        <v/>
      </c>
      <c r="K13" s="12">
        <f>IF(A13="","",Clasificacion_General!H13)</f>
        <v/>
      </c>
      <c r="L13" s="11">
        <f>IF(A13="","",IFERROR(VLOOKUP(A13, Predicciones_Master!$B$4:$Q$2000, 16, FALSE),""))</f>
        <v/>
      </c>
      <c r="M13" s="12">
        <f>IF(A13="","",Clasificacion_General!I13)</f>
        <v/>
      </c>
      <c r="N13" s="15">
        <f>IF(A13="","",C13+E13+G13+I13+K13+M13)</f>
        <v/>
      </c>
    </row>
    <row r="14" ht="22" customHeight="1">
      <c r="A14" s="17">
        <f>Clasificacion_General!B14</f>
        <v/>
      </c>
      <c r="B14" s="11">
        <f>IF(A14="","",IFERROR(VLOOKUP(A14, Predicciones_Master!$B$4:$Q$2000, 11, FALSE),""))</f>
        <v/>
      </c>
      <c r="C14" s="12">
        <f>IF(A14="","",Clasificacion_General!D14)</f>
        <v/>
      </c>
      <c r="D14" s="11">
        <f>IF(A14="","",IFERROR(VLOOKUP(A14, Predicciones_Master!$B$4:$Q$2000, 12, FALSE),""))</f>
        <v/>
      </c>
      <c r="E14" s="12">
        <f>IF(A14="","",Clasificacion_General!E14)</f>
        <v/>
      </c>
      <c r="F14" s="11">
        <f>IF(A14="","",IFERROR(VLOOKUP(A14, Predicciones_Master!$B$4:$Q$2000, 13, FALSE),""))</f>
        <v/>
      </c>
      <c r="G14" s="12">
        <f>IF(A14="","",Clasificacion_General!F14)</f>
        <v/>
      </c>
      <c r="H14" s="11">
        <f>IF(A14="","",IFERROR(VLOOKUP(A14, Predicciones_Master!$B$4:$Q$2000, 14, FALSE),""))</f>
        <v/>
      </c>
      <c r="I14" s="12">
        <f>IF(A14="","",Clasificacion_General!G14)</f>
        <v/>
      </c>
      <c r="J14" s="11">
        <f>IF(A14="","",IFERROR(VLOOKUP(A14, Predicciones_Master!$B$4:$Q$2000, 15, FALSE),""))</f>
        <v/>
      </c>
      <c r="K14" s="12">
        <f>IF(A14="","",Clasificacion_General!H14)</f>
        <v/>
      </c>
      <c r="L14" s="11">
        <f>IF(A14="","",IFERROR(VLOOKUP(A14, Predicciones_Master!$B$4:$Q$2000, 16, FALSE),""))</f>
        <v/>
      </c>
      <c r="M14" s="12">
        <f>IF(A14="","",Clasificacion_General!I14)</f>
        <v/>
      </c>
      <c r="N14" s="15">
        <f>IF(A14="","",C14+E14+G14+I14+K14+M14)</f>
        <v/>
      </c>
    </row>
    <row r="15" ht="22" customHeight="1">
      <c r="A15" s="17">
        <f>Clasificacion_General!B15</f>
        <v/>
      </c>
      <c r="B15" s="11">
        <f>IF(A15="","",IFERROR(VLOOKUP(A15, Predicciones_Master!$B$4:$Q$2000, 11, FALSE),""))</f>
        <v/>
      </c>
      <c r="C15" s="12">
        <f>IF(A15="","",Clasificacion_General!D15)</f>
        <v/>
      </c>
      <c r="D15" s="11">
        <f>IF(A15="","",IFERROR(VLOOKUP(A15, Predicciones_Master!$B$4:$Q$2000, 12, FALSE),""))</f>
        <v/>
      </c>
      <c r="E15" s="12">
        <f>IF(A15="","",Clasificacion_General!E15)</f>
        <v/>
      </c>
      <c r="F15" s="11">
        <f>IF(A15="","",IFERROR(VLOOKUP(A15, Predicciones_Master!$B$4:$Q$2000, 13, FALSE),""))</f>
        <v/>
      </c>
      <c r="G15" s="12">
        <f>IF(A15="","",Clasificacion_General!F15)</f>
        <v/>
      </c>
      <c r="H15" s="11">
        <f>IF(A15="","",IFERROR(VLOOKUP(A15, Predicciones_Master!$B$4:$Q$2000, 14, FALSE),""))</f>
        <v/>
      </c>
      <c r="I15" s="12">
        <f>IF(A15="","",Clasificacion_General!G15)</f>
        <v/>
      </c>
      <c r="J15" s="11">
        <f>IF(A15="","",IFERROR(VLOOKUP(A15, Predicciones_Master!$B$4:$Q$2000, 15, FALSE),""))</f>
        <v/>
      </c>
      <c r="K15" s="12">
        <f>IF(A15="","",Clasificacion_General!H15)</f>
        <v/>
      </c>
      <c r="L15" s="11">
        <f>IF(A15="","",IFERROR(VLOOKUP(A15, Predicciones_Master!$B$4:$Q$2000, 16, FALSE),""))</f>
        <v/>
      </c>
      <c r="M15" s="12">
        <f>IF(A15="","",Clasificacion_General!I15)</f>
        <v/>
      </c>
      <c r="N15" s="15">
        <f>IF(A15="","",C15+E15+G15+I15+K15+M15)</f>
        <v/>
      </c>
    </row>
    <row r="16" ht="22" customHeight="1">
      <c r="A16" s="17">
        <f>Clasificacion_General!B16</f>
        <v/>
      </c>
      <c r="B16" s="11">
        <f>IF(A16="","",IFERROR(VLOOKUP(A16, Predicciones_Master!$B$4:$Q$2000, 11, FALSE),""))</f>
        <v/>
      </c>
      <c r="C16" s="12">
        <f>IF(A16="","",Clasificacion_General!D16)</f>
        <v/>
      </c>
      <c r="D16" s="11">
        <f>IF(A16="","",IFERROR(VLOOKUP(A16, Predicciones_Master!$B$4:$Q$2000, 12, FALSE),""))</f>
        <v/>
      </c>
      <c r="E16" s="12">
        <f>IF(A16="","",Clasificacion_General!E16)</f>
        <v/>
      </c>
      <c r="F16" s="11">
        <f>IF(A16="","",IFERROR(VLOOKUP(A16, Predicciones_Master!$B$4:$Q$2000, 13, FALSE),""))</f>
        <v/>
      </c>
      <c r="G16" s="12">
        <f>IF(A16="","",Clasificacion_General!F16)</f>
        <v/>
      </c>
      <c r="H16" s="11">
        <f>IF(A16="","",IFERROR(VLOOKUP(A16, Predicciones_Master!$B$4:$Q$2000, 14, FALSE),""))</f>
        <v/>
      </c>
      <c r="I16" s="12">
        <f>IF(A16="","",Clasificacion_General!G16)</f>
        <v/>
      </c>
      <c r="J16" s="11">
        <f>IF(A16="","",IFERROR(VLOOKUP(A16, Predicciones_Master!$B$4:$Q$2000, 15, FALSE),""))</f>
        <v/>
      </c>
      <c r="K16" s="12">
        <f>IF(A16="","",Clasificacion_General!H16)</f>
        <v/>
      </c>
      <c r="L16" s="11">
        <f>IF(A16="","",IFERROR(VLOOKUP(A16, Predicciones_Master!$B$4:$Q$2000, 16, FALSE),""))</f>
        <v/>
      </c>
      <c r="M16" s="12">
        <f>IF(A16="","",Clasificacion_General!I16)</f>
        <v/>
      </c>
      <c r="N16" s="15">
        <f>IF(A16="","",C16+E16+G16+I16+K16+M16)</f>
        <v/>
      </c>
    </row>
    <row r="17" ht="22" customHeight="1">
      <c r="A17" s="17">
        <f>Clasificacion_General!B17</f>
        <v/>
      </c>
      <c r="B17" s="11">
        <f>IF(A17="","",IFERROR(VLOOKUP(A17, Predicciones_Master!$B$4:$Q$2000, 11, FALSE),""))</f>
        <v/>
      </c>
      <c r="C17" s="12">
        <f>IF(A17="","",Clasificacion_General!D17)</f>
        <v/>
      </c>
      <c r="D17" s="11">
        <f>IF(A17="","",IFERROR(VLOOKUP(A17, Predicciones_Master!$B$4:$Q$2000, 12, FALSE),""))</f>
        <v/>
      </c>
      <c r="E17" s="12">
        <f>IF(A17="","",Clasificacion_General!E17)</f>
        <v/>
      </c>
      <c r="F17" s="11">
        <f>IF(A17="","",IFERROR(VLOOKUP(A17, Predicciones_Master!$B$4:$Q$2000, 13, FALSE),""))</f>
        <v/>
      </c>
      <c r="G17" s="12">
        <f>IF(A17="","",Clasificacion_General!F17)</f>
        <v/>
      </c>
      <c r="H17" s="11">
        <f>IF(A17="","",IFERROR(VLOOKUP(A17, Predicciones_Master!$B$4:$Q$2000, 14, FALSE),""))</f>
        <v/>
      </c>
      <c r="I17" s="12">
        <f>IF(A17="","",Clasificacion_General!G17)</f>
        <v/>
      </c>
      <c r="J17" s="11">
        <f>IF(A17="","",IFERROR(VLOOKUP(A17, Predicciones_Master!$B$4:$Q$2000, 15, FALSE),""))</f>
        <v/>
      </c>
      <c r="K17" s="12">
        <f>IF(A17="","",Clasificacion_General!H17)</f>
        <v/>
      </c>
      <c r="L17" s="11">
        <f>IF(A17="","",IFERROR(VLOOKUP(A17, Predicciones_Master!$B$4:$Q$2000, 16, FALSE),""))</f>
        <v/>
      </c>
      <c r="M17" s="12">
        <f>IF(A17="","",Clasificacion_General!I17)</f>
        <v/>
      </c>
      <c r="N17" s="15">
        <f>IF(A17="","",C17+E17+G17+I17+K17+M17)</f>
        <v/>
      </c>
    </row>
    <row r="18" ht="22" customHeight="1">
      <c r="A18" s="17">
        <f>Clasificacion_General!B18</f>
        <v/>
      </c>
      <c r="B18" s="11">
        <f>IF(A18="","",IFERROR(VLOOKUP(A18, Predicciones_Master!$B$4:$Q$2000, 11, FALSE),""))</f>
        <v/>
      </c>
      <c r="C18" s="12">
        <f>IF(A18="","",Clasificacion_General!D18)</f>
        <v/>
      </c>
      <c r="D18" s="11">
        <f>IF(A18="","",IFERROR(VLOOKUP(A18, Predicciones_Master!$B$4:$Q$2000, 12, FALSE),""))</f>
        <v/>
      </c>
      <c r="E18" s="12">
        <f>IF(A18="","",Clasificacion_General!E18)</f>
        <v/>
      </c>
      <c r="F18" s="11">
        <f>IF(A18="","",IFERROR(VLOOKUP(A18, Predicciones_Master!$B$4:$Q$2000, 13, FALSE),""))</f>
        <v/>
      </c>
      <c r="G18" s="12">
        <f>IF(A18="","",Clasificacion_General!F18)</f>
        <v/>
      </c>
      <c r="H18" s="11">
        <f>IF(A18="","",IFERROR(VLOOKUP(A18, Predicciones_Master!$B$4:$Q$2000, 14, FALSE),""))</f>
        <v/>
      </c>
      <c r="I18" s="12">
        <f>IF(A18="","",Clasificacion_General!G18)</f>
        <v/>
      </c>
      <c r="J18" s="11">
        <f>IF(A18="","",IFERROR(VLOOKUP(A18, Predicciones_Master!$B$4:$Q$2000, 15, FALSE),""))</f>
        <v/>
      </c>
      <c r="K18" s="12">
        <f>IF(A18="","",Clasificacion_General!H18)</f>
        <v/>
      </c>
      <c r="L18" s="11">
        <f>IF(A18="","",IFERROR(VLOOKUP(A18, Predicciones_Master!$B$4:$Q$2000, 16, FALSE),""))</f>
        <v/>
      </c>
      <c r="M18" s="12">
        <f>IF(A18="","",Clasificacion_General!I18)</f>
        <v/>
      </c>
      <c r="N18" s="15">
        <f>IF(A18="","",C18+E18+G18+I18+K18+M18)</f>
        <v/>
      </c>
    </row>
    <row r="19" ht="22" customHeight="1">
      <c r="A19" s="17">
        <f>Clasificacion_General!B19</f>
        <v/>
      </c>
      <c r="B19" s="11">
        <f>IF(A19="","",IFERROR(VLOOKUP(A19, Predicciones_Master!$B$4:$Q$2000, 11, FALSE),""))</f>
        <v/>
      </c>
      <c r="C19" s="12">
        <f>IF(A19="","",Clasificacion_General!D19)</f>
        <v/>
      </c>
      <c r="D19" s="11">
        <f>IF(A19="","",IFERROR(VLOOKUP(A19, Predicciones_Master!$B$4:$Q$2000, 12, FALSE),""))</f>
        <v/>
      </c>
      <c r="E19" s="12">
        <f>IF(A19="","",Clasificacion_General!E19)</f>
        <v/>
      </c>
      <c r="F19" s="11">
        <f>IF(A19="","",IFERROR(VLOOKUP(A19, Predicciones_Master!$B$4:$Q$2000, 13, FALSE),""))</f>
        <v/>
      </c>
      <c r="G19" s="12">
        <f>IF(A19="","",Clasificacion_General!F19)</f>
        <v/>
      </c>
      <c r="H19" s="11">
        <f>IF(A19="","",IFERROR(VLOOKUP(A19, Predicciones_Master!$B$4:$Q$2000, 14, FALSE),""))</f>
        <v/>
      </c>
      <c r="I19" s="12">
        <f>IF(A19="","",Clasificacion_General!G19)</f>
        <v/>
      </c>
      <c r="J19" s="11">
        <f>IF(A19="","",IFERROR(VLOOKUP(A19, Predicciones_Master!$B$4:$Q$2000, 15, FALSE),""))</f>
        <v/>
      </c>
      <c r="K19" s="12">
        <f>IF(A19="","",Clasificacion_General!H19)</f>
        <v/>
      </c>
      <c r="L19" s="11">
        <f>IF(A19="","",IFERROR(VLOOKUP(A19, Predicciones_Master!$B$4:$Q$2000, 16, FALSE),""))</f>
        <v/>
      </c>
      <c r="M19" s="12">
        <f>IF(A19="","",Clasificacion_General!I19)</f>
        <v/>
      </c>
      <c r="N19" s="15">
        <f>IF(A19="","",C19+E19+G19+I19+K19+M19)</f>
        <v/>
      </c>
    </row>
    <row r="20" ht="22" customHeight="1">
      <c r="A20" s="17">
        <f>Clasificacion_General!B20</f>
        <v/>
      </c>
      <c r="B20" s="11">
        <f>IF(A20="","",IFERROR(VLOOKUP(A20, Predicciones_Master!$B$4:$Q$2000, 11, FALSE),""))</f>
        <v/>
      </c>
      <c r="C20" s="12">
        <f>IF(A20="","",Clasificacion_General!D20)</f>
        <v/>
      </c>
      <c r="D20" s="11">
        <f>IF(A20="","",IFERROR(VLOOKUP(A20, Predicciones_Master!$B$4:$Q$2000, 12, FALSE),""))</f>
        <v/>
      </c>
      <c r="E20" s="12">
        <f>IF(A20="","",Clasificacion_General!E20)</f>
        <v/>
      </c>
      <c r="F20" s="11">
        <f>IF(A20="","",IFERROR(VLOOKUP(A20, Predicciones_Master!$B$4:$Q$2000, 13, FALSE),""))</f>
        <v/>
      </c>
      <c r="G20" s="12">
        <f>IF(A20="","",Clasificacion_General!F20)</f>
        <v/>
      </c>
      <c r="H20" s="11">
        <f>IF(A20="","",IFERROR(VLOOKUP(A20, Predicciones_Master!$B$4:$Q$2000, 14, FALSE),""))</f>
        <v/>
      </c>
      <c r="I20" s="12">
        <f>IF(A20="","",Clasificacion_General!G20)</f>
        <v/>
      </c>
      <c r="J20" s="11">
        <f>IF(A20="","",IFERROR(VLOOKUP(A20, Predicciones_Master!$B$4:$Q$2000, 15, FALSE),""))</f>
        <v/>
      </c>
      <c r="K20" s="12">
        <f>IF(A20="","",Clasificacion_General!H20)</f>
        <v/>
      </c>
      <c r="L20" s="11">
        <f>IF(A20="","",IFERROR(VLOOKUP(A20, Predicciones_Master!$B$4:$Q$2000, 16, FALSE),""))</f>
        <v/>
      </c>
      <c r="M20" s="12">
        <f>IF(A20="","",Clasificacion_General!I20)</f>
        <v/>
      </c>
      <c r="N20" s="15">
        <f>IF(A20="","",C20+E20+G20+I20+K20+M20)</f>
        <v/>
      </c>
    </row>
    <row r="21" ht="22" customHeight="1">
      <c r="A21" s="17">
        <f>Clasificacion_General!B21</f>
        <v/>
      </c>
      <c r="B21" s="11">
        <f>IF(A21="","",IFERROR(VLOOKUP(A21, Predicciones_Master!$B$4:$Q$2000, 11, FALSE),""))</f>
        <v/>
      </c>
      <c r="C21" s="12">
        <f>IF(A21="","",Clasificacion_General!D21)</f>
        <v/>
      </c>
      <c r="D21" s="11">
        <f>IF(A21="","",IFERROR(VLOOKUP(A21, Predicciones_Master!$B$4:$Q$2000, 12, FALSE),""))</f>
        <v/>
      </c>
      <c r="E21" s="12">
        <f>IF(A21="","",Clasificacion_General!E21)</f>
        <v/>
      </c>
      <c r="F21" s="11">
        <f>IF(A21="","",IFERROR(VLOOKUP(A21, Predicciones_Master!$B$4:$Q$2000, 13, FALSE),""))</f>
        <v/>
      </c>
      <c r="G21" s="12">
        <f>IF(A21="","",Clasificacion_General!F21)</f>
        <v/>
      </c>
      <c r="H21" s="11">
        <f>IF(A21="","",IFERROR(VLOOKUP(A21, Predicciones_Master!$B$4:$Q$2000, 14, FALSE),""))</f>
        <v/>
      </c>
      <c r="I21" s="12">
        <f>IF(A21="","",Clasificacion_General!G21)</f>
        <v/>
      </c>
      <c r="J21" s="11">
        <f>IF(A21="","",IFERROR(VLOOKUP(A21, Predicciones_Master!$B$4:$Q$2000, 15, FALSE),""))</f>
        <v/>
      </c>
      <c r="K21" s="12">
        <f>IF(A21="","",Clasificacion_General!H21)</f>
        <v/>
      </c>
      <c r="L21" s="11">
        <f>IF(A21="","",IFERROR(VLOOKUP(A21, Predicciones_Master!$B$4:$Q$2000, 16, FALSE),""))</f>
        <v/>
      </c>
      <c r="M21" s="12">
        <f>IF(A21="","",Clasificacion_General!I21)</f>
        <v/>
      </c>
      <c r="N21" s="15">
        <f>IF(A21="","",C21+E21+G21+I21+K21+M21)</f>
        <v/>
      </c>
    </row>
    <row r="22" ht="22" customHeight="1">
      <c r="A22" s="17">
        <f>Clasificacion_General!B22</f>
        <v/>
      </c>
      <c r="B22" s="11">
        <f>IF(A22="","",IFERROR(VLOOKUP(A22, Predicciones_Master!$B$4:$Q$2000, 11, FALSE),""))</f>
        <v/>
      </c>
      <c r="C22" s="12">
        <f>IF(A22="","",Clasificacion_General!D22)</f>
        <v/>
      </c>
      <c r="D22" s="11">
        <f>IF(A22="","",IFERROR(VLOOKUP(A22, Predicciones_Master!$B$4:$Q$2000, 12, FALSE),""))</f>
        <v/>
      </c>
      <c r="E22" s="12">
        <f>IF(A22="","",Clasificacion_General!E22)</f>
        <v/>
      </c>
      <c r="F22" s="11">
        <f>IF(A22="","",IFERROR(VLOOKUP(A22, Predicciones_Master!$B$4:$Q$2000, 13, FALSE),""))</f>
        <v/>
      </c>
      <c r="G22" s="12">
        <f>IF(A22="","",Clasificacion_General!F22)</f>
        <v/>
      </c>
      <c r="H22" s="11">
        <f>IF(A22="","",IFERROR(VLOOKUP(A22, Predicciones_Master!$B$4:$Q$2000, 14, FALSE),""))</f>
        <v/>
      </c>
      <c r="I22" s="12">
        <f>IF(A22="","",Clasificacion_General!G22)</f>
        <v/>
      </c>
      <c r="J22" s="11">
        <f>IF(A22="","",IFERROR(VLOOKUP(A22, Predicciones_Master!$B$4:$Q$2000, 15, FALSE),""))</f>
        <v/>
      </c>
      <c r="K22" s="12">
        <f>IF(A22="","",Clasificacion_General!H22)</f>
        <v/>
      </c>
      <c r="L22" s="11">
        <f>IF(A22="","",IFERROR(VLOOKUP(A22, Predicciones_Master!$B$4:$Q$2000, 16, FALSE),""))</f>
        <v/>
      </c>
      <c r="M22" s="12">
        <f>IF(A22="","",Clasificacion_General!I22)</f>
        <v/>
      </c>
      <c r="N22" s="15">
        <f>IF(A22="","",C22+E22+G22+I22+K22+M22)</f>
        <v/>
      </c>
    </row>
    <row r="23" ht="22" customHeight="1">
      <c r="A23" s="17">
        <f>Clasificacion_General!B23</f>
        <v/>
      </c>
      <c r="B23" s="11">
        <f>IF(A23="","",IFERROR(VLOOKUP(A23, Predicciones_Master!$B$4:$Q$2000, 11, FALSE),""))</f>
        <v/>
      </c>
      <c r="C23" s="12">
        <f>IF(A23="","",Clasificacion_General!D23)</f>
        <v/>
      </c>
      <c r="D23" s="11">
        <f>IF(A23="","",IFERROR(VLOOKUP(A23, Predicciones_Master!$B$4:$Q$2000, 12, FALSE),""))</f>
        <v/>
      </c>
      <c r="E23" s="12">
        <f>IF(A23="","",Clasificacion_General!E23)</f>
        <v/>
      </c>
      <c r="F23" s="11">
        <f>IF(A23="","",IFERROR(VLOOKUP(A23, Predicciones_Master!$B$4:$Q$2000, 13, FALSE),""))</f>
        <v/>
      </c>
      <c r="G23" s="12">
        <f>IF(A23="","",Clasificacion_General!F23)</f>
        <v/>
      </c>
      <c r="H23" s="11">
        <f>IF(A23="","",IFERROR(VLOOKUP(A23, Predicciones_Master!$B$4:$Q$2000, 14, FALSE),""))</f>
        <v/>
      </c>
      <c r="I23" s="12">
        <f>IF(A23="","",Clasificacion_General!G23)</f>
        <v/>
      </c>
      <c r="J23" s="11">
        <f>IF(A23="","",IFERROR(VLOOKUP(A23, Predicciones_Master!$B$4:$Q$2000, 15, FALSE),""))</f>
        <v/>
      </c>
      <c r="K23" s="12">
        <f>IF(A23="","",Clasificacion_General!H23)</f>
        <v/>
      </c>
      <c r="L23" s="11">
        <f>IF(A23="","",IFERROR(VLOOKUP(A23, Predicciones_Master!$B$4:$Q$2000, 16, FALSE),""))</f>
        <v/>
      </c>
      <c r="M23" s="12">
        <f>IF(A23="","",Clasificacion_General!I23)</f>
        <v/>
      </c>
      <c r="N23" s="15">
        <f>IF(A23="","",C23+E23+G23+I23+K23+M23)</f>
        <v/>
      </c>
    </row>
    <row r="24" ht="22" customHeight="1">
      <c r="A24" s="17">
        <f>Clasificacion_General!B24</f>
        <v/>
      </c>
      <c r="B24" s="11">
        <f>IF(A24="","",IFERROR(VLOOKUP(A24, Predicciones_Master!$B$4:$Q$2000, 11, FALSE),""))</f>
        <v/>
      </c>
      <c r="C24" s="12">
        <f>IF(A24="","",Clasificacion_General!D24)</f>
        <v/>
      </c>
      <c r="D24" s="11">
        <f>IF(A24="","",IFERROR(VLOOKUP(A24, Predicciones_Master!$B$4:$Q$2000, 12, FALSE),""))</f>
        <v/>
      </c>
      <c r="E24" s="12">
        <f>IF(A24="","",Clasificacion_General!E24)</f>
        <v/>
      </c>
      <c r="F24" s="11">
        <f>IF(A24="","",IFERROR(VLOOKUP(A24, Predicciones_Master!$B$4:$Q$2000, 13, FALSE),""))</f>
        <v/>
      </c>
      <c r="G24" s="12">
        <f>IF(A24="","",Clasificacion_General!F24)</f>
        <v/>
      </c>
      <c r="H24" s="11">
        <f>IF(A24="","",IFERROR(VLOOKUP(A24, Predicciones_Master!$B$4:$Q$2000, 14, FALSE),""))</f>
        <v/>
      </c>
      <c r="I24" s="12">
        <f>IF(A24="","",Clasificacion_General!G24)</f>
        <v/>
      </c>
      <c r="J24" s="11">
        <f>IF(A24="","",IFERROR(VLOOKUP(A24, Predicciones_Master!$B$4:$Q$2000, 15, FALSE),""))</f>
        <v/>
      </c>
      <c r="K24" s="12">
        <f>IF(A24="","",Clasificacion_General!H24)</f>
        <v/>
      </c>
      <c r="L24" s="11">
        <f>IF(A24="","",IFERROR(VLOOKUP(A24, Predicciones_Master!$B$4:$Q$2000, 16, FALSE),""))</f>
        <v/>
      </c>
      <c r="M24" s="12">
        <f>IF(A24="","",Clasificacion_General!I24)</f>
        <v/>
      </c>
      <c r="N24" s="15">
        <f>IF(A24="","",C24+E24+G24+I24+K24+M24)</f>
        <v/>
      </c>
    </row>
    <row r="25" ht="22" customHeight="1">
      <c r="A25" s="17">
        <f>Clasificacion_General!B25</f>
        <v/>
      </c>
      <c r="B25" s="11">
        <f>IF(A25="","",IFERROR(VLOOKUP(A25, Predicciones_Master!$B$4:$Q$2000, 11, FALSE),""))</f>
        <v/>
      </c>
      <c r="C25" s="12">
        <f>IF(A25="","",Clasificacion_General!D25)</f>
        <v/>
      </c>
      <c r="D25" s="11">
        <f>IF(A25="","",IFERROR(VLOOKUP(A25, Predicciones_Master!$B$4:$Q$2000, 12, FALSE),""))</f>
        <v/>
      </c>
      <c r="E25" s="12">
        <f>IF(A25="","",Clasificacion_General!E25)</f>
        <v/>
      </c>
      <c r="F25" s="11">
        <f>IF(A25="","",IFERROR(VLOOKUP(A25, Predicciones_Master!$B$4:$Q$2000, 13, FALSE),""))</f>
        <v/>
      </c>
      <c r="G25" s="12">
        <f>IF(A25="","",Clasificacion_General!F25)</f>
        <v/>
      </c>
      <c r="H25" s="11">
        <f>IF(A25="","",IFERROR(VLOOKUP(A25, Predicciones_Master!$B$4:$Q$2000, 14, FALSE),""))</f>
        <v/>
      </c>
      <c r="I25" s="12">
        <f>IF(A25="","",Clasificacion_General!G25)</f>
        <v/>
      </c>
      <c r="J25" s="11">
        <f>IF(A25="","",IFERROR(VLOOKUP(A25, Predicciones_Master!$B$4:$Q$2000, 15, FALSE),""))</f>
        <v/>
      </c>
      <c r="K25" s="12">
        <f>IF(A25="","",Clasificacion_General!H25)</f>
        <v/>
      </c>
      <c r="L25" s="11">
        <f>IF(A25="","",IFERROR(VLOOKUP(A25, Predicciones_Master!$B$4:$Q$2000, 16, FALSE),""))</f>
        <v/>
      </c>
      <c r="M25" s="12">
        <f>IF(A25="","",Clasificacion_General!I25)</f>
        <v/>
      </c>
      <c r="N25" s="15">
        <f>IF(A25="","",C25+E25+G25+I25+K25+M25)</f>
        <v/>
      </c>
    </row>
    <row r="26" ht="22" customHeight="1">
      <c r="A26" s="17">
        <f>Clasificacion_General!B26</f>
        <v/>
      </c>
      <c r="B26" s="11">
        <f>IF(A26="","",IFERROR(VLOOKUP(A26, Predicciones_Master!$B$4:$Q$2000, 11, FALSE),""))</f>
        <v/>
      </c>
      <c r="C26" s="12">
        <f>IF(A26="","",Clasificacion_General!D26)</f>
        <v/>
      </c>
      <c r="D26" s="11">
        <f>IF(A26="","",IFERROR(VLOOKUP(A26, Predicciones_Master!$B$4:$Q$2000, 12, FALSE),""))</f>
        <v/>
      </c>
      <c r="E26" s="12">
        <f>IF(A26="","",Clasificacion_General!E26)</f>
        <v/>
      </c>
      <c r="F26" s="11">
        <f>IF(A26="","",IFERROR(VLOOKUP(A26, Predicciones_Master!$B$4:$Q$2000, 13, FALSE),""))</f>
        <v/>
      </c>
      <c r="G26" s="12">
        <f>IF(A26="","",Clasificacion_General!F26)</f>
        <v/>
      </c>
      <c r="H26" s="11">
        <f>IF(A26="","",IFERROR(VLOOKUP(A26, Predicciones_Master!$B$4:$Q$2000, 14, FALSE),""))</f>
        <v/>
      </c>
      <c r="I26" s="12">
        <f>IF(A26="","",Clasificacion_General!G26)</f>
        <v/>
      </c>
      <c r="J26" s="11">
        <f>IF(A26="","",IFERROR(VLOOKUP(A26, Predicciones_Master!$B$4:$Q$2000, 15, FALSE),""))</f>
        <v/>
      </c>
      <c r="K26" s="12">
        <f>IF(A26="","",Clasificacion_General!H26)</f>
        <v/>
      </c>
      <c r="L26" s="11">
        <f>IF(A26="","",IFERROR(VLOOKUP(A26, Predicciones_Master!$B$4:$Q$2000, 16, FALSE),""))</f>
        <v/>
      </c>
      <c r="M26" s="12">
        <f>IF(A26="","",Clasificacion_General!I26)</f>
        <v/>
      </c>
      <c r="N26" s="15">
        <f>IF(A26="","",C26+E26+G26+I26+K26+M26)</f>
        <v/>
      </c>
    </row>
    <row r="27" ht="22" customHeight="1">
      <c r="A27" s="17">
        <f>Clasificacion_General!B27</f>
        <v/>
      </c>
      <c r="B27" s="11">
        <f>IF(A27="","",IFERROR(VLOOKUP(A27, Predicciones_Master!$B$4:$Q$2000, 11, FALSE),""))</f>
        <v/>
      </c>
      <c r="C27" s="12">
        <f>IF(A27="","",Clasificacion_General!D27)</f>
        <v/>
      </c>
      <c r="D27" s="11">
        <f>IF(A27="","",IFERROR(VLOOKUP(A27, Predicciones_Master!$B$4:$Q$2000, 12, FALSE),""))</f>
        <v/>
      </c>
      <c r="E27" s="12">
        <f>IF(A27="","",Clasificacion_General!E27)</f>
        <v/>
      </c>
      <c r="F27" s="11">
        <f>IF(A27="","",IFERROR(VLOOKUP(A27, Predicciones_Master!$B$4:$Q$2000, 13, FALSE),""))</f>
        <v/>
      </c>
      <c r="G27" s="12">
        <f>IF(A27="","",Clasificacion_General!F27)</f>
        <v/>
      </c>
      <c r="H27" s="11">
        <f>IF(A27="","",IFERROR(VLOOKUP(A27, Predicciones_Master!$B$4:$Q$2000, 14, FALSE),""))</f>
        <v/>
      </c>
      <c r="I27" s="12">
        <f>IF(A27="","",Clasificacion_General!G27)</f>
        <v/>
      </c>
      <c r="J27" s="11">
        <f>IF(A27="","",IFERROR(VLOOKUP(A27, Predicciones_Master!$B$4:$Q$2000, 15, FALSE),""))</f>
        <v/>
      </c>
      <c r="K27" s="12">
        <f>IF(A27="","",Clasificacion_General!H27)</f>
        <v/>
      </c>
      <c r="L27" s="11">
        <f>IF(A27="","",IFERROR(VLOOKUP(A27, Predicciones_Master!$B$4:$Q$2000, 16, FALSE),""))</f>
        <v/>
      </c>
      <c r="M27" s="12">
        <f>IF(A27="","",Clasificacion_General!I27)</f>
        <v/>
      </c>
      <c r="N27" s="15">
        <f>IF(A27="","",C27+E27+G27+I27+K27+M27)</f>
        <v/>
      </c>
    </row>
    <row r="28" ht="22" customHeight="1">
      <c r="A28" s="17">
        <f>Clasificacion_General!B28</f>
        <v/>
      </c>
      <c r="B28" s="11">
        <f>IF(A28="","",IFERROR(VLOOKUP(A28, Predicciones_Master!$B$4:$Q$2000, 11, FALSE),""))</f>
        <v/>
      </c>
      <c r="C28" s="12">
        <f>IF(A28="","",Clasificacion_General!D28)</f>
        <v/>
      </c>
      <c r="D28" s="11">
        <f>IF(A28="","",IFERROR(VLOOKUP(A28, Predicciones_Master!$B$4:$Q$2000, 12, FALSE),""))</f>
        <v/>
      </c>
      <c r="E28" s="12">
        <f>IF(A28="","",Clasificacion_General!E28)</f>
        <v/>
      </c>
      <c r="F28" s="11">
        <f>IF(A28="","",IFERROR(VLOOKUP(A28, Predicciones_Master!$B$4:$Q$2000, 13, FALSE),""))</f>
        <v/>
      </c>
      <c r="G28" s="12">
        <f>IF(A28="","",Clasificacion_General!F28)</f>
        <v/>
      </c>
      <c r="H28" s="11">
        <f>IF(A28="","",IFERROR(VLOOKUP(A28, Predicciones_Master!$B$4:$Q$2000, 14, FALSE),""))</f>
        <v/>
      </c>
      <c r="I28" s="12">
        <f>IF(A28="","",Clasificacion_General!G28)</f>
        <v/>
      </c>
      <c r="J28" s="11">
        <f>IF(A28="","",IFERROR(VLOOKUP(A28, Predicciones_Master!$B$4:$Q$2000, 15, FALSE),""))</f>
        <v/>
      </c>
      <c r="K28" s="12">
        <f>IF(A28="","",Clasificacion_General!H28)</f>
        <v/>
      </c>
      <c r="L28" s="11">
        <f>IF(A28="","",IFERROR(VLOOKUP(A28, Predicciones_Master!$B$4:$Q$2000, 16, FALSE),""))</f>
        <v/>
      </c>
      <c r="M28" s="12">
        <f>IF(A28="","",Clasificacion_General!I28)</f>
        <v/>
      </c>
      <c r="N28" s="15">
        <f>IF(A28="","",C28+E28+G28+I28+K28+M28)</f>
        <v/>
      </c>
    </row>
    <row r="29" ht="22" customHeight="1">
      <c r="A29" s="17">
        <f>Clasificacion_General!B29</f>
        <v/>
      </c>
      <c r="B29" s="11">
        <f>IF(A29="","",IFERROR(VLOOKUP(A29, Predicciones_Master!$B$4:$Q$2000, 11, FALSE),""))</f>
        <v/>
      </c>
      <c r="C29" s="12">
        <f>IF(A29="","",Clasificacion_General!D29)</f>
        <v/>
      </c>
      <c r="D29" s="11">
        <f>IF(A29="","",IFERROR(VLOOKUP(A29, Predicciones_Master!$B$4:$Q$2000, 12, FALSE),""))</f>
        <v/>
      </c>
      <c r="E29" s="12">
        <f>IF(A29="","",Clasificacion_General!E29)</f>
        <v/>
      </c>
      <c r="F29" s="11">
        <f>IF(A29="","",IFERROR(VLOOKUP(A29, Predicciones_Master!$B$4:$Q$2000, 13, FALSE),""))</f>
        <v/>
      </c>
      <c r="G29" s="12">
        <f>IF(A29="","",Clasificacion_General!F29)</f>
        <v/>
      </c>
      <c r="H29" s="11">
        <f>IF(A29="","",IFERROR(VLOOKUP(A29, Predicciones_Master!$B$4:$Q$2000, 14, FALSE),""))</f>
        <v/>
      </c>
      <c r="I29" s="12">
        <f>IF(A29="","",Clasificacion_General!G29)</f>
        <v/>
      </c>
      <c r="J29" s="11">
        <f>IF(A29="","",IFERROR(VLOOKUP(A29, Predicciones_Master!$B$4:$Q$2000, 15, FALSE),""))</f>
        <v/>
      </c>
      <c r="K29" s="12">
        <f>IF(A29="","",Clasificacion_General!H29)</f>
        <v/>
      </c>
      <c r="L29" s="11">
        <f>IF(A29="","",IFERROR(VLOOKUP(A29, Predicciones_Master!$B$4:$Q$2000, 16, FALSE),""))</f>
        <v/>
      </c>
      <c r="M29" s="12">
        <f>IF(A29="","",Clasificacion_General!I29)</f>
        <v/>
      </c>
      <c r="N29" s="15">
        <f>IF(A29="","",C29+E29+G29+I29+K29+M29)</f>
        <v/>
      </c>
    </row>
    <row r="30" ht="22" customHeight="1">
      <c r="A30" s="17">
        <f>Clasificacion_General!B30</f>
        <v/>
      </c>
      <c r="B30" s="11">
        <f>IF(A30="","",IFERROR(VLOOKUP(A30, Predicciones_Master!$B$4:$Q$2000, 11, FALSE),""))</f>
        <v/>
      </c>
      <c r="C30" s="12">
        <f>IF(A30="","",Clasificacion_General!D30)</f>
        <v/>
      </c>
      <c r="D30" s="11">
        <f>IF(A30="","",IFERROR(VLOOKUP(A30, Predicciones_Master!$B$4:$Q$2000, 12, FALSE),""))</f>
        <v/>
      </c>
      <c r="E30" s="12">
        <f>IF(A30="","",Clasificacion_General!E30)</f>
        <v/>
      </c>
      <c r="F30" s="11">
        <f>IF(A30="","",IFERROR(VLOOKUP(A30, Predicciones_Master!$B$4:$Q$2000, 13, FALSE),""))</f>
        <v/>
      </c>
      <c r="G30" s="12">
        <f>IF(A30="","",Clasificacion_General!F30)</f>
        <v/>
      </c>
      <c r="H30" s="11">
        <f>IF(A30="","",IFERROR(VLOOKUP(A30, Predicciones_Master!$B$4:$Q$2000, 14, FALSE),""))</f>
        <v/>
      </c>
      <c r="I30" s="12">
        <f>IF(A30="","",Clasificacion_General!G30)</f>
        <v/>
      </c>
      <c r="J30" s="11">
        <f>IF(A30="","",IFERROR(VLOOKUP(A30, Predicciones_Master!$B$4:$Q$2000, 15, FALSE),""))</f>
        <v/>
      </c>
      <c r="K30" s="12">
        <f>IF(A30="","",Clasificacion_General!H30)</f>
        <v/>
      </c>
      <c r="L30" s="11">
        <f>IF(A30="","",IFERROR(VLOOKUP(A30, Predicciones_Master!$B$4:$Q$2000, 16, FALSE),""))</f>
        <v/>
      </c>
      <c r="M30" s="12">
        <f>IF(A30="","",Clasificacion_General!I30)</f>
        <v/>
      </c>
      <c r="N30" s="15">
        <f>IF(A30="","",C30+E30+G30+I30+K30+M30)</f>
        <v/>
      </c>
    </row>
    <row r="31" ht="22" customHeight="1">
      <c r="A31" s="17">
        <f>Clasificacion_General!B31</f>
        <v/>
      </c>
      <c r="B31" s="11">
        <f>IF(A31="","",IFERROR(VLOOKUP(A31, Predicciones_Master!$B$4:$Q$2000, 11, FALSE),""))</f>
        <v/>
      </c>
      <c r="C31" s="12">
        <f>IF(A31="","",Clasificacion_General!D31)</f>
        <v/>
      </c>
      <c r="D31" s="11">
        <f>IF(A31="","",IFERROR(VLOOKUP(A31, Predicciones_Master!$B$4:$Q$2000, 12, FALSE),""))</f>
        <v/>
      </c>
      <c r="E31" s="12">
        <f>IF(A31="","",Clasificacion_General!E31)</f>
        <v/>
      </c>
      <c r="F31" s="11">
        <f>IF(A31="","",IFERROR(VLOOKUP(A31, Predicciones_Master!$B$4:$Q$2000, 13, FALSE),""))</f>
        <v/>
      </c>
      <c r="G31" s="12">
        <f>IF(A31="","",Clasificacion_General!F31)</f>
        <v/>
      </c>
      <c r="H31" s="11">
        <f>IF(A31="","",IFERROR(VLOOKUP(A31, Predicciones_Master!$B$4:$Q$2000, 14, FALSE),""))</f>
        <v/>
      </c>
      <c r="I31" s="12">
        <f>IF(A31="","",Clasificacion_General!G31)</f>
        <v/>
      </c>
      <c r="J31" s="11">
        <f>IF(A31="","",IFERROR(VLOOKUP(A31, Predicciones_Master!$B$4:$Q$2000, 15, FALSE),""))</f>
        <v/>
      </c>
      <c r="K31" s="12">
        <f>IF(A31="","",Clasificacion_General!H31)</f>
        <v/>
      </c>
      <c r="L31" s="11">
        <f>IF(A31="","",IFERROR(VLOOKUP(A31, Predicciones_Master!$B$4:$Q$2000, 16, FALSE),""))</f>
        <v/>
      </c>
      <c r="M31" s="12">
        <f>IF(A31="","",Clasificacion_General!I31)</f>
        <v/>
      </c>
      <c r="N31" s="15">
        <f>IF(A31="","",C31+E31+G31+I31+K31+M31)</f>
        <v/>
      </c>
    </row>
    <row r="32" ht="22" customHeight="1">
      <c r="A32" s="17">
        <f>Clasificacion_General!B32</f>
        <v/>
      </c>
      <c r="B32" s="11">
        <f>IF(A32="","",IFERROR(VLOOKUP(A32, Predicciones_Master!$B$4:$Q$2000, 11, FALSE),""))</f>
        <v/>
      </c>
      <c r="C32" s="12">
        <f>IF(A32="","",Clasificacion_General!D32)</f>
        <v/>
      </c>
      <c r="D32" s="11">
        <f>IF(A32="","",IFERROR(VLOOKUP(A32, Predicciones_Master!$B$4:$Q$2000, 12, FALSE),""))</f>
        <v/>
      </c>
      <c r="E32" s="12">
        <f>IF(A32="","",Clasificacion_General!E32)</f>
        <v/>
      </c>
      <c r="F32" s="11">
        <f>IF(A32="","",IFERROR(VLOOKUP(A32, Predicciones_Master!$B$4:$Q$2000, 13, FALSE),""))</f>
        <v/>
      </c>
      <c r="G32" s="12">
        <f>IF(A32="","",Clasificacion_General!F32)</f>
        <v/>
      </c>
      <c r="H32" s="11">
        <f>IF(A32="","",IFERROR(VLOOKUP(A32, Predicciones_Master!$B$4:$Q$2000, 14, FALSE),""))</f>
        <v/>
      </c>
      <c r="I32" s="12">
        <f>IF(A32="","",Clasificacion_General!G32)</f>
        <v/>
      </c>
      <c r="J32" s="11">
        <f>IF(A32="","",IFERROR(VLOOKUP(A32, Predicciones_Master!$B$4:$Q$2000, 15, FALSE),""))</f>
        <v/>
      </c>
      <c r="K32" s="12">
        <f>IF(A32="","",Clasificacion_General!H32)</f>
        <v/>
      </c>
      <c r="L32" s="11">
        <f>IF(A32="","",IFERROR(VLOOKUP(A32, Predicciones_Master!$B$4:$Q$2000, 16, FALSE),""))</f>
        <v/>
      </c>
      <c r="M32" s="12">
        <f>IF(A32="","",Clasificacion_General!I32)</f>
        <v/>
      </c>
      <c r="N32" s="15">
        <f>IF(A32="","",C32+E32+G32+I32+K32+M32)</f>
        <v/>
      </c>
    </row>
    <row r="33" ht="22" customHeight="1">
      <c r="A33" s="17">
        <f>Clasificacion_General!B33</f>
        <v/>
      </c>
      <c r="B33" s="11">
        <f>IF(A33="","",IFERROR(VLOOKUP(A33, Predicciones_Master!$B$4:$Q$2000, 11, FALSE),""))</f>
        <v/>
      </c>
      <c r="C33" s="12">
        <f>IF(A33="","",Clasificacion_General!D33)</f>
        <v/>
      </c>
      <c r="D33" s="11">
        <f>IF(A33="","",IFERROR(VLOOKUP(A33, Predicciones_Master!$B$4:$Q$2000, 12, FALSE),""))</f>
        <v/>
      </c>
      <c r="E33" s="12">
        <f>IF(A33="","",Clasificacion_General!E33)</f>
        <v/>
      </c>
      <c r="F33" s="11">
        <f>IF(A33="","",IFERROR(VLOOKUP(A33, Predicciones_Master!$B$4:$Q$2000, 13, FALSE),""))</f>
        <v/>
      </c>
      <c r="G33" s="12">
        <f>IF(A33="","",Clasificacion_General!F33)</f>
        <v/>
      </c>
      <c r="H33" s="11">
        <f>IF(A33="","",IFERROR(VLOOKUP(A33, Predicciones_Master!$B$4:$Q$2000, 14, FALSE),""))</f>
        <v/>
      </c>
      <c r="I33" s="12">
        <f>IF(A33="","",Clasificacion_General!G33)</f>
        <v/>
      </c>
      <c r="J33" s="11">
        <f>IF(A33="","",IFERROR(VLOOKUP(A33, Predicciones_Master!$B$4:$Q$2000, 15, FALSE),""))</f>
        <v/>
      </c>
      <c r="K33" s="12">
        <f>IF(A33="","",Clasificacion_General!H33)</f>
        <v/>
      </c>
      <c r="L33" s="11">
        <f>IF(A33="","",IFERROR(VLOOKUP(A33, Predicciones_Master!$B$4:$Q$2000, 16, FALSE),""))</f>
        <v/>
      </c>
      <c r="M33" s="12">
        <f>IF(A33="","",Clasificacion_General!I33)</f>
        <v/>
      </c>
      <c r="N33" s="15">
        <f>IF(A33="","",C33+E33+G33+I33+K33+M33)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2026-06-11T18:40:15Z</dcterms:created>
  <dcterms:modified xsi:type="dcterms:W3CDTF">2026-06-11T18:40:16Z</dcterms:modified>
</cp:coreProperties>
</file>